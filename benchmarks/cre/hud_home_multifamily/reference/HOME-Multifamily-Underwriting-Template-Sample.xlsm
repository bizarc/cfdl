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9.xml" ContentType="application/vnd.openxmlformats-officedocument.spreadsheetml.comment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codeName="ThisWorkbook"/>
  <mc:AlternateContent xmlns:mc="http://schemas.openxmlformats.org/markup-compatibility/2006">
    <mc:Choice Requires="x15">
      <x15ac:absPath xmlns:x15ac="http://schemas.microsoft.com/office/spreadsheetml/2010/11/ac" url="https://icfonline-my.sharepoint.com/personal/23241_icf_com/Documents/Attachments/Resources/"/>
    </mc:Choice>
  </mc:AlternateContent>
  <xr:revisionPtr revIDLastSave="2" documentId="11_9C793CE01BB8831425B5A1C6A5DF50AC4780C684" xr6:coauthVersionLast="46" xr6:coauthVersionMax="46" xr10:uidLastSave="{09A653F9-B1E2-4B70-9B34-91917E209A11}"/>
  <bookViews>
    <workbookView xWindow="28680" yWindow="-120" windowWidth="29040" windowHeight="16440" tabRatio="946" xr2:uid="{00000000-000D-0000-FFFF-FFFF00000000}"/>
  </bookViews>
  <sheets>
    <sheet name="Intro" sheetId="5" r:id="rId1"/>
    <sheet name="Controls" sheetId="16" state="hidden" r:id="rId2"/>
    <sheet name="Requirements" sheetId="6" r:id="rId3"/>
    <sheet name="Rents and Income" sheetId="8" r:id="rId4"/>
    <sheet name="Development Costs" sheetId="9" r:id="rId5"/>
    <sheet name="Repl Reserve" sheetId="19" r:id="rId6"/>
    <sheet name="Const Schedule" sheetId="18" r:id="rId7"/>
    <sheet name="LIHTC Basis" sheetId="12" r:id="rId8"/>
    <sheet name="Operating Expenses" sheetId="10" r:id="rId9"/>
    <sheet name="First Mortgage Sizing" sheetId="13" r:id="rId10"/>
    <sheet name="Sources and Uses" sheetId="3" r:id="rId11"/>
    <sheet name="S&amp;U By Month" sheetId="17" r:id="rId12"/>
    <sheet name="Pro Forma Assumptions" sheetId="14" r:id="rId13"/>
    <sheet name="Operating Pro Forma" sheetId="2" r:id="rId14"/>
    <sheet name="Administrative Record" sheetId="20" r:id="rId15"/>
    <sheet name="Summary" sheetId="7" r:id="rId16"/>
  </sheets>
  <definedNames>
    <definedName name="apuHOME">Controls!$A$31:$A$33</definedName>
    <definedName name="DevTypes">Controls!$A$65:$A$70</definedName>
    <definedName name="HOMEera">Controls!$A$26:$A$28</definedName>
    <definedName name="_xlnm.Print_Area" localSheetId="4">'Development Costs'!$C:$G</definedName>
    <definedName name="_xlnm.Print_Area" localSheetId="9">'First Mortgage Sizing'!$C:$H</definedName>
    <definedName name="_xlnm.Print_Area" localSheetId="0">Intro!$B:$E</definedName>
    <definedName name="_xlnm.Print_Area" localSheetId="7">'LIHTC Basis'!$C:$I</definedName>
    <definedName name="_xlnm.Print_Area" localSheetId="8">'Operating Expenses'!$C:$G</definedName>
    <definedName name="_xlnm.Print_Area" localSheetId="13">'Operating Pro Forma'!$C$1:$AH$52</definedName>
    <definedName name="_xlnm.Print_Area" localSheetId="12">'Pro Forma Assumptions'!$C:$F</definedName>
    <definedName name="_xlnm.Print_Area" localSheetId="3">'Rents and Income'!$C$1:$I$48</definedName>
    <definedName name="_xlnm.Print_Area" localSheetId="5">'Repl Reserve'!$C:$H</definedName>
    <definedName name="_xlnm.Print_Area" localSheetId="2">Requirements!$A:$I</definedName>
    <definedName name="_xlnm.Print_Area" localSheetId="11">'S&amp;U By Month'!$C$1:$K$126</definedName>
    <definedName name="_xlnm.Print_Area" localSheetId="10">'Sources and Uses'!$C$1:$G$43</definedName>
    <definedName name="_xlnm.Print_Area" localSheetId="15">Summary!$C$1:$N$84</definedName>
    <definedName name="_xlnm.Print_Titles" localSheetId="9">'First Mortgage Sizing'!$1:$3</definedName>
    <definedName name="_xlnm.Print_Titles" localSheetId="0">Intro!$1:$7</definedName>
    <definedName name="_xlnm.Print_Titles" localSheetId="13">'Operating Pro Forma'!$C:$C</definedName>
    <definedName name="_xlnm.Print_Titles" localSheetId="5">'Repl Reserve'!$1:$3</definedName>
    <definedName name="_xlnm.Print_Titles" localSheetId="2">Requirements!$1:$2</definedName>
    <definedName name="_xlnm.Print_Titles" localSheetId="11">'S&amp;U By Month'!$2:$2</definedName>
    <definedName name="Rents">Controls!$A$36:$A$46</definedName>
    <definedName name="Section1">'Sources and Uses'!$C$1:$F$78</definedName>
    <definedName name="Section2">'Operating Pro Forma'!$C$1:$AG$51</definedName>
    <definedName name="UAs">Controls!$A$49:$A$58</definedName>
    <definedName name="YesNo">Controls!$A$61:$A$62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0" i="8" l="1"/>
  <c r="T29" i="8"/>
  <c r="T28" i="8"/>
  <c r="AI28" i="8" s="1"/>
  <c r="T27" i="8"/>
  <c r="T26" i="8"/>
  <c r="T25" i="8"/>
  <c r="T24" i="8"/>
  <c r="T23" i="8"/>
  <c r="T22" i="8"/>
  <c r="T21" i="8"/>
  <c r="T20" i="8"/>
  <c r="AI20" i="8" s="1"/>
  <c r="T19" i="8"/>
  <c r="T18" i="8"/>
  <c r="T17" i="8"/>
  <c r="AI17" i="8" s="1"/>
  <c r="D17" i="8" s="1"/>
  <c r="T16" i="8"/>
  <c r="T15" i="8"/>
  <c r="T14" i="8"/>
  <c r="T13" i="8"/>
  <c r="T12" i="8"/>
  <c r="AI12" i="8" s="1"/>
  <c r="T11" i="8"/>
  <c r="T10" i="8"/>
  <c r="T9" i="8"/>
  <c r="T8" i="8"/>
  <c r="K12" i="18"/>
  <c r="K8" i="18"/>
  <c r="K9" i="18"/>
  <c r="K11" i="18"/>
  <c r="K7" i="18"/>
  <c r="K6" i="18"/>
  <c r="M7" i="18"/>
  <c r="M8" i="18"/>
  <c r="C30" i="8"/>
  <c r="C29" i="8"/>
  <c r="C28" i="8"/>
  <c r="C27" i="8"/>
  <c r="C26" i="8"/>
  <c r="C25" i="8"/>
  <c r="C24" i="8"/>
  <c r="C23" i="8"/>
  <c r="C22" i="8"/>
  <c r="C21" i="8"/>
  <c r="C20" i="8"/>
  <c r="C19" i="8"/>
  <c r="C18" i="8"/>
  <c r="C17" i="8"/>
  <c r="C16" i="8"/>
  <c r="C15" i="8"/>
  <c r="C14" i="8"/>
  <c r="C13" i="8"/>
  <c r="C12" i="8"/>
  <c r="C11" i="8"/>
  <c r="C10" i="8"/>
  <c r="C9" i="8"/>
  <c r="C8" i="8"/>
  <c r="C7" i="8"/>
  <c r="D12" i="14"/>
  <c r="F12" i="14" s="1"/>
  <c r="F24" i="14"/>
  <c r="E21" i="14"/>
  <c r="E20" i="14"/>
  <c r="E19" i="14"/>
  <c r="E18" i="14"/>
  <c r="E17" i="14"/>
  <c r="E104" i="2"/>
  <c r="F104" i="2"/>
  <c r="G104" i="2"/>
  <c r="H104" i="2"/>
  <c r="I104" i="2"/>
  <c r="J104" i="2"/>
  <c r="K104" i="2"/>
  <c r="L104" i="2"/>
  <c r="M104" i="2"/>
  <c r="N104" i="2"/>
  <c r="O104" i="2"/>
  <c r="P104" i="2"/>
  <c r="Q104" i="2"/>
  <c r="R104" i="2"/>
  <c r="S104" i="2"/>
  <c r="T104" i="2"/>
  <c r="U104" i="2"/>
  <c r="V104" i="2"/>
  <c r="W104" i="2"/>
  <c r="X104" i="2"/>
  <c r="Y104" i="2"/>
  <c r="Z104" i="2"/>
  <c r="AA104" i="2"/>
  <c r="AB104" i="2"/>
  <c r="AC104" i="2"/>
  <c r="AD104" i="2"/>
  <c r="AE104" i="2"/>
  <c r="AF104" i="2"/>
  <c r="AG104" i="2"/>
  <c r="D104" i="2"/>
  <c r="C13" i="3"/>
  <c r="C12" i="3"/>
  <c r="D19" i="7" s="1"/>
  <c r="C11" i="3"/>
  <c r="D18" i="7"/>
  <c r="C10" i="3"/>
  <c r="D17" i="7"/>
  <c r="E21" i="7"/>
  <c r="E22" i="7"/>
  <c r="D29" i="7"/>
  <c r="D28" i="7"/>
  <c r="D27" i="7"/>
  <c r="D26" i="7"/>
  <c r="D25" i="7"/>
  <c r="D24" i="7"/>
  <c r="D23" i="7"/>
  <c r="D22" i="7"/>
  <c r="D21" i="7"/>
  <c r="D16" i="7"/>
  <c r="D15" i="7"/>
  <c r="H47" i="6"/>
  <c r="Q19" i="6" s="1"/>
  <c r="G47" i="6"/>
  <c r="P19" i="6"/>
  <c r="F47" i="6"/>
  <c r="O19" i="6" s="1"/>
  <c r="E47" i="6"/>
  <c r="N19" i="6" s="1"/>
  <c r="D47" i="6"/>
  <c r="C47" i="6"/>
  <c r="L19" i="6" s="1"/>
  <c r="V30" i="8"/>
  <c r="V29" i="8"/>
  <c r="V28" i="8"/>
  <c r="V27" i="8"/>
  <c r="V26" i="8"/>
  <c r="V25" i="8"/>
  <c r="V24" i="8"/>
  <c r="V23" i="8"/>
  <c r="V22" i="8"/>
  <c r="V21" i="8"/>
  <c r="V20" i="8"/>
  <c r="V19" i="8"/>
  <c r="V18" i="8"/>
  <c r="V17" i="8"/>
  <c r="V16" i="8"/>
  <c r="V15" i="8"/>
  <c r="V14" i="8"/>
  <c r="V13" i="8"/>
  <c r="V12" i="8"/>
  <c r="V11" i="8"/>
  <c r="V10" i="8"/>
  <c r="V9" i="8"/>
  <c r="S30" i="8"/>
  <c r="AI30" i="8" s="1"/>
  <c r="D30" i="8" s="1"/>
  <c r="S29" i="8"/>
  <c r="AI29" i="8" s="1"/>
  <c r="D29" i="8" s="1"/>
  <c r="S28" i="8"/>
  <c r="D28" i="8"/>
  <c r="S27" i="8"/>
  <c r="AI27" i="8" s="1"/>
  <c r="D27" i="8"/>
  <c r="S26" i="8"/>
  <c r="AI26" i="8"/>
  <c r="D26" i="8" s="1"/>
  <c r="S25" i="8"/>
  <c r="AI25" i="8"/>
  <c r="D25" i="8" s="1"/>
  <c r="S24" i="8"/>
  <c r="AI24" i="8"/>
  <c r="D24" i="8" s="1"/>
  <c r="S23" i="8"/>
  <c r="AI23" i="8" s="1"/>
  <c r="D23" i="8" s="1"/>
  <c r="S22" i="8"/>
  <c r="AI22" i="8" s="1"/>
  <c r="D22" i="8" s="1"/>
  <c r="S21" i="8"/>
  <c r="AI21" i="8" s="1"/>
  <c r="D21" i="8" s="1"/>
  <c r="S20" i="8"/>
  <c r="D20" i="8"/>
  <c r="S19" i="8"/>
  <c r="AI19" i="8" s="1"/>
  <c r="D19" i="8" s="1"/>
  <c r="S18" i="8"/>
  <c r="AI18" i="8"/>
  <c r="D18" i="8" s="1"/>
  <c r="S17" i="8"/>
  <c r="S16" i="8"/>
  <c r="AI16" i="8"/>
  <c r="D16" i="8" s="1"/>
  <c r="S15" i="8"/>
  <c r="AI15" i="8" s="1"/>
  <c r="D15" i="8" s="1"/>
  <c r="S14" i="8"/>
  <c r="AI14" i="8" s="1"/>
  <c r="D14" i="8" s="1"/>
  <c r="S13" i="8"/>
  <c r="AI13" i="8" s="1"/>
  <c r="D13" i="8" s="1"/>
  <c r="S12" i="8"/>
  <c r="D12" i="8"/>
  <c r="S11" i="8"/>
  <c r="AI11" i="8" s="1"/>
  <c r="D11" i="8" s="1"/>
  <c r="S10" i="8"/>
  <c r="AI10" i="8"/>
  <c r="D10" i="8" s="1"/>
  <c r="S9" i="8"/>
  <c r="AI9" i="8"/>
  <c r="D9" i="8" s="1"/>
  <c r="L44" i="6"/>
  <c r="L43" i="6"/>
  <c r="L42" i="6"/>
  <c r="L41" i="6"/>
  <c r="K43" i="6"/>
  <c r="K40" i="6"/>
  <c r="A54" i="16" s="1"/>
  <c r="K39" i="6"/>
  <c r="A53" i="16" s="1"/>
  <c r="L40" i="6"/>
  <c r="L39" i="6"/>
  <c r="L38" i="6"/>
  <c r="Q37" i="6"/>
  <c r="P37" i="6"/>
  <c r="O37" i="6"/>
  <c r="N37" i="6"/>
  <c r="M37" i="6"/>
  <c r="L37" i="6"/>
  <c r="Q35" i="6"/>
  <c r="P35" i="6"/>
  <c r="O35" i="6"/>
  <c r="N35" i="6"/>
  <c r="M35" i="6"/>
  <c r="V8" i="8" s="1"/>
  <c r="L35" i="6"/>
  <c r="M24" i="6"/>
  <c r="N24" i="6"/>
  <c r="O24" i="6"/>
  <c r="P24" i="6"/>
  <c r="Q24" i="6"/>
  <c r="M25" i="6"/>
  <c r="N25" i="6"/>
  <c r="O25" i="6"/>
  <c r="P25" i="6"/>
  <c r="Q25" i="6"/>
  <c r="M26" i="6"/>
  <c r="N26" i="6"/>
  <c r="O26" i="6"/>
  <c r="P26" i="6"/>
  <c r="Q26" i="6"/>
  <c r="M27" i="6"/>
  <c r="N27" i="6"/>
  <c r="O27" i="6"/>
  <c r="P27" i="6"/>
  <c r="Q27" i="6"/>
  <c r="L27" i="6"/>
  <c r="L26" i="6"/>
  <c r="L25" i="6"/>
  <c r="L24" i="6"/>
  <c r="K27" i="6"/>
  <c r="A46" i="16"/>
  <c r="K26" i="6"/>
  <c r="A45" i="16"/>
  <c r="K25" i="6"/>
  <c r="K24" i="6"/>
  <c r="A43" i="16"/>
  <c r="K23" i="6"/>
  <c r="A42" i="16"/>
  <c r="K22" i="6"/>
  <c r="A41" i="16"/>
  <c r="K21" i="6"/>
  <c r="K20" i="6"/>
  <c r="Q23" i="6"/>
  <c r="P23" i="6"/>
  <c r="O23" i="6"/>
  <c r="N23" i="6"/>
  <c r="M23" i="6"/>
  <c r="L23" i="6"/>
  <c r="Q22" i="6"/>
  <c r="P22" i="6"/>
  <c r="O22" i="6"/>
  <c r="N22" i="6"/>
  <c r="M22" i="6"/>
  <c r="L22" i="6"/>
  <c r="Q21" i="6"/>
  <c r="P21" i="6"/>
  <c r="O21" i="6"/>
  <c r="N21" i="6"/>
  <c r="M21" i="6"/>
  <c r="L21" i="6"/>
  <c r="Q20" i="6"/>
  <c r="P20" i="6"/>
  <c r="O20" i="6"/>
  <c r="N20" i="6"/>
  <c r="M20" i="6"/>
  <c r="L20" i="6"/>
  <c r="M19" i="6"/>
  <c r="Q18" i="6"/>
  <c r="P18" i="6"/>
  <c r="O18" i="6"/>
  <c r="N18" i="6"/>
  <c r="M18" i="6"/>
  <c r="S7" i="8"/>
  <c r="AI7" i="8" s="1"/>
  <c r="D7" i="8" s="1"/>
  <c r="L18" i="6"/>
  <c r="Q17" i="6"/>
  <c r="P17" i="6"/>
  <c r="O17" i="6"/>
  <c r="N17" i="6"/>
  <c r="M17" i="6"/>
  <c r="S8" i="8"/>
  <c r="AI8" i="8" s="1"/>
  <c r="D8" i="8"/>
  <c r="L17" i="6"/>
  <c r="D161" i="6"/>
  <c r="M44" i="6" s="1"/>
  <c r="E161" i="6"/>
  <c r="D147" i="6"/>
  <c r="E147" i="6" s="1"/>
  <c r="F147" i="6" s="1"/>
  <c r="O43" i="6" s="1"/>
  <c r="G147" i="6"/>
  <c r="D133" i="6"/>
  <c r="E133" i="6" s="1"/>
  <c r="N42" i="6" s="1"/>
  <c r="F133" i="6"/>
  <c r="G133" i="6" s="1"/>
  <c r="D119" i="6"/>
  <c r="E119" i="6"/>
  <c r="N41" i="6" s="1"/>
  <c r="F119" i="6"/>
  <c r="G119" i="6" s="1"/>
  <c r="D105" i="6"/>
  <c r="E105" i="6"/>
  <c r="F105" i="6" s="1"/>
  <c r="D91" i="6"/>
  <c r="E91" i="6" s="1"/>
  <c r="D77" i="6"/>
  <c r="E77" i="6"/>
  <c r="F77" i="6" s="1"/>
  <c r="G77" i="6" s="1"/>
  <c r="C159" i="6"/>
  <c r="C145" i="6"/>
  <c r="C131" i="6"/>
  <c r="C117" i="6"/>
  <c r="C103" i="6"/>
  <c r="C89" i="6"/>
  <c r="C75" i="6"/>
  <c r="C155" i="6"/>
  <c r="C141" i="6"/>
  <c r="C127" i="6"/>
  <c r="C113" i="6"/>
  <c r="C99" i="6"/>
  <c r="C85" i="6"/>
  <c r="C71" i="6"/>
  <c r="C61" i="6"/>
  <c r="C57" i="6"/>
  <c r="M155" i="6"/>
  <c r="N155" i="6" s="1"/>
  <c r="M141" i="6"/>
  <c r="N141" i="6"/>
  <c r="O141" i="6" s="1"/>
  <c r="P141" i="6" s="1"/>
  <c r="M127" i="6"/>
  <c r="N127" i="6"/>
  <c r="M113" i="6"/>
  <c r="J32" i="19"/>
  <c r="K32" i="19"/>
  <c r="L36" i="19"/>
  <c r="K36" i="19"/>
  <c r="O36" i="19" s="1"/>
  <c r="J36" i="19"/>
  <c r="L37" i="19"/>
  <c r="O37" i="19" s="1"/>
  <c r="K37" i="19"/>
  <c r="J37" i="19"/>
  <c r="J35" i="19"/>
  <c r="L35" i="19" s="1"/>
  <c r="J34" i="19"/>
  <c r="L34" i="19"/>
  <c r="J33" i="19"/>
  <c r="K33" i="19"/>
  <c r="O33" i="19" s="1"/>
  <c r="J38" i="19"/>
  <c r="L38" i="19"/>
  <c r="J31" i="19"/>
  <c r="J30" i="19"/>
  <c r="K30" i="19"/>
  <c r="J29" i="19"/>
  <c r="K29" i="19"/>
  <c r="J28" i="19"/>
  <c r="L28" i="19" s="1"/>
  <c r="J27" i="19"/>
  <c r="J26" i="19"/>
  <c r="L26" i="19"/>
  <c r="J25" i="19"/>
  <c r="L25" i="19"/>
  <c r="J24" i="19"/>
  <c r="L24" i="19" s="1"/>
  <c r="J23" i="19"/>
  <c r="L22" i="19"/>
  <c r="K22" i="19"/>
  <c r="O22" i="19" s="1"/>
  <c r="J22" i="19"/>
  <c r="K14" i="19"/>
  <c r="O14" i="19" s="1"/>
  <c r="L14" i="19"/>
  <c r="K15" i="19"/>
  <c r="O15" i="19" s="1"/>
  <c r="L15" i="19"/>
  <c r="K16" i="19"/>
  <c r="L16" i="19"/>
  <c r="K21" i="19"/>
  <c r="L21" i="19"/>
  <c r="O21" i="19"/>
  <c r="J2" i="19"/>
  <c r="M14" i="19" s="1"/>
  <c r="J21" i="19"/>
  <c r="J20" i="19"/>
  <c r="K20" i="19"/>
  <c r="J19" i="19"/>
  <c r="K19" i="19"/>
  <c r="J18" i="19"/>
  <c r="J17" i="19"/>
  <c r="K17" i="19" s="1"/>
  <c r="O17" i="19" s="1"/>
  <c r="L17" i="19"/>
  <c r="J16" i="19"/>
  <c r="J15" i="19"/>
  <c r="J14" i="19"/>
  <c r="J13" i="19"/>
  <c r="L13" i="19"/>
  <c r="N113" i="6"/>
  <c r="O113" i="6" s="1"/>
  <c r="M38" i="6"/>
  <c r="M40" i="6"/>
  <c r="O42" i="6"/>
  <c r="K41" i="6"/>
  <c r="M43" i="6"/>
  <c r="O38" i="6"/>
  <c r="M41" i="6"/>
  <c r="O155" i="6"/>
  <c r="L32" i="19"/>
  <c r="O32" i="19"/>
  <c r="K13" i="19"/>
  <c r="O13" i="19" s="1"/>
  <c r="L20" i="19"/>
  <c r="O20" i="19" s="1"/>
  <c r="L33" i="19"/>
  <c r="O16" i="19"/>
  <c r="K35" i="19"/>
  <c r="O35" i="19" s="1"/>
  <c r="K34" i="19"/>
  <c r="O34" i="19"/>
  <c r="M33" i="19"/>
  <c r="N33" i="19" s="1"/>
  <c r="M34" i="19"/>
  <c r="N34" i="19" s="1"/>
  <c r="M13" i="19"/>
  <c r="N13" i="19" s="1"/>
  <c r="M20" i="19"/>
  <c r="N20" i="19" s="1"/>
  <c r="M23" i="19"/>
  <c r="N23" i="19" s="1"/>
  <c r="M27" i="19"/>
  <c r="N27" i="19" s="1"/>
  <c r="M16" i="19"/>
  <c r="N16" i="19" s="1"/>
  <c r="M24" i="19"/>
  <c r="N24" i="19" s="1"/>
  <c r="M22" i="19"/>
  <c r="N22" i="19" s="1"/>
  <c r="M25" i="19"/>
  <c r="N25" i="19" s="1"/>
  <c r="M11" i="19"/>
  <c r="N11" i="19" s="1"/>
  <c r="M19" i="19"/>
  <c r="N19" i="19" s="1"/>
  <c r="K38" i="19"/>
  <c r="O38" i="19"/>
  <c r="L30" i="19"/>
  <c r="L29" i="19"/>
  <c r="K25" i="19"/>
  <c r="K26" i="19"/>
  <c r="L19" i="19"/>
  <c r="O19" i="19"/>
  <c r="P155" i="6"/>
  <c r="Q155" i="6" s="1"/>
  <c r="J12" i="19"/>
  <c r="AH7" i="8"/>
  <c r="J11" i="19"/>
  <c r="Q141" i="6"/>
  <c r="L11" i="19"/>
  <c r="K11" i="19"/>
  <c r="K12" i="19"/>
  <c r="L12" i="19"/>
  <c r="D54" i="10"/>
  <c r="D53" i="10"/>
  <c r="D52" i="10"/>
  <c r="D51" i="10"/>
  <c r="M57" i="6"/>
  <c r="N57" i="6"/>
  <c r="O57" i="6" s="1"/>
  <c r="P57" i="6" s="1"/>
  <c r="Q57" i="6" s="1"/>
  <c r="A173" i="6"/>
  <c r="I174" i="6"/>
  <c r="I175" i="6" s="1"/>
  <c r="A174" i="6"/>
  <c r="A175" i="6"/>
  <c r="O173" i="6"/>
  <c r="M173" i="6" s="1"/>
  <c r="D173" i="6" s="1"/>
  <c r="A182" i="6"/>
  <c r="O182" i="6"/>
  <c r="L182" i="6" s="1"/>
  <c r="N182" i="6"/>
  <c r="E182" i="6"/>
  <c r="C182" i="6"/>
  <c r="A183" i="6"/>
  <c r="O183" i="6"/>
  <c r="L183" i="6" s="1"/>
  <c r="M183" i="6"/>
  <c r="A184" i="6"/>
  <c r="O184" i="6"/>
  <c r="L184" i="6"/>
  <c r="C184" i="6" s="1"/>
  <c r="M184" i="6"/>
  <c r="N184" i="6"/>
  <c r="E184" i="6" s="1"/>
  <c r="P184" i="6"/>
  <c r="F184" i="6"/>
  <c r="Q184" i="6"/>
  <c r="G184" i="6"/>
  <c r="R184" i="6"/>
  <c r="S184" i="6"/>
  <c r="A185" i="6"/>
  <c r="M71" i="6"/>
  <c r="N71" i="6"/>
  <c r="O71" i="6" s="1"/>
  <c r="P71" i="6"/>
  <c r="Q71" i="6" s="1"/>
  <c r="M85" i="6"/>
  <c r="N85" i="6"/>
  <c r="O85" i="6" s="1"/>
  <c r="P85" i="6" s="1"/>
  <c r="Q85" i="6" s="1"/>
  <c r="M99" i="6"/>
  <c r="N99" i="6"/>
  <c r="O99" i="6" s="1"/>
  <c r="P99" i="6" s="1"/>
  <c r="Q99" i="6"/>
  <c r="E16" i="18"/>
  <c r="C24" i="18"/>
  <c r="F16" i="18"/>
  <c r="E9" i="18"/>
  <c r="C22" i="18"/>
  <c r="E20" i="18"/>
  <c r="F20" i="18" s="1"/>
  <c r="E15" i="18"/>
  <c r="F15" i="18" s="1"/>
  <c r="E18" i="18"/>
  <c r="F18" i="18"/>
  <c r="F9" i="18"/>
  <c r="F8" i="18"/>
  <c r="J16" i="9"/>
  <c r="K16" i="9" s="1"/>
  <c r="F16" i="9"/>
  <c r="E16" i="9"/>
  <c r="J11" i="9"/>
  <c r="K11" i="9"/>
  <c r="E12" i="10"/>
  <c r="E16" i="6"/>
  <c r="C130" i="9"/>
  <c r="C129" i="9"/>
  <c r="D130" i="9"/>
  <c r="D129" i="9"/>
  <c r="D128" i="9"/>
  <c r="C128" i="9"/>
  <c r="D127" i="9"/>
  <c r="C127" i="9"/>
  <c r="D126" i="9"/>
  <c r="C126" i="9"/>
  <c r="D125" i="9"/>
  <c r="D136" i="9" s="1"/>
  <c r="C125" i="9"/>
  <c r="J20" i="9"/>
  <c r="K20" i="9"/>
  <c r="F20" i="9"/>
  <c r="J19" i="9"/>
  <c r="K19" i="9" s="1"/>
  <c r="F19" i="9"/>
  <c r="J14" i="9"/>
  <c r="K14" i="9" s="1"/>
  <c r="J13" i="9"/>
  <c r="K13" i="9"/>
  <c r="F14" i="9"/>
  <c r="F13" i="9"/>
  <c r="E14" i="9"/>
  <c r="E13" i="9"/>
  <c r="H8" i="8"/>
  <c r="I8" i="8" s="1"/>
  <c r="E31" i="13"/>
  <c r="F96" i="9"/>
  <c r="F95" i="9"/>
  <c r="F94" i="9"/>
  <c r="F93" i="9"/>
  <c r="F92" i="9"/>
  <c r="F91" i="9"/>
  <c r="F89" i="9"/>
  <c r="F88" i="9"/>
  <c r="F87" i="9"/>
  <c r="F86" i="9"/>
  <c r="F85" i="9"/>
  <c r="F84" i="9"/>
  <c r="F82" i="9"/>
  <c r="F81" i="9"/>
  <c r="F80" i="9"/>
  <c r="F79" i="9"/>
  <c r="F77" i="9"/>
  <c r="F76" i="9"/>
  <c r="F74" i="9"/>
  <c r="F73" i="9"/>
  <c r="F72" i="9"/>
  <c r="F71" i="9"/>
  <c r="F70" i="9"/>
  <c r="F69" i="9"/>
  <c r="F68" i="9"/>
  <c r="F67" i="9"/>
  <c r="F66" i="9"/>
  <c r="F64" i="9"/>
  <c r="F63" i="9"/>
  <c r="F62" i="9"/>
  <c r="F61" i="9"/>
  <c r="F60" i="9"/>
  <c r="F59" i="9"/>
  <c r="F58" i="9"/>
  <c r="F56" i="9"/>
  <c r="F55" i="9"/>
  <c r="F53" i="9"/>
  <c r="F52" i="9"/>
  <c r="F51" i="9"/>
  <c r="F50" i="9"/>
  <c r="F49" i="9"/>
  <c r="F48" i="9"/>
  <c r="F47" i="9"/>
  <c r="F46" i="9"/>
  <c r="F45" i="9"/>
  <c r="F44" i="9"/>
  <c r="F43" i="9"/>
  <c r="F42" i="9"/>
  <c r="F41" i="9"/>
  <c r="F40" i="9"/>
  <c r="F39" i="9"/>
  <c r="F38" i="9"/>
  <c r="F37" i="9"/>
  <c r="F36" i="9"/>
  <c r="F34" i="9"/>
  <c r="F33" i="9"/>
  <c r="F32" i="9"/>
  <c r="F31" i="9"/>
  <c r="F29" i="9"/>
  <c r="F28" i="9"/>
  <c r="F27" i="9"/>
  <c r="F26" i="9"/>
  <c r="F25" i="9"/>
  <c r="F24" i="9"/>
  <c r="F23" i="9"/>
  <c r="F22" i="9"/>
  <c r="F21" i="9"/>
  <c r="F18" i="9"/>
  <c r="F15" i="9"/>
  <c r="F12" i="9"/>
  <c r="F10" i="9"/>
  <c r="F9" i="9"/>
  <c r="F7" i="9"/>
  <c r="F6" i="9"/>
  <c r="F5" i="9"/>
  <c r="E96" i="9"/>
  <c r="E95" i="9"/>
  <c r="E94" i="9"/>
  <c r="E93" i="9"/>
  <c r="E92" i="9"/>
  <c r="E91" i="9"/>
  <c r="E89" i="9"/>
  <c r="E88" i="9"/>
  <c r="E87" i="9"/>
  <c r="E85" i="9"/>
  <c r="E84" i="9"/>
  <c r="E82" i="9"/>
  <c r="E81" i="9"/>
  <c r="E79" i="9"/>
  <c r="E76" i="9"/>
  <c r="E73" i="9"/>
  <c r="E72" i="9"/>
  <c r="E69" i="9"/>
  <c r="E68" i="9"/>
  <c r="E66" i="9"/>
  <c r="E64" i="9"/>
  <c r="E63" i="9"/>
  <c r="E62" i="9"/>
  <c r="E61" i="9"/>
  <c r="E60" i="9"/>
  <c r="E59" i="9"/>
  <c r="E58" i="9"/>
  <c r="E53" i="9"/>
  <c r="E52" i="9"/>
  <c r="E46" i="9"/>
  <c r="E40" i="9"/>
  <c r="E39" i="9"/>
  <c r="E36" i="9"/>
  <c r="E34" i="9"/>
  <c r="E33" i="9"/>
  <c r="E32" i="9"/>
  <c r="E29" i="9"/>
  <c r="E28" i="9"/>
  <c r="E26" i="9"/>
  <c r="E21" i="9"/>
  <c r="E18" i="9"/>
  <c r="E15" i="9"/>
  <c r="E12" i="9"/>
  <c r="E10" i="9"/>
  <c r="E9" i="9"/>
  <c r="E7" i="9"/>
  <c r="I114" i="9"/>
  <c r="I115" i="9"/>
  <c r="I116" i="9"/>
  <c r="I117" i="9"/>
  <c r="I118" i="9"/>
  <c r="C118" i="9" s="1"/>
  <c r="I120" i="9"/>
  <c r="AH8" i="8"/>
  <c r="AH9" i="8"/>
  <c r="AH10" i="8"/>
  <c r="AH11" i="8"/>
  <c r="AH12" i="8"/>
  <c r="AH13" i="8"/>
  <c r="AH14" i="8"/>
  <c r="AH15" i="8"/>
  <c r="AH16" i="8"/>
  <c r="AH17" i="8"/>
  <c r="AH18" i="8"/>
  <c r="AH19" i="8"/>
  <c r="AH20" i="8"/>
  <c r="AH21" i="8"/>
  <c r="AH22" i="8"/>
  <c r="AH23" i="8"/>
  <c r="AH24" i="8"/>
  <c r="AH25" i="8"/>
  <c r="AH26" i="8"/>
  <c r="AH27" i="8"/>
  <c r="AH28" i="8"/>
  <c r="AH29" i="8"/>
  <c r="AH30" i="8"/>
  <c r="J50" i="9"/>
  <c r="K50" i="9"/>
  <c r="E37" i="6"/>
  <c r="F37" i="6"/>
  <c r="E104" i="13"/>
  <c r="E93" i="13"/>
  <c r="E83" i="13"/>
  <c r="B23" i="16"/>
  <c r="B22" i="16"/>
  <c r="AE54" i="17"/>
  <c r="AF54" i="17"/>
  <c r="J86" i="9"/>
  <c r="K86" i="9"/>
  <c r="AG96" i="2"/>
  <c r="AF96" i="2"/>
  <c r="AE96" i="2"/>
  <c r="AD96" i="2"/>
  <c r="AC96" i="2"/>
  <c r="AB96" i="2"/>
  <c r="AA96" i="2"/>
  <c r="Z96" i="2"/>
  <c r="Y96" i="2"/>
  <c r="X96" i="2"/>
  <c r="W96" i="2"/>
  <c r="V96" i="2"/>
  <c r="U96" i="2"/>
  <c r="T96" i="2"/>
  <c r="S96" i="2"/>
  <c r="R96" i="2"/>
  <c r="Q96" i="2"/>
  <c r="P96" i="2"/>
  <c r="O96" i="2"/>
  <c r="N96" i="2"/>
  <c r="M96" i="2"/>
  <c r="L96" i="2"/>
  <c r="K96" i="2"/>
  <c r="J96" i="2"/>
  <c r="I96" i="2"/>
  <c r="H96" i="2"/>
  <c r="G96" i="2"/>
  <c r="F96" i="2"/>
  <c r="E96" i="2"/>
  <c r="D96" i="2"/>
  <c r="AG81" i="2"/>
  <c r="AF81" i="2"/>
  <c r="AE81" i="2"/>
  <c r="AD81" i="2"/>
  <c r="AC81" i="2"/>
  <c r="AB81" i="2"/>
  <c r="AA81" i="2"/>
  <c r="Z81" i="2"/>
  <c r="Y81" i="2"/>
  <c r="X81" i="2"/>
  <c r="W81" i="2"/>
  <c r="V81" i="2"/>
  <c r="U81" i="2"/>
  <c r="T81" i="2"/>
  <c r="S81" i="2"/>
  <c r="R81" i="2"/>
  <c r="Q81" i="2"/>
  <c r="P81" i="2"/>
  <c r="O81" i="2"/>
  <c r="N81" i="2"/>
  <c r="M81" i="2"/>
  <c r="L81" i="2"/>
  <c r="K81" i="2"/>
  <c r="J81" i="2"/>
  <c r="I81" i="2"/>
  <c r="H81" i="2"/>
  <c r="G81" i="2"/>
  <c r="F81" i="2"/>
  <c r="E81" i="2"/>
  <c r="D81" i="2"/>
  <c r="E64" i="2"/>
  <c r="F64" i="2"/>
  <c r="G64" i="2"/>
  <c r="H64" i="2"/>
  <c r="I64" i="2"/>
  <c r="J64" i="2"/>
  <c r="K64" i="2"/>
  <c r="L64" i="2"/>
  <c r="M64" i="2"/>
  <c r="N64" i="2"/>
  <c r="O64" i="2"/>
  <c r="P64" i="2"/>
  <c r="Q64" i="2"/>
  <c r="R64" i="2"/>
  <c r="S64" i="2"/>
  <c r="T64" i="2"/>
  <c r="U64" i="2"/>
  <c r="V64" i="2"/>
  <c r="W64" i="2"/>
  <c r="X64" i="2"/>
  <c r="Y64" i="2"/>
  <c r="Z64" i="2"/>
  <c r="AA64" i="2"/>
  <c r="AB64" i="2"/>
  <c r="AC64" i="2"/>
  <c r="AD64" i="2"/>
  <c r="AE64" i="2"/>
  <c r="AF64" i="2"/>
  <c r="AG64" i="2"/>
  <c r="D64" i="2"/>
  <c r="E119" i="17"/>
  <c r="E115" i="17"/>
  <c r="D113" i="17"/>
  <c r="C113" i="17"/>
  <c r="D112" i="17"/>
  <c r="C112" i="17"/>
  <c r="D111" i="17"/>
  <c r="C111" i="17"/>
  <c r="D110" i="17"/>
  <c r="C110" i="17"/>
  <c r="D109" i="17"/>
  <c r="C109" i="17"/>
  <c r="D108" i="17"/>
  <c r="C108" i="17"/>
  <c r="D107" i="17"/>
  <c r="C107" i="17"/>
  <c r="D106" i="17"/>
  <c r="C106" i="17"/>
  <c r="D105" i="17"/>
  <c r="C105" i="17"/>
  <c r="C100" i="17"/>
  <c r="F98" i="17"/>
  <c r="C99" i="17"/>
  <c r="F7" i="17"/>
  <c r="G3" i="17"/>
  <c r="D5" i="17"/>
  <c r="D4" i="17"/>
  <c r="D92" i="17"/>
  <c r="E92" i="17" s="1"/>
  <c r="C92" i="17"/>
  <c r="D91" i="17"/>
  <c r="E91" i="17" s="1"/>
  <c r="C91" i="17"/>
  <c r="D90" i="17"/>
  <c r="E90" i="17" s="1"/>
  <c r="C90" i="17"/>
  <c r="D89" i="17"/>
  <c r="E89" i="17" s="1"/>
  <c r="C89" i="17"/>
  <c r="D88" i="17"/>
  <c r="E88" i="17"/>
  <c r="C88" i="17"/>
  <c r="D87" i="17"/>
  <c r="E87" i="17"/>
  <c r="C87" i="17"/>
  <c r="D85" i="17"/>
  <c r="E85" i="17"/>
  <c r="C85" i="17"/>
  <c r="D84" i="17"/>
  <c r="E84" i="17"/>
  <c r="C84" i="17"/>
  <c r="D83" i="17"/>
  <c r="C83" i="17"/>
  <c r="D82" i="17"/>
  <c r="C82" i="17"/>
  <c r="D81" i="17"/>
  <c r="C81" i="17"/>
  <c r="D80" i="17"/>
  <c r="C80" i="17"/>
  <c r="D78" i="17"/>
  <c r="E78" i="17" s="1"/>
  <c r="C78" i="17"/>
  <c r="D77" i="17"/>
  <c r="E77" i="17" s="1"/>
  <c r="C77" i="17"/>
  <c r="D76" i="17"/>
  <c r="C76" i="17"/>
  <c r="D75" i="17"/>
  <c r="C75" i="17"/>
  <c r="D74" i="17"/>
  <c r="C74" i="17"/>
  <c r="D73" i="17"/>
  <c r="C73" i="17"/>
  <c r="D70" i="17"/>
  <c r="D69" i="17"/>
  <c r="D68" i="17"/>
  <c r="D67" i="17"/>
  <c r="D66" i="17"/>
  <c r="D65" i="17"/>
  <c r="D64" i="17"/>
  <c r="D63" i="17"/>
  <c r="E63" i="17"/>
  <c r="D61" i="17"/>
  <c r="E61" i="17"/>
  <c r="D60" i="17"/>
  <c r="E60" i="17" s="1"/>
  <c r="D59" i="17"/>
  <c r="E59" i="17" s="1"/>
  <c r="D58" i="17"/>
  <c r="E58" i="17"/>
  <c r="D57" i="17"/>
  <c r="E57" i="17"/>
  <c r="D56" i="17"/>
  <c r="E56" i="17" s="1"/>
  <c r="D53" i="17"/>
  <c r="E53" i="17" s="1"/>
  <c r="D52" i="17"/>
  <c r="E52" i="17"/>
  <c r="D50" i="17"/>
  <c r="E50" i="17"/>
  <c r="D49" i="17"/>
  <c r="E49" i="17" s="1"/>
  <c r="D48" i="17"/>
  <c r="D47" i="17"/>
  <c r="E47" i="17"/>
  <c r="D46" i="17"/>
  <c r="E46" i="17" s="1"/>
  <c r="D45" i="17"/>
  <c r="E45" i="17" s="1"/>
  <c r="D44" i="17"/>
  <c r="E44" i="17"/>
  <c r="D43" i="17"/>
  <c r="E43" i="17"/>
  <c r="D42" i="17"/>
  <c r="E42" i="17" s="1"/>
  <c r="D41" i="17"/>
  <c r="E41" i="17" s="1"/>
  <c r="D40" i="17"/>
  <c r="E40" i="17"/>
  <c r="D39" i="17"/>
  <c r="E39" i="17"/>
  <c r="D38" i="17"/>
  <c r="E38" i="17" s="1"/>
  <c r="D37" i="17"/>
  <c r="E37" i="17" s="1"/>
  <c r="D36" i="17"/>
  <c r="D35" i="17"/>
  <c r="E35" i="17" s="1"/>
  <c r="D34" i="17"/>
  <c r="E34" i="17"/>
  <c r="D32" i="17"/>
  <c r="D31" i="17"/>
  <c r="D30" i="17"/>
  <c r="D29" i="17"/>
  <c r="D27" i="17"/>
  <c r="D26" i="17"/>
  <c r="D25" i="17"/>
  <c r="D24" i="17"/>
  <c r="E24" i="17" s="1"/>
  <c r="D22" i="17"/>
  <c r="D20" i="17"/>
  <c r="D19" i="17"/>
  <c r="D18" i="17"/>
  <c r="D16" i="17"/>
  <c r="E16" i="17" s="1"/>
  <c r="D15" i="17"/>
  <c r="D14" i="17"/>
  <c r="E14" i="17"/>
  <c r="D13" i="17"/>
  <c r="E13" i="17" s="1"/>
  <c r="D11" i="17"/>
  <c r="D10" i="17"/>
  <c r="E10" i="17"/>
  <c r="D9" i="17"/>
  <c r="E9" i="17"/>
  <c r="C71" i="17"/>
  <c r="C70" i="17"/>
  <c r="C69" i="17"/>
  <c r="C68" i="17"/>
  <c r="C67" i="17"/>
  <c r="C66" i="17"/>
  <c r="C65" i="17"/>
  <c r="C64" i="17"/>
  <c r="C63" i="17"/>
  <c r="C61" i="17"/>
  <c r="C60" i="17"/>
  <c r="C59" i="17"/>
  <c r="C58" i="17"/>
  <c r="C57" i="17"/>
  <c r="C56" i="17"/>
  <c r="C55" i="17"/>
  <c r="C53" i="17"/>
  <c r="C52" i="17"/>
  <c r="C50" i="17"/>
  <c r="C49" i="17"/>
  <c r="C48" i="17"/>
  <c r="C47" i="17"/>
  <c r="C46" i="17"/>
  <c r="C45" i="17"/>
  <c r="C44" i="17"/>
  <c r="C43" i="17"/>
  <c r="C42" i="17"/>
  <c r="C41" i="17"/>
  <c r="C40" i="17"/>
  <c r="C39" i="17"/>
  <c r="C38" i="17"/>
  <c r="C37" i="17"/>
  <c r="C36" i="17"/>
  <c r="C35" i="17"/>
  <c r="C34" i="17"/>
  <c r="C32" i="17"/>
  <c r="C31" i="17"/>
  <c r="C30" i="17"/>
  <c r="C29" i="17"/>
  <c r="C27" i="17"/>
  <c r="C26" i="17"/>
  <c r="C25" i="17"/>
  <c r="C24" i="17"/>
  <c r="C23" i="17"/>
  <c r="C22" i="17"/>
  <c r="C21" i="17"/>
  <c r="C20" i="17"/>
  <c r="C19" i="17"/>
  <c r="C18" i="17"/>
  <c r="C16" i="17"/>
  <c r="C15" i="17"/>
  <c r="C14" i="17"/>
  <c r="C13" i="17"/>
  <c r="C11" i="17"/>
  <c r="C10" i="17"/>
  <c r="C9" i="17"/>
  <c r="F11" i="17"/>
  <c r="F32" i="17"/>
  <c r="H3" i="17"/>
  <c r="E29" i="17"/>
  <c r="C28" i="5"/>
  <c r="B20" i="16"/>
  <c r="B19" i="16"/>
  <c r="B21" i="16" s="1"/>
  <c r="AG94" i="2"/>
  <c r="AG52" i="2"/>
  <c r="AG30" i="2"/>
  <c r="AF94" i="2"/>
  <c r="AF52" i="2" s="1"/>
  <c r="AE94" i="2"/>
  <c r="AE52" i="2"/>
  <c r="AD94" i="2"/>
  <c r="AD52" i="2" s="1"/>
  <c r="AC94" i="2"/>
  <c r="AC52" i="2" s="1"/>
  <c r="AB94" i="2"/>
  <c r="AB52" i="2"/>
  <c r="AA94" i="2"/>
  <c r="AA52" i="2" s="1"/>
  <c r="Z94" i="2"/>
  <c r="Z52" i="2" s="1"/>
  <c r="Y94" i="2"/>
  <c r="Y52" i="2"/>
  <c r="X94" i="2"/>
  <c r="X52" i="2"/>
  <c r="W94" i="2"/>
  <c r="W52" i="2" s="1"/>
  <c r="V94" i="2"/>
  <c r="V52" i="2" s="1"/>
  <c r="U94" i="2"/>
  <c r="U52" i="2"/>
  <c r="T94" i="2"/>
  <c r="T52" i="2"/>
  <c r="S94" i="2"/>
  <c r="S52" i="2" s="1"/>
  <c r="R94" i="2"/>
  <c r="R52" i="2" s="1"/>
  <c r="Q94" i="2"/>
  <c r="Q52" i="2"/>
  <c r="P94" i="2"/>
  <c r="P52" i="2"/>
  <c r="O94" i="2"/>
  <c r="O52" i="2" s="1"/>
  <c r="N94" i="2"/>
  <c r="N52" i="2" s="1"/>
  <c r="M94" i="2"/>
  <c r="M52" i="2"/>
  <c r="L94" i="2"/>
  <c r="L52" i="2"/>
  <c r="K94" i="2"/>
  <c r="K52" i="2" s="1"/>
  <c r="J94" i="2"/>
  <c r="J52" i="2" s="1"/>
  <c r="I94" i="2"/>
  <c r="I52" i="2"/>
  <c r="H94" i="2"/>
  <c r="H52" i="2"/>
  <c r="G94" i="2"/>
  <c r="G52" i="2" s="1"/>
  <c r="F94" i="2"/>
  <c r="F52" i="2" s="1"/>
  <c r="E94" i="2"/>
  <c r="E52" i="2"/>
  <c r="D94" i="2"/>
  <c r="D52" i="2"/>
  <c r="AG93" i="2"/>
  <c r="AG51" i="2" s="1"/>
  <c r="AF93" i="2"/>
  <c r="AF51" i="2" s="1"/>
  <c r="AE93" i="2"/>
  <c r="AE51" i="2"/>
  <c r="AD93" i="2"/>
  <c r="AD51" i="2"/>
  <c r="AC93" i="2"/>
  <c r="AC51" i="2" s="1"/>
  <c r="AB93" i="2"/>
  <c r="AB51" i="2" s="1"/>
  <c r="AB29" i="2"/>
  <c r="AA93" i="2"/>
  <c r="AA51" i="2" s="1"/>
  <c r="Z93" i="2"/>
  <c r="Z51" i="2" s="1"/>
  <c r="Y93" i="2"/>
  <c r="Y51" i="2"/>
  <c r="X93" i="2"/>
  <c r="X51" i="2" s="1"/>
  <c r="W93" i="2"/>
  <c r="W51" i="2" s="1"/>
  <c r="V93" i="2"/>
  <c r="V51" i="2" s="1"/>
  <c r="U93" i="2"/>
  <c r="U51" i="2"/>
  <c r="T93" i="2"/>
  <c r="T51" i="2" s="1"/>
  <c r="S93" i="2"/>
  <c r="S51" i="2" s="1"/>
  <c r="R93" i="2"/>
  <c r="R51" i="2" s="1"/>
  <c r="Q93" i="2"/>
  <c r="Q51" i="2"/>
  <c r="P93" i="2"/>
  <c r="P51" i="2" s="1"/>
  <c r="O93" i="2"/>
  <c r="O51" i="2" s="1"/>
  <c r="N93" i="2"/>
  <c r="N51" i="2" s="1"/>
  <c r="M93" i="2"/>
  <c r="M51" i="2"/>
  <c r="L93" i="2"/>
  <c r="L51" i="2" s="1"/>
  <c r="K93" i="2"/>
  <c r="K51" i="2" s="1"/>
  <c r="J93" i="2"/>
  <c r="J51" i="2" s="1"/>
  <c r="I93" i="2"/>
  <c r="I51" i="2"/>
  <c r="H93" i="2"/>
  <c r="H51" i="2" s="1"/>
  <c r="G93" i="2"/>
  <c r="G51" i="2" s="1"/>
  <c r="F93" i="2"/>
  <c r="F51" i="2" s="1"/>
  <c r="E93" i="2"/>
  <c r="E51" i="2"/>
  <c r="D93" i="2"/>
  <c r="D51" i="2" s="1"/>
  <c r="D90" i="2"/>
  <c r="D91" i="2" s="1"/>
  <c r="D50" i="2" s="1"/>
  <c r="AG89" i="2"/>
  <c r="AG90" i="2" s="1"/>
  <c r="AF89" i="2"/>
  <c r="AF90" i="2" s="1"/>
  <c r="AE89" i="2"/>
  <c r="AE90" i="2"/>
  <c r="AD89" i="2"/>
  <c r="AD90" i="2"/>
  <c r="AC89" i="2"/>
  <c r="AC90" i="2" s="1"/>
  <c r="AB89" i="2"/>
  <c r="AB90" i="2" s="1"/>
  <c r="AA89" i="2"/>
  <c r="AA90" i="2"/>
  <c r="Z89" i="2"/>
  <c r="Z90" i="2"/>
  <c r="Y89" i="2"/>
  <c r="Y90" i="2" s="1"/>
  <c r="X89" i="2"/>
  <c r="X90" i="2" s="1"/>
  <c r="W89" i="2"/>
  <c r="W90" i="2"/>
  <c r="V89" i="2"/>
  <c r="V90" i="2"/>
  <c r="U89" i="2"/>
  <c r="U90" i="2" s="1"/>
  <c r="T89" i="2"/>
  <c r="T90" i="2" s="1"/>
  <c r="S89" i="2"/>
  <c r="R89" i="2"/>
  <c r="R90" i="2" s="1"/>
  <c r="Q89" i="2"/>
  <c r="Q90" i="2" s="1"/>
  <c r="P89" i="2"/>
  <c r="P90" i="2"/>
  <c r="O89" i="2"/>
  <c r="O90" i="2" s="1"/>
  <c r="N89" i="2"/>
  <c r="N90" i="2" s="1"/>
  <c r="M89" i="2"/>
  <c r="M90" i="2" s="1"/>
  <c r="L89" i="2"/>
  <c r="L90" i="2"/>
  <c r="K89" i="2"/>
  <c r="K90" i="2" s="1"/>
  <c r="J89" i="2"/>
  <c r="J90" i="2" s="1"/>
  <c r="I89" i="2"/>
  <c r="I90" i="2" s="1"/>
  <c r="H89" i="2"/>
  <c r="H90" i="2"/>
  <c r="G89" i="2"/>
  <c r="G90" i="2" s="1"/>
  <c r="F89" i="2"/>
  <c r="F90" i="2" s="1"/>
  <c r="E89" i="2"/>
  <c r="E90" i="2" s="1"/>
  <c r="E91" i="2" s="1"/>
  <c r="D89" i="2"/>
  <c r="D85" i="2"/>
  <c r="AG84" i="2"/>
  <c r="AG85" i="2" s="1"/>
  <c r="AF84" i="2"/>
  <c r="AF85" i="2" s="1"/>
  <c r="AE84" i="2"/>
  <c r="AE85" i="2" s="1"/>
  <c r="AD84" i="2"/>
  <c r="AD85" i="2"/>
  <c r="AC84" i="2"/>
  <c r="AC85" i="2" s="1"/>
  <c r="AB84" i="2"/>
  <c r="AB85" i="2" s="1"/>
  <c r="AA84" i="2"/>
  <c r="AA85" i="2" s="1"/>
  <c r="Z84" i="2"/>
  <c r="Z85" i="2"/>
  <c r="Y84" i="2"/>
  <c r="Y85" i="2" s="1"/>
  <c r="X84" i="2"/>
  <c r="X85" i="2" s="1"/>
  <c r="W84" i="2"/>
  <c r="W85" i="2" s="1"/>
  <c r="V84" i="2"/>
  <c r="V85" i="2"/>
  <c r="U84" i="2"/>
  <c r="U85" i="2" s="1"/>
  <c r="T84" i="2"/>
  <c r="T85" i="2" s="1"/>
  <c r="S84" i="2"/>
  <c r="S85" i="2" s="1"/>
  <c r="R84" i="2"/>
  <c r="Q84" i="2"/>
  <c r="P84" i="2"/>
  <c r="O84" i="2"/>
  <c r="N84" i="2"/>
  <c r="M84" i="2"/>
  <c r="L84" i="2"/>
  <c r="K84" i="2"/>
  <c r="J84" i="2"/>
  <c r="I84" i="2"/>
  <c r="H84" i="2"/>
  <c r="G84" i="2"/>
  <c r="F84" i="2"/>
  <c r="E84" i="2"/>
  <c r="D84"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32" i="2"/>
  <c r="C31"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AG29" i="2"/>
  <c r="AF29" i="2"/>
  <c r="AE29" i="2"/>
  <c r="AD29" i="2"/>
  <c r="AC29" i="2"/>
  <c r="AA29" i="2"/>
  <c r="Z29" i="2"/>
  <c r="Y29" i="2"/>
  <c r="X29" i="2"/>
  <c r="W29" i="2"/>
  <c r="V29" i="2"/>
  <c r="U29" i="2"/>
  <c r="T29" i="2"/>
  <c r="S29" i="2"/>
  <c r="R29" i="2"/>
  <c r="Q29" i="2"/>
  <c r="P29" i="2"/>
  <c r="O29" i="2"/>
  <c r="N29" i="2"/>
  <c r="M29" i="2"/>
  <c r="L29" i="2"/>
  <c r="K29" i="2"/>
  <c r="J29" i="2"/>
  <c r="I29" i="2"/>
  <c r="H29" i="2"/>
  <c r="G29" i="2"/>
  <c r="F29" i="2"/>
  <c r="E29" i="2"/>
  <c r="D29" i="2"/>
  <c r="B16" i="16"/>
  <c r="B17" i="16"/>
  <c r="B14" i="16"/>
  <c r="B13" i="16"/>
  <c r="B11" i="16"/>
  <c r="B8" i="16"/>
  <c r="B7" i="16"/>
  <c r="B10" i="16"/>
  <c r="K44" i="6"/>
  <c r="A58" i="16" s="1"/>
  <c r="A55" i="16"/>
  <c r="B5" i="16"/>
  <c r="B4" i="16"/>
  <c r="E21" i="13"/>
  <c r="H40" i="6"/>
  <c r="O22" i="3"/>
  <c r="O21" i="3"/>
  <c r="O20" i="3"/>
  <c r="O19" i="3"/>
  <c r="O18" i="3"/>
  <c r="O17" i="3"/>
  <c r="O16" i="3"/>
  <c r="O15" i="3"/>
  <c r="O14" i="3"/>
  <c r="N13" i="3"/>
  <c r="E13" i="3" s="1"/>
  <c r="O13" i="3" s="1"/>
  <c r="N12" i="3"/>
  <c r="E12" i="3" s="1"/>
  <c r="O12" i="3" s="1"/>
  <c r="N11" i="3"/>
  <c r="E11" i="3" s="1"/>
  <c r="O11" i="3" s="1"/>
  <c r="N10" i="3"/>
  <c r="E10" i="3" s="1"/>
  <c r="N9" i="3"/>
  <c r="E9" i="3" s="1"/>
  <c r="O9" i="3" s="1"/>
  <c r="N8" i="3"/>
  <c r="E8" i="3" s="1"/>
  <c r="O8" i="3"/>
  <c r="AF9" i="8"/>
  <c r="AF11" i="8"/>
  <c r="AF12" i="8"/>
  <c r="AF13" i="8"/>
  <c r="AF14" i="8"/>
  <c r="AF15" i="8"/>
  <c r="AF16" i="8"/>
  <c r="AF17" i="8"/>
  <c r="AF18" i="8"/>
  <c r="AF19" i="8"/>
  <c r="AF21" i="8"/>
  <c r="AF22" i="8"/>
  <c r="AF23" i="8"/>
  <c r="AF24" i="8"/>
  <c r="AF25" i="8"/>
  <c r="AF26" i="8"/>
  <c r="AF27" i="8"/>
  <c r="AF28" i="8"/>
  <c r="AF29" i="8"/>
  <c r="AF30" i="8"/>
  <c r="AE7" i="8"/>
  <c r="AF7" i="8" s="1"/>
  <c r="AE30" i="8"/>
  <c r="AE29" i="8"/>
  <c r="AE28" i="8"/>
  <c r="AE27" i="8"/>
  <c r="AE26" i="8"/>
  <c r="AE25" i="8"/>
  <c r="AE24" i="8"/>
  <c r="AE23" i="8"/>
  <c r="AE22" i="8"/>
  <c r="AE21" i="8"/>
  <c r="AE20" i="8"/>
  <c r="AF20" i="8"/>
  <c r="AE19" i="8"/>
  <c r="AE18" i="8"/>
  <c r="AE17" i="8"/>
  <c r="AE16" i="8"/>
  <c r="AE15" i="8"/>
  <c r="AE14" i="8"/>
  <c r="AE13" i="8"/>
  <c r="AE12" i="8"/>
  <c r="AE11" i="8"/>
  <c r="AE10" i="8"/>
  <c r="AF10" i="8"/>
  <c r="AE9" i="8"/>
  <c r="AE8" i="8"/>
  <c r="AF8" i="8" s="1"/>
  <c r="AD8" i="8"/>
  <c r="AD9" i="8"/>
  <c r="AD10" i="8"/>
  <c r="AD11" i="8"/>
  <c r="AD12" i="8"/>
  <c r="AD13" i="8"/>
  <c r="AD14" i="8"/>
  <c r="AD15" i="8"/>
  <c r="AD16" i="8"/>
  <c r="AD17" i="8"/>
  <c r="AD18" i="8"/>
  <c r="AD19" i="8"/>
  <c r="AD20" i="8"/>
  <c r="AD21" i="8"/>
  <c r="AD22" i="8"/>
  <c r="AD23" i="8"/>
  <c r="AD24" i="8"/>
  <c r="AD25" i="8"/>
  <c r="AD26" i="8"/>
  <c r="AD27" i="8"/>
  <c r="AD28" i="8"/>
  <c r="AD29" i="8"/>
  <c r="AD30" i="8"/>
  <c r="AD7" i="8"/>
  <c r="D26" i="3"/>
  <c r="F48" i="7"/>
  <c r="F47" i="7"/>
  <c r="F46" i="7"/>
  <c r="F45" i="7"/>
  <c r="F44" i="7"/>
  <c r="F43" i="7"/>
  <c r="F42" i="7"/>
  <c r="F41" i="7"/>
  <c r="F40" i="7"/>
  <c r="F39" i="7"/>
  <c r="F38" i="7"/>
  <c r="F37" i="7"/>
  <c r="F36" i="7"/>
  <c r="D48" i="7"/>
  <c r="D47" i="7"/>
  <c r="D46" i="7"/>
  <c r="D45" i="7"/>
  <c r="D44" i="7"/>
  <c r="D43" i="7"/>
  <c r="D42" i="7"/>
  <c r="D41" i="7"/>
  <c r="D40" i="7"/>
  <c r="D39" i="7"/>
  <c r="D38" i="7"/>
  <c r="D37" i="7"/>
  <c r="D36" i="7"/>
  <c r="F30" i="7"/>
  <c r="F29" i="7"/>
  <c r="F28" i="7"/>
  <c r="F27" i="7"/>
  <c r="F26" i="7"/>
  <c r="F25" i="7"/>
  <c r="F24" i="7"/>
  <c r="F23" i="7"/>
  <c r="F22" i="7"/>
  <c r="E29" i="7"/>
  <c r="E28" i="7"/>
  <c r="E27" i="7"/>
  <c r="E26" i="7"/>
  <c r="E25" i="7"/>
  <c r="E24" i="7"/>
  <c r="E23" i="7"/>
  <c r="D54" i="12"/>
  <c r="D49" i="12"/>
  <c r="AC30" i="8"/>
  <c r="AC29" i="8"/>
  <c r="AC28" i="8"/>
  <c r="AC27" i="8"/>
  <c r="AC26" i="8"/>
  <c r="AC25" i="8"/>
  <c r="AC24" i="8"/>
  <c r="AC23" i="8"/>
  <c r="AC22" i="8"/>
  <c r="AC21" i="8"/>
  <c r="AC20" i="8"/>
  <c r="AC19" i="8"/>
  <c r="AC18" i="8"/>
  <c r="AC17" i="8"/>
  <c r="AC16" i="8"/>
  <c r="AC15" i="8"/>
  <c r="AC14" i="8"/>
  <c r="AC13" i="8"/>
  <c r="AC12" i="8"/>
  <c r="AC11" i="8"/>
  <c r="AC10" i="8"/>
  <c r="AC31" i="8" s="1"/>
  <c r="AC9" i="8"/>
  <c r="AC8" i="8"/>
  <c r="AC7" i="8"/>
  <c r="M31" i="8"/>
  <c r="N31" i="8"/>
  <c r="E55" i="7" s="1"/>
  <c r="O31" i="8"/>
  <c r="E57" i="7"/>
  <c r="Q31" i="8"/>
  <c r="P31" i="8"/>
  <c r="D23" i="12"/>
  <c r="D39" i="3"/>
  <c r="E46" i="7" s="1"/>
  <c r="D38" i="3"/>
  <c r="E45" i="7"/>
  <c r="D33" i="3"/>
  <c r="E40" i="7"/>
  <c r="D32" i="3"/>
  <c r="E39" i="7" s="1"/>
  <c r="D30" i="3"/>
  <c r="E37" i="7" s="1"/>
  <c r="D29" i="3"/>
  <c r="E36" i="7"/>
  <c r="M13" i="3"/>
  <c r="M12" i="3"/>
  <c r="F19" i="7"/>
  <c r="M11" i="3"/>
  <c r="F18" i="7"/>
  <c r="M10" i="3"/>
  <c r="F17" i="7"/>
  <c r="M9" i="3"/>
  <c r="F16" i="7"/>
  <c r="M8" i="3"/>
  <c r="F15" i="7"/>
  <c r="F20" i="7"/>
  <c r="E56" i="7"/>
  <c r="D13" i="3"/>
  <c r="E20" i="7" s="1"/>
  <c r="D12" i="3"/>
  <c r="D103" i="17"/>
  <c r="C102" i="17"/>
  <c r="C101" i="17"/>
  <c r="C93" i="13"/>
  <c r="C92" i="13"/>
  <c r="C91" i="13"/>
  <c r="C89" i="13"/>
  <c r="C83" i="13"/>
  <c r="C82" i="13"/>
  <c r="C81" i="13"/>
  <c r="C79" i="13"/>
  <c r="C73" i="13"/>
  <c r="C72" i="13"/>
  <c r="C71" i="13"/>
  <c r="C69" i="13"/>
  <c r="D65" i="13"/>
  <c r="E73" i="13"/>
  <c r="D11" i="3"/>
  <c r="E18" i="7"/>
  <c r="D10" i="3"/>
  <c r="D101" i="17"/>
  <c r="D9" i="3"/>
  <c r="E16" i="7" s="1"/>
  <c r="D63" i="13"/>
  <c r="D28" i="2" s="1"/>
  <c r="E28" i="2" s="1"/>
  <c r="F28" i="2" s="1"/>
  <c r="G28" i="2" s="1"/>
  <c r="H28" i="2" s="1"/>
  <c r="H91" i="2" s="1"/>
  <c r="I28" i="2"/>
  <c r="J28" i="2" s="1"/>
  <c r="K28" i="2" s="1"/>
  <c r="D55" i="13"/>
  <c r="E32" i="13"/>
  <c r="D41" i="13"/>
  <c r="E48" i="8"/>
  <c r="D8" i="13"/>
  <c r="E19" i="10"/>
  <c r="E7" i="10"/>
  <c r="D110" i="9"/>
  <c r="D108" i="9"/>
  <c r="D109" i="9"/>
  <c r="J120" i="9"/>
  <c r="J115" i="9"/>
  <c r="J116" i="9"/>
  <c r="C116" i="9" s="1"/>
  <c r="J118" i="9"/>
  <c r="J117" i="9"/>
  <c r="C117" i="9" s="1"/>
  <c r="J88" i="9"/>
  <c r="K88" i="9"/>
  <c r="K82" i="9"/>
  <c r="J72" i="9"/>
  <c r="K72" i="9"/>
  <c r="J63" i="9"/>
  <c r="K63" i="9" s="1"/>
  <c r="J52" i="9"/>
  <c r="K52" i="9"/>
  <c r="J28" i="9"/>
  <c r="K28" i="9"/>
  <c r="K71" i="9"/>
  <c r="K79" i="9"/>
  <c r="K49" i="9"/>
  <c r="J56" i="9"/>
  <c r="K56" i="9" s="1"/>
  <c r="J60" i="9"/>
  <c r="K60" i="9" s="1"/>
  <c r="K87" i="9"/>
  <c r="K81" i="9"/>
  <c r="K80" i="9"/>
  <c r="K77" i="9"/>
  <c r="K76" i="9"/>
  <c r="K70" i="9"/>
  <c r="K69" i="9"/>
  <c r="K68" i="9"/>
  <c r="K67" i="9"/>
  <c r="K61" i="9"/>
  <c r="K40" i="9"/>
  <c r="K39" i="9"/>
  <c r="J46" i="9"/>
  <c r="K46" i="9" s="1"/>
  <c r="J45" i="9"/>
  <c r="K45" i="9"/>
  <c r="J51" i="9"/>
  <c r="K51" i="9"/>
  <c r="J96" i="9"/>
  <c r="K96" i="9"/>
  <c r="J95" i="9"/>
  <c r="K95" i="9" s="1"/>
  <c r="J94" i="9"/>
  <c r="K94" i="9" s="1"/>
  <c r="J93" i="9"/>
  <c r="K93" i="9" s="1"/>
  <c r="J92" i="9"/>
  <c r="K92" i="9"/>
  <c r="J91" i="9"/>
  <c r="K91" i="9" s="1"/>
  <c r="J89" i="9"/>
  <c r="K89" i="9" s="1"/>
  <c r="J85" i="9"/>
  <c r="K85" i="9"/>
  <c r="J84" i="9"/>
  <c r="K84" i="9"/>
  <c r="J73" i="9"/>
  <c r="K73" i="9" s="1"/>
  <c r="J38" i="9"/>
  <c r="K38" i="9" s="1"/>
  <c r="J66" i="9"/>
  <c r="K66" i="9" s="1"/>
  <c r="J64" i="9"/>
  <c r="K64" i="9" s="1"/>
  <c r="J62" i="9"/>
  <c r="K62" i="9" s="1"/>
  <c r="J55" i="9"/>
  <c r="K55" i="9"/>
  <c r="J53" i="9"/>
  <c r="K53" i="9" s="1"/>
  <c r="J59" i="9"/>
  <c r="K59" i="9"/>
  <c r="J37" i="9"/>
  <c r="K37" i="9" s="1"/>
  <c r="J48" i="9"/>
  <c r="K48" i="9" s="1"/>
  <c r="J47" i="9"/>
  <c r="K47" i="9"/>
  <c r="J44" i="9"/>
  <c r="K44" i="9" s="1"/>
  <c r="J43" i="9"/>
  <c r="K43" i="9" s="1"/>
  <c r="J42" i="9"/>
  <c r="K42" i="9"/>
  <c r="J41" i="9"/>
  <c r="K41" i="9" s="1"/>
  <c r="J36" i="9"/>
  <c r="K36" i="9" s="1"/>
  <c r="J34" i="9"/>
  <c r="K34" i="9" s="1"/>
  <c r="J33" i="9"/>
  <c r="K33" i="9" s="1"/>
  <c r="J32" i="9"/>
  <c r="J31" i="9"/>
  <c r="K31" i="9"/>
  <c r="J29" i="9"/>
  <c r="K29" i="9" s="1"/>
  <c r="J27" i="9"/>
  <c r="K27" i="9"/>
  <c r="J26" i="9"/>
  <c r="K26" i="9"/>
  <c r="J22" i="9"/>
  <c r="K22" i="9" s="1"/>
  <c r="J21" i="9"/>
  <c r="K21" i="9" s="1"/>
  <c r="J18" i="9"/>
  <c r="K18" i="9" s="1"/>
  <c r="J15" i="9"/>
  <c r="K15" i="9" s="1"/>
  <c r="J12" i="9"/>
  <c r="K12" i="9" s="1"/>
  <c r="J10" i="9"/>
  <c r="K10" i="9" s="1"/>
  <c r="K9" i="9"/>
  <c r="I7" i="9"/>
  <c r="K7" i="9" s="1"/>
  <c r="I6" i="9"/>
  <c r="K6" i="9"/>
  <c r="K5" i="9"/>
  <c r="J57" i="9"/>
  <c r="Z30" i="8"/>
  <c r="Z29" i="8"/>
  <c r="Z28" i="8"/>
  <c r="Z27" i="8"/>
  <c r="Z26" i="8"/>
  <c r="Z25" i="8"/>
  <c r="Z24" i="8"/>
  <c r="Z23" i="8"/>
  <c r="Z22" i="8"/>
  <c r="Z21" i="8"/>
  <c r="Z20" i="8"/>
  <c r="Z19" i="8"/>
  <c r="Z18" i="8"/>
  <c r="Z17" i="8"/>
  <c r="Z15" i="8"/>
  <c r="Z13" i="8"/>
  <c r="Z10" i="8"/>
  <c r="Z9" i="8"/>
  <c r="Z8" i="8"/>
  <c r="Z31" i="8" s="1"/>
  <c r="G6" i="13" s="1"/>
  <c r="G7" i="13" s="1"/>
  <c r="Z7" i="8"/>
  <c r="X30" i="8"/>
  <c r="AA30" i="8"/>
  <c r="X29" i="8"/>
  <c r="AA29" i="8"/>
  <c r="X28" i="8"/>
  <c r="AA28" i="8" s="1"/>
  <c r="X27" i="8"/>
  <c r="AA27" i="8"/>
  <c r="X26" i="8"/>
  <c r="AA26" i="8" s="1"/>
  <c r="X25" i="8"/>
  <c r="AA25" i="8" s="1"/>
  <c r="X24" i="8"/>
  <c r="AA24" i="8" s="1"/>
  <c r="X23" i="8"/>
  <c r="AA23" i="8"/>
  <c r="X22" i="8"/>
  <c r="AA22" i="8" s="1"/>
  <c r="X21" i="8"/>
  <c r="AA21" i="8"/>
  <c r="X19" i="8"/>
  <c r="AA19" i="8" s="1"/>
  <c r="X18" i="8"/>
  <c r="AA18" i="8" s="1"/>
  <c r="X17" i="8"/>
  <c r="AA17" i="8"/>
  <c r="X16" i="8"/>
  <c r="AA16" i="8" s="1"/>
  <c r="X15" i="8"/>
  <c r="AA15" i="8" s="1"/>
  <c r="X14" i="8"/>
  <c r="AA14" i="8"/>
  <c r="X13" i="8"/>
  <c r="AA13" i="8" s="1"/>
  <c r="X12" i="8"/>
  <c r="AA12" i="8" s="1"/>
  <c r="X11" i="8"/>
  <c r="AA11" i="8" s="1"/>
  <c r="X9" i="8"/>
  <c r="AA9" i="8" s="1"/>
  <c r="H9" i="8"/>
  <c r="G30" i="8"/>
  <c r="J30" i="8"/>
  <c r="G29" i="8"/>
  <c r="J29" i="8"/>
  <c r="G28" i="8"/>
  <c r="J28" i="8"/>
  <c r="G27" i="8"/>
  <c r="J27" i="8"/>
  <c r="G26" i="8"/>
  <c r="J26" i="8"/>
  <c r="G25" i="8"/>
  <c r="J25" i="8"/>
  <c r="G24" i="8"/>
  <c r="J24" i="8"/>
  <c r="G23" i="8"/>
  <c r="J23" i="8"/>
  <c r="G22" i="8"/>
  <c r="J22" i="8"/>
  <c r="G21" i="8"/>
  <c r="J21" i="8"/>
  <c r="G20" i="8"/>
  <c r="J20" i="8"/>
  <c r="G19" i="8"/>
  <c r="J19" i="8"/>
  <c r="G18" i="8"/>
  <c r="J18" i="8"/>
  <c r="G17" i="8"/>
  <c r="J17" i="8"/>
  <c r="G16" i="8"/>
  <c r="J16" i="8"/>
  <c r="G15" i="8"/>
  <c r="J15" i="8"/>
  <c r="G13" i="8"/>
  <c r="J13" i="8"/>
  <c r="H30" i="8"/>
  <c r="I30" i="8"/>
  <c r="Y30" i="8"/>
  <c r="AB30" i="8"/>
  <c r="H29" i="8"/>
  <c r="I29" i="8"/>
  <c r="Y29" i="8"/>
  <c r="AB29" i="8" s="1"/>
  <c r="H28" i="8"/>
  <c r="I28" i="8"/>
  <c r="Y28" i="8"/>
  <c r="AB28" i="8"/>
  <c r="H27" i="8"/>
  <c r="I27" i="8"/>
  <c r="Y27" i="8"/>
  <c r="AB27" i="8" s="1"/>
  <c r="H26" i="8"/>
  <c r="I26" i="8"/>
  <c r="Y26" i="8"/>
  <c r="AB26" i="8"/>
  <c r="H25" i="8"/>
  <c r="I25" i="8"/>
  <c r="Y25" i="8"/>
  <c r="AB25" i="8" s="1"/>
  <c r="H24" i="8"/>
  <c r="I24" i="8"/>
  <c r="Y24" i="8"/>
  <c r="AB24" i="8"/>
  <c r="H23" i="8"/>
  <c r="I23" i="8"/>
  <c r="Y23" i="8"/>
  <c r="AB23" i="8" s="1"/>
  <c r="H22" i="8"/>
  <c r="I22" i="8"/>
  <c r="Y22" i="8"/>
  <c r="AB22" i="8"/>
  <c r="H21" i="8"/>
  <c r="I21" i="8"/>
  <c r="Y21" i="8"/>
  <c r="AB21" i="8" s="1"/>
  <c r="H20" i="8"/>
  <c r="I20" i="8"/>
  <c r="Y20" i="8"/>
  <c r="AB20" i="8"/>
  <c r="H19" i="8"/>
  <c r="I19" i="8"/>
  <c r="Y19" i="8"/>
  <c r="AB19" i="8" s="1"/>
  <c r="H18" i="8"/>
  <c r="I18" i="8"/>
  <c r="Y18" i="8"/>
  <c r="AB18" i="8"/>
  <c r="H17" i="8"/>
  <c r="I17" i="8"/>
  <c r="Y17" i="8"/>
  <c r="AB17" i="8" s="1"/>
  <c r="H16" i="8"/>
  <c r="H15" i="8"/>
  <c r="H13" i="8"/>
  <c r="I13" i="8"/>
  <c r="Y13" i="8"/>
  <c r="AB13" i="8"/>
  <c r="F31" i="8"/>
  <c r="D35" i="12" s="1"/>
  <c r="H11" i="8"/>
  <c r="X20" i="8"/>
  <c r="AA20" i="8" s="1"/>
  <c r="I16" i="8"/>
  <c r="I15" i="8"/>
  <c r="Y15" i="8"/>
  <c r="AB15" i="8" s="1"/>
  <c r="G9" i="8"/>
  <c r="J9" i="8"/>
  <c r="G14" i="8"/>
  <c r="J14" i="8"/>
  <c r="G10" i="8"/>
  <c r="J10" i="8"/>
  <c r="G12" i="8"/>
  <c r="J12" i="8"/>
  <c r="H14" i="8"/>
  <c r="H12" i="8"/>
  <c r="G11" i="8"/>
  <c r="J11" i="8"/>
  <c r="H10" i="8"/>
  <c r="Z16" i="8"/>
  <c r="Y16" i="8"/>
  <c r="AB16" i="8" s="1"/>
  <c r="I14" i="8"/>
  <c r="I12" i="8"/>
  <c r="Z12" i="8"/>
  <c r="I10" i="8"/>
  <c r="X10" i="8"/>
  <c r="AA10" i="8"/>
  <c r="I11" i="8"/>
  <c r="Z11" i="8"/>
  <c r="Y11" i="8"/>
  <c r="AB11" i="8" s="1"/>
  <c r="I9" i="8"/>
  <c r="Y9" i="8"/>
  <c r="AB9" i="8" s="1"/>
  <c r="Z14" i="8"/>
  <c r="Y14" i="8"/>
  <c r="AB14" i="8"/>
  <c r="Y10" i="8"/>
  <c r="AB10" i="8" s="1"/>
  <c r="Y12" i="8"/>
  <c r="AB12" i="8"/>
  <c r="D71" i="17"/>
  <c r="D13" i="13"/>
  <c r="E39" i="10"/>
  <c r="D21" i="2"/>
  <c r="E21" i="2"/>
  <c r="F21" i="2" s="1"/>
  <c r="G21" i="2" s="1"/>
  <c r="H21" i="2" s="1"/>
  <c r="I21" i="2" s="1"/>
  <c r="J21" i="2" s="1"/>
  <c r="K21" i="2" s="1"/>
  <c r="L21" i="2" s="1"/>
  <c r="M21" i="2" s="1"/>
  <c r="D21" i="17"/>
  <c r="D55" i="17"/>
  <c r="E55" i="17"/>
  <c r="E27" i="10"/>
  <c r="E38" i="10"/>
  <c r="E42" i="10"/>
  <c r="E43" i="10"/>
  <c r="D74" i="2"/>
  <c r="E31" i="8"/>
  <c r="D4" i="7"/>
  <c r="E4" i="7"/>
  <c r="D5" i="7"/>
  <c r="E5" i="7"/>
  <c r="D6" i="7"/>
  <c r="E6" i="7"/>
  <c r="D7" i="7"/>
  <c r="E7" i="7"/>
  <c r="D8" i="7"/>
  <c r="E8" i="7"/>
  <c r="D9" i="7"/>
  <c r="E9" i="7"/>
  <c r="D30" i="7"/>
  <c r="D65" i="7"/>
  <c r="D66" i="7"/>
  <c r="D67" i="7"/>
  <c r="D68" i="7"/>
  <c r="D69" i="7"/>
  <c r="D70" i="7"/>
  <c r="D71" i="7"/>
  <c r="D72" i="7"/>
  <c r="D73" i="7"/>
  <c r="D83" i="7"/>
  <c r="F47" i="10"/>
  <c r="D37" i="3"/>
  <c r="J58" i="9"/>
  <c r="K58" i="9" s="1"/>
  <c r="D18" i="2"/>
  <c r="E18" i="2"/>
  <c r="F18" i="2" s="1"/>
  <c r="D20" i="2"/>
  <c r="D22" i="2" s="1"/>
  <c r="E72" i="7" s="1"/>
  <c r="E20" i="2"/>
  <c r="F20" i="2" s="1"/>
  <c r="G20" i="2" s="1"/>
  <c r="H20" i="2"/>
  <c r="I20" i="2" s="1"/>
  <c r="J20" i="2" s="1"/>
  <c r="K20" i="2" s="1"/>
  <c r="L20" i="2" s="1"/>
  <c r="M20" i="2" s="1"/>
  <c r="N20" i="2"/>
  <c r="O20" i="2" s="1"/>
  <c r="P20" i="2" s="1"/>
  <c r="Q20" i="2" s="1"/>
  <c r="R20" i="2" s="1"/>
  <c r="S20" i="2" s="1"/>
  <c r="T20" i="2" s="1"/>
  <c r="U20" i="2" s="1"/>
  <c r="V20" i="2" s="1"/>
  <c r="W20" i="2" s="1"/>
  <c r="X20" i="2" s="1"/>
  <c r="Y20" i="2" s="1"/>
  <c r="Z20" i="2" s="1"/>
  <c r="AA20" i="2" s="1"/>
  <c r="AB20" i="2" s="1"/>
  <c r="AC20" i="2" s="1"/>
  <c r="AD20" i="2" s="1"/>
  <c r="AE20" i="2" s="1"/>
  <c r="AF20" i="2" s="1"/>
  <c r="AG20" i="2" s="1"/>
  <c r="D5" i="14"/>
  <c r="D7" i="14"/>
  <c r="D23" i="2"/>
  <c r="E23" i="2"/>
  <c r="F23" i="2" s="1"/>
  <c r="G23" i="2"/>
  <c r="H23" i="2" s="1"/>
  <c r="I23" i="2" s="1"/>
  <c r="J23" i="2" s="1"/>
  <c r="K23" i="2" s="1"/>
  <c r="L23" i="2" s="1"/>
  <c r="M23" i="2" s="1"/>
  <c r="N23" i="2" s="1"/>
  <c r="O23" i="2" s="1"/>
  <c r="P23" i="2" s="1"/>
  <c r="Q23" i="2" s="1"/>
  <c r="R23" i="2" s="1"/>
  <c r="S23" i="2" s="1"/>
  <c r="T23" i="2" s="1"/>
  <c r="U23" i="2" s="1"/>
  <c r="V23" i="2" s="1"/>
  <c r="W23" i="2"/>
  <c r="X23" i="2" s="1"/>
  <c r="Y23" i="2" s="1"/>
  <c r="Z23" i="2"/>
  <c r="AA23" i="2" s="1"/>
  <c r="AB23" i="2" s="1"/>
  <c r="AC23" i="2" s="1"/>
  <c r="AD23" i="2" s="1"/>
  <c r="AE23" i="2" s="1"/>
  <c r="AF23" i="2" s="1"/>
  <c r="AG23" i="2" s="1"/>
  <c r="D19" i="2"/>
  <c r="E19" i="2" s="1"/>
  <c r="E14" i="10"/>
  <c r="E31" i="10"/>
  <c r="E36" i="10"/>
  <c r="D45" i="10"/>
  <c r="J74" i="9"/>
  <c r="K74" i="9" s="1"/>
  <c r="J23" i="9"/>
  <c r="K23" i="9" s="1"/>
  <c r="J24" i="9"/>
  <c r="K24" i="9" s="1"/>
  <c r="D23" i="17"/>
  <c r="D31" i="3"/>
  <c r="E38" i="7"/>
  <c r="J25" i="9"/>
  <c r="K25" i="9"/>
  <c r="G23" i="17"/>
  <c r="D46" i="13"/>
  <c r="D27" i="2"/>
  <c r="D8" i="3"/>
  <c r="D99" i="17"/>
  <c r="D54" i="13"/>
  <c r="H23" i="17"/>
  <c r="S90" i="2"/>
  <c r="E25" i="10"/>
  <c r="E16" i="10"/>
  <c r="E5" i="10"/>
  <c r="E32" i="10"/>
  <c r="E34" i="10"/>
  <c r="E33" i="10"/>
  <c r="E53" i="10" s="1"/>
  <c r="E29" i="10"/>
  <c r="E28" i="10"/>
  <c r="E26" i="10"/>
  <c r="E23" i="10"/>
  <c r="E18" i="10"/>
  <c r="E21" i="10"/>
  <c r="E20" i="10"/>
  <c r="E17" i="10"/>
  <c r="E52" i="10" s="1"/>
  <c r="E11" i="10"/>
  <c r="E10" i="10"/>
  <c r="E8" i="10"/>
  <c r="E6" i="10"/>
  <c r="E24" i="10"/>
  <c r="E22" i="10"/>
  <c r="E13" i="10"/>
  <c r="E9" i="10"/>
  <c r="E51" i="10" s="1"/>
  <c r="E47" i="10"/>
  <c r="C99" i="2"/>
  <c r="C40" i="2"/>
  <c r="L8" i="18"/>
  <c r="F39" i="10"/>
  <c r="F40" i="10"/>
  <c r="F17" i="10"/>
  <c r="F31" i="10"/>
  <c r="E80" i="9"/>
  <c r="E49" i="9"/>
  <c r="E37" i="9"/>
  <c r="E42" i="9"/>
  <c r="E27" i="9"/>
  <c r="D36" i="3"/>
  <c r="E43" i="7" s="1"/>
  <c r="E44" i="7"/>
  <c r="I98" i="9"/>
  <c r="D8" i="12" s="1"/>
  <c r="D20" i="12" s="1"/>
  <c r="D41" i="12" s="1"/>
  <c r="C115" i="9"/>
  <c r="D184" i="6"/>
  <c r="Q183" i="6"/>
  <c r="G183" i="6" s="1"/>
  <c r="I176" i="6"/>
  <c r="N12" i="6"/>
  <c r="Q182" i="6"/>
  <c r="G182" i="6"/>
  <c r="O175" i="6"/>
  <c r="O174" i="6"/>
  <c r="L173" i="6"/>
  <c r="Q173" i="6"/>
  <c r="G173" i="6" s="1"/>
  <c r="E85" i="2"/>
  <c r="F85" i="2" s="1"/>
  <c r="G85" i="2" s="1"/>
  <c r="H85" i="2"/>
  <c r="C21" i="16"/>
  <c r="E55" i="13"/>
  <c r="D55" i="10"/>
  <c r="E45" i="10"/>
  <c r="A57" i="16"/>
  <c r="P182" i="6"/>
  <c r="F182" i="6" s="1"/>
  <c r="P183" i="6"/>
  <c r="F183" i="6" s="1"/>
  <c r="L174" i="6"/>
  <c r="C174" i="6" s="1"/>
  <c r="L129" i="6" s="1"/>
  <c r="P173" i="6"/>
  <c r="F173" i="6"/>
  <c r="N183" i="6"/>
  <c r="E183" i="6"/>
  <c r="S182" i="6"/>
  <c r="N173" i="6"/>
  <c r="E173" i="6"/>
  <c r="N115" i="6"/>
  <c r="S183" i="6"/>
  <c r="R182" i="6"/>
  <c r="H182" i="6"/>
  <c r="M182" i="6"/>
  <c r="D182" i="6"/>
  <c r="S173" i="6"/>
  <c r="R183" i="6"/>
  <c r="R173" i="6"/>
  <c r="N21" i="2"/>
  <c r="O21" i="2" s="1"/>
  <c r="P21" i="2" s="1"/>
  <c r="Q21" i="2" s="1"/>
  <c r="R21" i="2" s="1"/>
  <c r="S21" i="2" s="1"/>
  <c r="T21" i="2" s="1"/>
  <c r="U21" i="2" s="1"/>
  <c r="V21" i="2" s="1"/>
  <c r="W21" i="2" s="1"/>
  <c r="X21" i="2" s="1"/>
  <c r="Y21" i="2" s="1"/>
  <c r="Z21" i="2" s="1"/>
  <c r="AA21" i="2" s="1"/>
  <c r="AB21" i="2" s="1"/>
  <c r="AC21" i="2" s="1"/>
  <c r="AD21" i="2" s="1"/>
  <c r="AE21" i="2" s="1"/>
  <c r="AF21" i="2" s="1"/>
  <c r="AG21" i="2" s="1"/>
  <c r="G7" i="8"/>
  <c r="J7" i="8"/>
  <c r="G8" i="8"/>
  <c r="J8" i="8"/>
  <c r="E50" i="2"/>
  <c r="F22" i="17"/>
  <c r="F87" i="17"/>
  <c r="F16" i="17"/>
  <c r="F30" i="17"/>
  <c r="F108" i="17"/>
  <c r="G15" i="17"/>
  <c r="H73" i="17"/>
  <c r="H76" i="17"/>
  <c r="F90" i="17"/>
  <c r="F26" i="17"/>
  <c r="F48" i="17"/>
  <c r="G80" i="17"/>
  <c r="F88" i="17"/>
  <c r="F18" i="17"/>
  <c r="F24" i="17"/>
  <c r="G82" i="17"/>
  <c r="G91" i="17"/>
  <c r="G111" i="17"/>
  <c r="H81" i="17"/>
  <c r="H27" i="17"/>
  <c r="F27" i="17"/>
  <c r="F92" i="17"/>
  <c r="F15" i="17"/>
  <c r="G9" i="17"/>
  <c r="F89" i="17"/>
  <c r="F31" i="17"/>
  <c r="G31" i="17"/>
  <c r="G108" i="17"/>
  <c r="H16" i="17"/>
  <c r="H68" i="17"/>
  <c r="H25" i="17"/>
  <c r="G13" i="17"/>
  <c r="F29" i="17"/>
  <c r="F21" i="17"/>
  <c r="G73" i="17"/>
  <c r="G67" i="17"/>
  <c r="H11" i="17"/>
  <c r="F20" i="17"/>
  <c r="F83" i="17"/>
  <c r="G32" i="17"/>
  <c r="H32" i="17"/>
  <c r="F10" i="17"/>
  <c r="F25" i="17"/>
  <c r="G10" i="17"/>
  <c r="F91" i="17"/>
  <c r="F19" i="17"/>
  <c r="F9" i="17"/>
  <c r="H30" i="17"/>
  <c r="F13" i="17"/>
  <c r="H14" i="17"/>
  <c r="H48" i="17"/>
  <c r="F23" i="17"/>
  <c r="F14" i="17"/>
  <c r="H39" i="17"/>
  <c r="E15" i="7"/>
  <c r="D100" i="17"/>
  <c r="D104" i="17"/>
  <c r="G91" i="2"/>
  <c r="G50" i="2"/>
  <c r="D102" i="17"/>
  <c r="F91" i="2"/>
  <c r="F50" i="2" s="1"/>
  <c r="I91" i="2"/>
  <c r="I50" i="2" s="1"/>
  <c r="H50" i="2"/>
  <c r="E19" i="7"/>
  <c r="J91" i="2"/>
  <c r="J50" i="2" s="1"/>
  <c r="E17" i="7"/>
  <c r="C103" i="17"/>
  <c r="O12" i="19"/>
  <c r="O11" i="19"/>
  <c r="G38" i="6"/>
  <c r="G40" i="6"/>
  <c r="D34" i="12"/>
  <c r="F26" i="10"/>
  <c r="AD31" i="8"/>
  <c r="F5" i="10"/>
  <c r="F11" i="10"/>
  <c r="F22" i="10"/>
  <c r="F9" i="10"/>
  <c r="F8" i="10"/>
  <c r="F28" i="10"/>
  <c r="F7" i="10"/>
  <c r="A176" i="6"/>
  <c r="N174" i="6"/>
  <c r="E174" i="6" s="1"/>
  <c r="M174" i="6"/>
  <c r="Q174" i="6"/>
  <c r="G174" i="6" s="1"/>
  <c r="L175" i="6"/>
  <c r="N175" i="6"/>
  <c r="E175" i="6" s="1"/>
  <c r="N101" i="6" s="1"/>
  <c r="H173" i="6"/>
  <c r="M115" i="6"/>
  <c r="C173" i="6"/>
  <c r="L115" i="6"/>
  <c r="H183" i="6"/>
  <c r="D174" i="6"/>
  <c r="M129" i="6" s="1"/>
  <c r="X8" i="8"/>
  <c r="AA8" i="8" s="1"/>
  <c r="D69" i="2"/>
  <c r="F57" i="7"/>
  <c r="Y8" i="8"/>
  <c r="AB8" i="8" s="1"/>
  <c r="S27" i="2"/>
  <c r="R49" i="2"/>
  <c r="T27" i="2"/>
  <c r="S49" i="2"/>
  <c r="T102" i="2"/>
  <c r="T86" i="2"/>
  <c r="T49" i="2"/>
  <c r="U27" i="2"/>
  <c r="U102" i="2" s="1"/>
  <c r="U49" i="2"/>
  <c r="V27" i="2"/>
  <c r="V102" i="2" s="1"/>
  <c r="W27" i="2"/>
  <c r="V86" i="2"/>
  <c r="V49" i="2"/>
  <c r="W86" i="2"/>
  <c r="W49" i="2"/>
  <c r="W102" i="2"/>
  <c r="D39" i="14"/>
  <c r="X27" i="2"/>
  <c r="X102" i="2" s="1"/>
  <c r="X86" i="2"/>
  <c r="X49" i="2"/>
  <c r="Y27" i="2"/>
  <c r="Z27" i="2"/>
  <c r="Y49" i="2"/>
  <c r="Z49" i="2"/>
  <c r="AA27" i="2"/>
  <c r="AA86" i="2" s="1"/>
  <c r="AA49" i="2"/>
  <c r="AA102" i="2"/>
  <c r="AB27" i="2"/>
  <c r="AB49" i="2"/>
  <c r="AC27" i="2"/>
  <c r="AC86" i="2"/>
  <c r="AC49" i="2"/>
  <c r="AC102" i="2"/>
  <c r="AD27" i="2"/>
  <c r="AD86" i="2" s="1"/>
  <c r="AD49" i="2"/>
  <c r="AE27" i="2"/>
  <c r="AE49" i="2"/>
  <c r="AF27" i="2"/>
  <c r="AF102" i="2"/>
  <c r="AF86" i="2"/>
  <c r="AF49" i="2"/>
  <c r="AG27" i="2"/>
  <c r="K38" i="6" l="1"/>
  <c r="A52" i="16" s="1"/>
  <c r="A40" i="16"/>
  <c r="AD102" i="2"/>
  <c r="AB102" i="2"/>
  <c r="AB86" i="2"/>
  <c r="C175" i="6"/>
  <c r="L101" i="6" s="1"/>
  <c r="Y86" i="2"/>
  <c r="Y102" i="2"/>
  <c r="AG102" i="2"/>
  <c r="AG86" i="2"/>
  <c r="AG49" i="2" s="1"/>
  <c r="Z86" i="2"/>
  <c r="Z102" i="2"/>
  <c r="U86" i="2"/>
  <c r="F53" i="10"/>
  <c r="AE86" i="2"/>
  <c r="AE102" i="2"/>
  <c r="S102" i="2"/>
  <c r="S86" i="2"/>
  <c r="E55" i="10"/>
  <c r="D20" i="7"/>
  <c r="C104" i="17"/>
  <c r="E11" i="17"/>
  <c r="D94" i="17"/>
  <c r="D96" i="17" s="1"/>
  <c r="F110" i="17"/>
  <c r="F112" i="17"/>
  <c r="F113" i="17"/>
  <c r="F101" i="17"/>
  <c r="F111" i="17"/>
  <c r="F106" i="17"/>
  <c r="F109" i="17"/>
  <c r="F105" i="17"/>
  <c r="F102" i="17"/>
  <c r="F103" i="17"/>
  <c r="G106" i="17"/>
  <c r="G58" i="17"/>
  <c r="F107" i="17"/>
  <c r="G102" i="17"/>
  <c r="G50" i="17"/>
  <c r="F4" i="17"/>
  <c r="G57" i="17"/>
  <c r="G34" i="17"/>
  <c r="F100" i="17"/>
  <c r="F99" i="17"/>
  <c r="G104" i="17"/>
  <c r="G74" i="17"/>
  <c r="G85" i="17"/>
  <c r="H70" i="17"/>
  <c r="H65" i="17"/>
  <c r="G59" i="17"/>
  <c r="H67" i="17"/>
  <c r="H74" i="17"/>
  <c r="H69" i="17"/>
  <c r="G92" i="17"/>
  <c r="H100" i="17"/>
  <c r="H108" i="17"/>
  <c r="H36" i="17"/>
  <c r="G53" i="17"/>
  <c r="G37" i="17"/>
  <c r="F119" i="17"/>
  <c r="H66" i="17"/>
  <c r="H34" i="17"/>
  <c r="G112" i="17"/>
  <c r="G78" i="17"/>
  <c r="F104" i="17"/>
  <c r="G77" i="17"/>
  <c r="G45" i="17"/>
  <c r="G69" i="17"/>
  <c r="G100" i="17"/>
  <c r="H58" i="17"/>
  <c r="G63" i="17"/>
  <c r="G109" i="17"/>
  <c r="G60" i="17"/>
  <c r="H102" i="17"/>
  <c r="H46" i="17"/>
  <c r="D183" i="6"/>
  <c r="C183" i="6"/>
  <c r="O101" i="6"/>
  <c r="P101" i="6"/>
  <c r="F7" i="14"/>
  <c r="F94" i="17"/>
  <c r="F96" i="17" s="1"/>
  <c r="K32" i="9"/>
  <c r="J98" i="9"/>
  <c r="F8" i="12" s="1"/>
  <c r="F20" i="12" s="1"/>
  <c r="F41" i="12" s="1"/>
  <c r="D8" i="2"/>
  <c r="E69" i="2"/>
  <c r="D115" i="17"/>
  <c r="R174" i="6"/>
  <c r="H174" i="6" s="1"/>
  <c r="S174" i="6"/>
  <c r="P174" i="6"/>
  <c r="F174" i="6" s="1"/>
  <c r="D33" i="12"/>
  <c r="M175" i="6"/>
  <c r="D175" i="6" s="1"/>
  <c r="M101" i="6" s="1"/>
  <c r="Q175" i="6"/>
  <c r="G175" i="6" s="1"/>
  <c r="R175" i="6"/>
  <c r="S175" i="6"/>
  <c r="P175" i="6"/>
  <c r="F175" i="6" s="1"/>
  <c r="E24" i="9"/>
  <c r="L12" i="18"/>
  <c r="F13" i="10"/>
  <c r="F51" i="10" s="1"/>
  <c r="E22" i="9"/>
  <c r="E74" i="9"/>
  <c r="D24" i="12"/>
  <c r="D22" i="12" s="1"/>
  <c r="E50" i="9"/>
  <c r="L7" i="18"/>
  <c r="E86" i="9"/>
  <c r="E59" i="7"/>
  <c r="E58" i="7" s="1"/>
  <c r="E56" i="9"/>
  <c r="E45" i="9"/>
  <c r="E38" i="9"/>
  <c r="F49" i="10"/>
  <c r="L11" i="18"/>
  <c r="E67" i="9"/>
  <c r="E20" i="9"/>
  <c r="E77" i="9"/>
  <c r="E41" i="9"/>
  <c r="F45" i="10"/>
  <c r="F32" i="10"/>
  <c r="E44" i="9"/>
  <c r="E70" i="9"/>
  <c r="E3" i="7"/>
  <c r="F25" i="10"/>
  <c r="E31" i="9"/>
  <c r="E51" i="9"/>
  <c r="E55" i="9"/>
  <c r="F6" i="10"/>
  <c r="F37" i="10"/>
  <c r="C4" i="6"/>
  <c r="F27" i="10"/>
  <c r="E48" i="9"/>
  <c r="E25" i="9"/>
  <c r="F16" i="10"/>
  <c r="F29" i="10"/>
  <c r="F42" i="10"/>
  <c r="E19" i="9"/>
  <c r="E43" i="9"/>
  <c r="F12" i="10"/>
  <c r="E71" i="9"/>
  <c r="E5" i="9"/>
  <c r="F24" i="10"/>
  <c r="F21" i="10"/>
  <c r="F19" i="10"/>
  <c r="L6" i="18"/>
  <c r="C29" i="18" s="1"/>
  <c r="E6" i="9"/>
  <c r="E23" i="9"/>
  <c r="F38" i="10"/>
  <c r="F43" i="10"/>
  <c r="F33" i="10"/>
  <c r="F18" i="10"/>
  <c r="F23" i="10"/>
  <c r="F20" i="10"/>
  <c r="F14" i="10"/>
  <c r="F10" i="10"/>
  <c r="F34" i="10"/>
  <c r="L9" i="18"/>
  <c r="E47" i="9"/>
  <c r="F36" i="10"/>
  <c r="F54" i="10" s="1"/>
  <c r="F41" i="10"/>
  <c r="D23" i="3"/>
  <c r="E30" i="7" s="1"/>
  <c r="O10" i="3"/>
  <c r="H7" i="17"/>
  <c r="I3" i="17"/>
  <c r="H98" i="17"/>
  <c r="H111" i="17"/>
  <c r="H49" i="17"/>
  <c r="H10" i="17"/>
  <c r="H61" i="17"/>
  <c r="H110" i="17"/>
  <c r="H85" i="17"/>
  <c r="H105" i="17"/>
  <c r="H63" i="17"/>
  <c r="H41" i="17"/>
  <c r="H43" i="17"/>
  <c r="H101" i="17"/>
  <c r="H92" i="17"/>
  <c r="H19" i="17"/>
  <c r="H15" i="17"/>
  <c r="H64" i="17"/>
  <c r="H82" i="17"/>
  <c r="H40" i="17"/>
  <c r="H31" i="17"/>
  <c r="H84" i="17"/>
  <c r="H55" i="17"/>
  <c r="H87" i="17"/>
  <c r="H112" i="17"/>
  <c r="H88" i="17"/>
  <c r="H57" i="17"/>
  <c r="H119" i="17"/>
  <c r="H29" i="17"/>
  <c r="H37" i="17"/>
  <c r="H75" i="17"/>
  <c r="H22" i="17"/>
  <c r="H35" i="17"/>
  <c r="H53" i="17"/>
  <c r="H83" i="17"/>
  <c r="H26" i="17"/>
  <c r="H13" i="17"/>
  <c r="H78" i="17"/>
  <c r="H9" i="17"/>
  <c r="H4" i="17"/>
  <c r="H104" i="17"/>
  <c r="H24" i="17"/>
  <c r="H113" i="17"/>
  <c r="H44" i="17"/>
  <c r="H52" i="17"/>
  <c r="H91" i="17"/>
  <c r="H80" i="17"/>
  <c r="H71" i="17"/>
  <c r="H99" i="17"/>
  <c r="H89" i="17"/>
  <c r="H109" i="17"/>
  <c r="H45" i="17"/>
  <c r="H59" i="17"/>
  <c r="H106" i="17"/>
  <c r="H18" i="17"/>
  <c r="H21" i="17"/>
  <c r="H56" i="17"/>
  <c r="H38" i="17"/>
  <c r="H47" i="17"/>
  <c r="H90" i="17"/>
  <c r="H42" i="17"/>
  <c r="H103" i="17"/>
  <c r="H50" i="17"/>
  <c r="H60" i="17"/>
  <c r="H77" i="17"/>
  <c r="H107" i="17"/>
  <c r="H20" i="17"/>
  <c r="P113" i="6"/>
  <c r="O115" i="6"/>
  <c r="K18" i="19"/>
  <c r="O18" i="19" s="1"/>
  <c r="L18" i="19"/>
  <c r="O127" i="6"/>
  <c r="N129" i="6"/>
  <c r="F19" i="2"/>
  <c r="G19" i="2" s="1"/>
  <c r="H19" i="2" s="1"/>
  <c r="I19" i="2" s="1"/>
  <c r="J19" i="2" s="1"/>
  <c r="K19" i="2" s="1"/>
  <c r="L19" i="2" s="1"/>
  <c r="M19" i="2" s="1"/>
  <c r="N19" i="2" s="1"/>
  <c r="O19" i="2" s="1"/>
  <c r="P19" i="2" s="1"/>
  <c r="Q19" i="2" s="1"/>
  <c r="R19" i="2" s="1"/>
  <c r="S19" i="2" s="1"/>
  <c r="T19" i="2" s="1"/>
  <c r="U19" i="2" s="1"/>
  <c r="V19" i="2" s="1"/>
  <c r="W19" i="2" s="1"/>
  <c r="X19" i="2" s="1"/>
  <c r="Y19" i="2" s="1"/>
  <c r="Z19" i="2" s="1"/>
  <c r="AA19" i="2" s="1"/>
  <c r="AB19" i="2" s="1"/>
  <c r="AC19" i="2" s="1"/>
  <c r="AD19" i="2" s="1"/>
  <c r="AE19" i="2" s="1"/>
  <c r="AF19" i="2" s="1"/>
  <c r="AG19" i="2" s="1"/>
  <c r="E22" i="2"/>
  <c r="F72" i="7" s="1"/>
  <c r="E74" i="2"/>
  <c r="D14" i="2"/>
  <c r="E70" i="7" s="1"/>
  <c r="L28" i="2"/>
  <c r="K91" i="2"/>
  <c r="K50" i="2" s="1"/>
  <c r="AF31" i="8"/>
  <c r="AF32" i="8" s="1"/>
  <c r="E86" i="2"/>
  <c r="E49" i="2" s="1"/>
  <c r="E27" i="2"/>
  <c r="E74" i="7"/>
  <c r="D86" i="2"/>
  <c r="D49" i="2" s="1"/>
  <c r="G18" i="2"/>
  <c r="O176" i="6"/>
  <c r="I177" i="6"/>
  <c r="O23" i="3"/>
  <c r="D25" i="3" s="1"/>
  <c r="L12" i="6" s="1"/>
  <c r="P12" i="6" s="1"/>
  <c r="C41" i="6" s="1"/>
  <c r="J40" i="19"/>
  <c r="K31" i="19"/>
  <c r="L31" i="19"/>
  <c r="G98" i="17"/>
  <c r="G7" i="17"/>
  <c r="G64" i="17"/>
  <c r="G88" i="17"/>
  <c r="G66" i="17"/>
  <c r="G84" i="17"/>
  <c r="G38" i="17"/>
  <c r="G55" i="17"/>
  <c r="G24" i="17"/>
  <c r="G61" i="17"/>
  <c r="G42" i="17"/>
  <c r="G44" i="17"/>
  <c r="G103" i="17"/>
  <c r="G21" i="17"/>
  <c r="G71" i="17"/>
  <c r="G47" i="17"/>
  <c r="G107" i="17"/>
  <c r="G83" i="17"/>
  <c r="G16" i="17"/>
  <c r="G22" i="17"/>
  <c r="G101" i="17"/>
  <c r="G35" i="17"/>
  <c r="G113" i="17"/>
  <c r="G11" i="17"/>
  <c r="G94" i="17" s="1"/>
  <c r="G96" i="17" s="1"/>
  <c r="G20" i="17"/>
  <c r="G75" i="17"/>
  <c r="G76" i="17"/>
  <c r="G65" i="17"/>
  <c r="G43" i="17"/>
  <c r="G39" i="17"/>
  <c r="G19" i="17"/>
  <c r="G90" i="17"/>
  <c r="G25" i="17"/>
  <c r="G110" i="17"/>
  <c r="G52" i="17"/>
  <c r="G18" i="17"/>
  <c r="G36" i="17"/>
  <c r="G119" i="17"/>
  <c r="G81" i="17"/>
  <c r="G46" i="17"/>
  <c r="G41" i="17"/>
  <c r="G27" i="17"/>
  <c r="G4" i="17"/>
  <c r="G26" i="17"/>
  <c r="G49" i="17"/>
  <c r="G99" i="17"/>
  <c r="G48" i="17"/>
  <c r="G30" i="17"/>
  <c r="G14" i="17"/>
  <c r="G89" i="17"/>
  <c r="G70" i="17"/>
  <c r="G87" i="17"/>
  <c r="G56" i="17"/>
  <c r="G40" i="17"/>
  <c r="G68" i="17"/>
  <c r="G105" i="17"/>
  <c r="G29" i="17"/>
  <c r="E54" i="10"/>
  <c r="H77" i="6"/>
  <c r="Q38" i="6" s="1"/>
  <c r="P38" i="6"/>
  <c r="D49" i="10"/>
  <c r="E49" i="10" s="1"/>
  <c r="D12" i="13"/>
  <c r="I85" i="2"/>
  <c r="P41" i="6"/>
  <c r="H119" i="6"/>
  <c r="Q41" i="6" s="1"/>
  <c r="F161" i="6"/>
  <c r="N44" i="6"/>
  <c r="O30" i="19"/>
  <c r="N14" i="19"/>
  <c r="K37" i="6"/>
  <c r="A51" i="16" s="1"/>
  <c r="A39" i="16"/>
  <c r="K42" i="6"/>
  <c r="A56" i="16" s="1"/>
  <c r="A44" i="16"/>
  <c r="D111" i="9"/>
  <c r="O26" i="19"/>
  <c r="L27" i="19"/>
  <c r="K27" i="19"/>
  <c r="N39" i="6"/>
  <c r="F91" i="6"/>
  <c r="P42" i="6"/>
  <c r="H133" i="6"/>
  <c r="Q42" i="6" s="1"/>
  <c r="O25" i="19"/>
  <c r="O40" i="6"/>
  <c r="G105" i="6"/>
  <c r="M39" i="6"/>
  <c r="N40" i="6"/>
  <c r="L23" i="19"/>
  <c r="K23" i="19"/>
  <c r="O29" i="19"/>
  <c r="H147" i="6"/>
  <c r="Q43" i="6" s="1"/>
  <c r="P43" i="6"/>
  <c r="H184" i="6"/>
  <c r="N43" i="6"/>
  <c r="M21" i="19"/>
  <c r="N21" i="19" s="1"/>
  <c r="O41" i="6"/>
  <c r="M31" i="19"/>
  <c r="N31" i="19" s="1"/>
  <c r="M18" i="19"/>
  <c r="N18" i="19" s="1"/>
  <c r="M15" i="19"/>
  <c r="N15" i="19" s="1"/>
  <c r="N40" i="19" s="1"/>
  <c r="N44" i="19" s="1"/>
  <c r="C44" i="19" s="1"/>
  <c r="M26" i="19"/>
  <c r="N26" i="19" s="1"/>
  <c r="M12" i="19"/>
  <c r="N12" i="19" s="1"/>
  <c r="M37" i="19"/>
  <c r="N37" i="19" s="1"/>
  <c r="N38" i="6"/>
  <c r="K24" i="19"/>
  <c r="O24" i="19" s="1"/>
  <c r="K28" i="19"/>
  <c r="O28" i="19" s="1"/>
  <c r="M29" i="19"/>
  <c r="N29" i="19" s="1"/>
  <c r="M17" i="19"/>
  <c r="N17" i="19" s="1"/>
  <c r="M28" i="19"/>
  <c r="N28" i="19" s="1"/>
  <c r="M30" i="19"/>
  <c r="N30" i="19" s="1"/>
  <c r="M35" i="19"/>
  <c r="N35" i="19" s="1"/>
  <c r="M36" i="19"/>
  <c r="N36" i="19" s="1"/>
  <c r="M32" i="19"/>
  <c r="N32" i="19" s="1"/>
  <c r="M38" i="19"/>
  <c r="N38" i="19" s="1"/>
  <c r="V7" i="8"/>
  <c r="H7" i="8" s="1"/>
  <c r="I7" i="8" s="1"/>
  <c r="M42" i="6"/>
  <c r="H115" i="17" l="1"/>
  <c r="P127" i="6"/>
  <c r="O129" i="6"/>
  <c r="H105" i="6"/>
  <c r="Q40" i="6" s="1"/>
  <c r="P40" i="6"/>
  <c r="O27" i="19"/>
  <c r="F22" i="2"/>
  <c r="M28" i="2"/>
  <c r="L91" i="2"/>
  <c r="L50" i="2" s="1"/>
  <c r="H94" i="17"/>
  <c r="H96" i="17" s="1"/>
  <c r="H117" i="17" s="1"/>
  <c r="H120" i="17" s="1"/>
  <c r="E66" i="7"/>
  <c r="D77" i="2"/>
  <c r="O39" i="6"/>
  <c r="G91" i="6"/>
  <c r="I178" i="6"/>
  <c r="O177" i="6"/>
  <c r="A177" i="6"/>
  <c r="F52" i="10"/>
  <c r="F55" i="10" s="1"/>
  <c r="E94" i="17"/>
  <c r="J85" i="2"/>
  <c r="S176" i="6"/>
  <c r="L176" i="6"/>
  <c r="P176" i="6"/>
  <c r="F176" i="6" s="1"/>
  <c r="O143" i="6" s="1"/>
  <c r="Q176" i="6"/>
  <c r="G176" i="6" s="1"/>
  <c r="P143" i="6" s="1"/>
  <c r="R176" i="6"/>
  <c r="M176" i="6"/>
  <c r="N176" i="6"/>
  <c r="E176" i="6" s="1"/>
  <c r="N143" i="6" s="1"/>
  <c r="H18" i="2"/>
  <c r="G22" i="2"/>
  <c r="F117" i="17"/>
  <c r="F120" i="17" s="1"/>
  <c r="F115" i="17"/>
  <c r="I48" i="17"/>
  <c r="I7" i="17"/>
  <c r="J3" i="17"/>
  <c r="I23" i="17"/>
  <c r="I88" i="17"/>
  <c r="I109" i="17"/>
  <c r="I108" i="17"/>
  <c r="I14" i="17"/>
  <c r="I19" i="17"/>
  <c r="I42" i="17"/>
  <c r="I27" i="17"/>
  <c r="I36" i="17"/>
  <c r="I64" i="17"/>
  <c r="I87" i="17"/>
  <c r="I111" i="17"/>
  <c r="I59" i="17"/>
  <c r="I31" i="17"/>
  <c r="I16" i="17"/>
  <c r="I26" i="17"/>
  <c r="I101" i="17"/>
  <c r="I104" i="17"/>
  <c r="I56" i="17"/>
  <c r="I85" i="17"/>
  <c r="I92" i="17"/>
  <c r="I91" i="17"/>
  <c r="I60" i="17"/>
  <c r="I112" i="17"/>
  <c r="I71" i="17"/>
  <c r="I4" i="17"/>
  <c r="I74" i="17"/>
  <c r="I90" i="17"/>
  <c r="I53" i="17"/>
  <c r="I57" i="17"/>
  <c r="I84" i="17"/>
  <c r="I70" i="17"/>
  <c r="I45" i="17"/>
  <c r="I44" i="17"/>
  <c r="I13" i="17"/>
  <c r="I99" i="17"/>
  <c r="I73" i="17"/>
  <c r="I69" i="17"/>
  <c r="I89" i="17"/>
  <c r="I39" i="17"/>
  <c r="I66" i="17"/>
  <c r="I11" i="17"/>
  <c r="I25" i="17"/>
  <c r="I107" i="17"/>
  <c r="I81" i="17"/>
  <c r="I47" i="17"/>
  <c r="I46" i="17"/>
  <c r="I49" i="17"/>
  <c r="I102" i="17"/>
  <c r="I75" i="17"/>
  <c r="I106" i="17"/>
  <c r="I76" i="17"/>
  <c r="I78" i="17"/>
  <c r="I40" i="17"/>
  <c r="I68" i="17"/>
  <c r="I41" i="17"/>
  <c r="I18" i="17"/>
  <c r="I15" i="17"/>
  <c r="I100" i="17"/>
  <c r="I9" i="17"/>
  <c r="I113" i="17"/>
  <c r="I58" i="17"/>
  <c r="I80" i="17"/>
  <c r="I35" i="17"/>
  <c r="I52" i="17"/>
  <c r="I20" i="17"/>
  <c r="I77" i="17"/>
  <c r="I63" i="17"/>
  <c r="I103" i="17"/>
  <c r="I67" i="17"/>
  <c r="I24" i="17"/>
  <c r="I83" i="17"/>
  <c r="I55" i="17"/>
  <c r="I32" i="17"/>
  <c r="I119" i="17"/>
  <c r="I105" i="17"/>
  <c r="I98" i="17"/>
  <c r="I29" i="17"/>
  <c r="I37" i="17"/>
  <c r="I43" i="17"/>
  <c r="I110" i="17"/>
  <c r="I65" i="17"/>
  <c r="I10" i="17"/>
  <c r="I34" i="17"/>
  <c r="I61" i="17"/>
  <c r="I82" i="17"/>
  <c r="I50" i="17"/>
  <c r="I22" i="17"/>
  <c r="I38" i="17"/>
  <c r="I21" i="17"/>
  <c r="I30" i="17"/>
  <c r="F74" i="2"/>
  <c r="E14" i="2"/>
  <c r="F70" i="7" s="1"/>
  <c r="L1" i="8"/>
  <c r="C3" i="3"/>
  <c r="C2" i="9"/>
  <c r="C2" i="18"/>
  <c r="C2" i="19"/>
  <c r="D2" i="13"/>
  <c r="C2" i="10"/>
  <c r="C2" i="17"/>
  <c r="L1" i="2"/>
  <c r="C3" i="14"/>
  <c r="C2" i="12"/>
  <c r="C2" i="20"/>
  <c r="H175" i="6"/>
  <c r="Q101" i="6" s="1"/>
  <c r="X7" i="8"/>
  <c r="Y7" i="8"/>
  <c r="I31" i="8"/>
  <c r="I32" i="8" s="1"/>
  <c r="D6" i="13" s="1"/>
  <c r="D124" i="17"/>
  <c r="C126" i="17" s="1"/>
  <c r="D57" i="9"/>
  <c r="G161" i="6"/>
  <c r="O44" i="6"/>
  <c r="O31" i="19"/>
  <c r="Q113" i="6"/>
  <c r="Q115" i="6" s="1"/>
  <c r="P115" i="6"/>
  <c r="H121" i="17"/>
  <c r="H122" i="17"/>
  <c r="D37" i="12"/>
  <c r="G42" i="12" s="1"/>
  <c r="D42" i="12" s="1"/>
  <c r="D43" i="12" s="1"/>
  <c r="D47" i="12" s="1"/>
  <c r="D51" i="12" s="1"/>
  <c r="O23" i="19"/>
  <c r="O40" i="19" s="1"/>
  <c r="N47" i="19" s="1"/>
  <c r="C47" i="19" s="1"/>
  <c r="G115" i="17"/>
  <c r="G117" i="17" s="1"/>
  <c r="G120" i="17" s="1"/>
  <c r="F27" i="2"/>
  <c r="F74" i="7"/>
  <c r="F69" i="2"/>
  <c r="E8" i="2"/>
  <c r="G121" i="17" l="1"/>
  <c r="G122" i="17"/>
  <c r="G74" i="2"/>
  <c r="F14" i="2"/>
  <c r="J45" i="17"/>
  <c r="J82" i="17"/>
  <c r="J88" i="17"/>
  <c r="J99" i="17"/>
  <c r="J49" i="17"/>
  <c r="J69" i="17"/>
  <c r="J73" i="17"/>
  <c r="J87" i="17"/>
  <c r="J53" i="17"/>
  <c r="J105" i="17"/>
  <c r="J39" i="17"/>
  <c r="J13" i="17"/>
  <c r="J38" i="17"/>
  <c r="J113" i="17"/>
  <c r="J25" i="17"/>
  <c r="J40" i="17"/>
  <c r="J111" i="17"/>
  <c r="J37" i="17"/>
  <c r="J109" i="17"/>
  <c r="J26" i="17"/>
  <c r="J104" i="17"/>
  <c r="J102" i="17"/>
  <c r="J112" i="17"/>
  <c r="J80" i="17"/>
  <c r="J36" i="17"/>
  <c r="J90" i="17"/>
  <c r="J78" i="17"/>
  <c r="J101" i="17"/>
  <c r="J57" i="17"/>
  <c r="J75" i="17"/>
  <c r="J21" i="17"/>
  <c r="J103" i="17"/>
  <c r="J35" i="17"/>
  <c r="J41" i="17"/>
  <c r="J58" i="17"/>
  <c r="J47" i="17"/>
  <c r="J77" i="17"/>
  <c r="J16" i="17"/>
  <c r="J106" i="17"/>
  <c r="J108" i="17"/>
  <c r="K3" i="17"/>
  <c r="J52" i="17"/>
  <c r="J46" i="17"/>
  <c r="J70" i="17"/>
  <c r="J76" i="17"/>
  <c r="J31" i="17"/>
  <c r="J42" i="17"/>
  <c r="J15" i="17"/>
  <c r="J83" i="17"/>
  <c r="J59" i="17"/>
  <c r="J11" i="17"/>
  <c r="J27" i="17"/>
  <c r="J63" i="17"/>
  <c r="J48" i="17"/>
  <c r="J18" i="17"/>
  <c r="J60" i="17"/>
  <c r="J67" i="17"/>
  <c r="J34" i="17"/>
  <c r="J56" i="17"/>
  <c r="J74" i="17"/>
  <c r="J4" i="17"/>
  <c r="J30" i="17"/>
  <c r="J66" i="17"/>
  <c r="J20" i="17"/>
  <c r="J81" i="17"/>
  <c r="J98" i="17"/>
  <c r="J14" i="17"/>
  <c r="J9" i="17"/>
  <c r="J7" i="17"/>
  <c r="J10" i="17"/>
  <c r="J107" i="17"/>
  <c r="J29" i="17"/>
  <c r="J50" i="17"/>
  <c r="J92" i="17"/>
  <c r="J89" i="17"/>
  <c r="J22" i="17"/>
  <c r="J84" i="17"/>
  <c r="J61" i="17"/>
  <c r="J100" i="17"/>
  <c r="J119" i="17"/>
  <c r="J64" i="17"/>
  <c r="J44" i="17"/>
  <c r="J110" i="17"/>
  <c r="J24" i="17"/>
  <c r="J85" i="17"/>
  <c r="J32" i="17"/>
  <c r="J19" i="17"/>
  <c r="J43" i="17"/>
  <c r="J65" i="17"/>
  <c r="J71" i="17"/>
  <c r="J55" i="17"/>
  <c r="J23" i="17"/>
  <c r="J68" i="17"/>
  <c r="J91" i="17"/>
  <c r="E96" i="17"/>
  <c r="K85" i="2"/>
  <c r="G27" i="2"/>
  <c r="F86" i="2"/>
  <c r="F49" i="2" s="1"/>
  <c r="E57" i="9"/>
  <c r="D98" i="9"/>
  <c r="D34" i="3"/>
  <c r="K57" i="9"/>
  <c r="K98" i="9" s="1"/>
  <c r="F57" i="9"/>
  <c r="H161" i="6"/>
  <c r="Q44" i="6" s="1"/>
  <c r="P44" i="6"/>
  <c r="E77" i="2"/>
  <c r="F66" i="7"/>
  <c r="H91" i="6"/>
  <c r="Q39" i="6" s="1"/>
  <c r="P39" i="6"/>
  <c r="F121" i="17"/>
  <c r="F122" i="17" s="1"/>
  <c r="I18" i="2"/>
  <c r="H22" i="2"/>
  <c r="G72" i="7" s="1"/>
  <c r="F42" i="12"/>
  <c r="F43" i="12" s="1"/>
  <c r="F47" i="12" s="1"/>
  <c r="F51" i="12" s="1"/>
  <c r="D53" i="12" s="1"/>
  <c r="Q127" i="6"/>
  <c r="Q129" i="6" s="1"/>
  <c r="P129" i="6"/>
  <c r="I94" i="17"/>
  <c r="I96" i="17" s="1"/>
  <c r="I115" i="17"/>
  <c r="H176" i="6"/>
  <c r="Q143" i="6" s="1"/>
  <c r="A178" i="6"/>
  <c r="I179" i="6"/>
  <c r="O178" i="6"/>
  <c r="C176" i="6"/>
  <c r="L143" i="6" s="1"/>
  <c r="D176" i="6"/>
  <c r="M143" i="6" s="1"/>
  <c r="F8" i="2"/>
  <c r="F77" i="2" s="1"/>
  <c r="G69" i="2"/>
  <c r="Y31" i="8"/>
  <c r="AB7" i="8"/>
  <c r="AB31" i="8" s="1"/>
  <c r="D71" i="2" s="1"/>
  <c r="E71" i="2" s="1"/>
  <c r="F71" i="2" s="1"/>
  <c r="G71" i="2" s="1"/>
  <c r="H71" i="2" s="1"/>
  <c r="I71" i="2" s="1"/>
  <c r="J71" i="2" s="1"/>
  <c r="K71" i="2" s="1"/>
  <c r="L71" i="2" s="1"/>
  <c r="M71" i="2" s="1"/>
  <c r="N71" i="2" s="1"/>
  <c r="O71" i="2" s="1"/>
  <c r="P71" i="2" s="1"/>
  <c r="Q71" i="2" s="1"/>
  <c r="R71" i="2" s="1"/>
  <c r="S71" i="2" s="1"/>
  <c r="AA7" i="8"/>
  <c r="AA31" i="8" s="1"/>
  <c r="D67" i="2" s="1"/>
  <c r="E67" i="2" s="1"/>
  <c r="F67" i="2" s="1"/>
  <c r="G67" i="2" s="1"/>
  <c r="H67" i="2" s="1"/>
  <c r="I67" i="2" s="1"/>
  <c r="J67" i="2" s="1"/>
  <c r="K67" i="2" s="1"/>
  <c r="L67" i="2" s="1"/>
  <c r="M67" i="2" s="1"/>
  <c r="N67" i="2" s="1"/>
  <c r="O67" i="2" s="1"/>
  <c r="P67" i="2" s="1"/>
  <c r="Q67" i="2" s="1"/>
  <c r="R67" i="2" s="1"/>
  <c r="S67" i="2" s="1"/>
  <c r="X31" i="8"/>
  <c r="N177" i="6"/>
  <c r="E177" i="6" s="1"/>
  <c r="N87" i="6" s="1"/>
  <c r="P177" i="6"/>
  <c r="F177" i="6" s="1"/>
  <c r="O87" i="6" s="1"/>
  <c r="Q177" i="6"/>
  <c r="G177" i="6" s="1"/>
  <c r="P87" i="6" s="1"/>
  <c r="L177" i="6"/>
  <c r="S177" i="6"/>
  <c r="M177" i="6"/>
  <c r="R177" i="6"/>
  <c r="N28" i="2"/>
  <c r="M91" i="2"/>
  <c r="M50" i="2" s="1"/>
  <c r="K54" i="12" l="1"/>
  <c r="F54" i="12" s="1"/>
  <c r="H16" i="3"/>
  <c r="I22" i="2"/>
  <c r="J18" i="2"/>
  <c r="I117" i="17"/>
  <c r="I120" i="17" s="1"/>
  <c r="O28" i="2"/>
  <c r="N91" i="2"/>
  <c r="N50" i="2" s="1"/>
  <c r="J94" i="17"/>
  <c r="J96" i="17" s="1"/>
  <c r="J117" i="17" s="1"/>
  <c r="J120" i="17" s="1"/>
  <c r="J115" i="17"/>
  <c r="I119" i="9"/>
  <c r="C120" i="9" s="1"/>
  <c r="K10" i="18"/>
  <c r="D41" i="3"/>
  <c r="H74" i="2"/>
  <c r="G14" i="2"/>
  <c r="H69" i="2"/>
  <c r="G8" i="2"/>
  <c r="G77" i="2" s="1"/>
  <c r="H177" i="6"/>
  <c r="Q87" i="6" s="1"/>
  <c r="H27" i="2"/>
  <c r="G86" i="2"/>
  <c r="G49" i="2" s="1"/>
  <c r="E117" i="17"/>
  <c r="E120" i="17" s="1"/>
  <c r="D66" i="2"/>
  <c r="E6" i="13"/>
  <c r="E7" i="13" s="1"/>
  <c r="D7" i="13" s="1"/>
  <c r="D10" i="13" s="1"/>
  <c r="D15" i="13" s="1"/>
  <c r="F55" i="7"/>
  <c r="P178" i="6"/>
  <c r="F178" i="6" s="1"/>
  <c r="L178" i="6"/>
  <c r="Q178" i="6"/>
  <c r="G178" i="6" s="1"/>
  <c r="M178" i="6"/>
  <c r="S178" i="6"/>
  <c r="R178" i="6"/>
  <c r="H178" i="6" s="1"/>
  <c r="N178" i="6"/>
  <c r="E178" i="6" s="1"/>
  <c r="S68" i="2"/>
  <c r="S7" i="2" s="1"/>
  <c r="T67" i="2"/>
  <c r="O179" i="6"/>
  <c r="I180" i="6"/>
  <c r="A179" i="6"/>
  <c r="L85" i="2"/>
  <c r="K23" i="17"/>
  <c r="K21" i="17"/>
  <c r="K30" i="17"/>
  <c r="K48" i="17"/>
  <c r="K55" i="17"/>
  <c r="K99" i="17"/>
  <c r="K41" i="17"/>
  <c r="K87" i="17"/>
  <c r="K75" i="17"/>
  <c r="K67" i="17"/>
  <c r="K92" i="17"/>
  <c r="K113" i="17"/>
  <c r="K112" i="17"/>
  <c r="K52" i="17"/>
  <c r="K102" i="17"/>
  <c r="K88" i="17"/>
  <c r="K22" i="17"/>
  <c r="K4" i="17"/>
  <c r="K66" i="17"/>
  <c r="K24" i="17"/>
  <c r="K70" i="17"/>
  <c r="K38" i="17"/>
  <c r="K50" i="17"/>
  <c r="K11" i="17"/>
  <c r="K104" i="17"/>
  <c r="L3" i="17"/>
  <c r="K90" i="17"/>
  <c r="K18" i="17"/>
  <c r="K14" i="17"/>
  <c r="K40" i="17"/>
  <c r="K29" i="17"/>
  <c r="K16" i="17"/>
  <c r="K61" i="17"/>
  <c r="K69" i="17"/>
  <c r="K82" i="17"/>
  <c r="K15" i="17"/>
  <c r="K73" i="17"/>
  <c r="K71" i="17"/>
  <c r="K34" i="17"/>
  <c r="K46" i="17"/>
  <c r="K44" i="17"/>
  <c r="K25" i="17"/>
  <c r="K98" i="17"/>
  <c r="K91" i="17"/>
  <c r="K84" i="17"/>
  <c r="K42" i="17"/>
  <c r="K100" i="17"/>
  <c r="K57" i="17"/>
  <c r="K80" i="17"/>
  <c r="K39" i="17"/>
  <c r="K60" i="17"/>
  <c r="K103" i="17"/>
  <c r="K109" i="17"/>
  <c r="K36" i="17"/>
  <c r="K31" i="17"/>
  <c r="K59" i="17"/>
  <c r="K9" i="17"/>
  <c r="K74" i="17"/>
  <c r="K43" i="17"/>
  <c r="K10" i="17"/>
  <c r="K119" i="17"/>
  <c r="K76" i="17"/>
  <c r="K81" i="17"/>
  <c r="K108" i="17"/>
  <c r="K58" i="17"/>
  <c r="K89" i="17"/>
  <c r="K101" i="17"/>
  <c r="K68" i="17"/>
  <c r="K20" i="17"/>
  <c r="K35" i="17"/>
  <c r="K56" i="17"/>
  <c r="K78" i="17"/>
  <c r="K37" i="17"/>
  <c r="K77" i="17"/>
  <c r="K45" i="17"/>
  <c r="K107" i="17"/>
  <c r="K65" i="17"/>
  <c r="K32" i="17"/>
  <c r="K27" i="17"/>
  <c r="K111" i="17"/>
  <c r="K13" i="17"/>
  <c r="K85" i="17"/>
  <c r="K63" i="17"/>
  <c r="K19" i="17"/>
  <c r="K26" i="17"/>
  <c r="K49" i="17"/>
  <c r="K53" i="17"/>
  <c r="K7" i="17"/>
  <c r="K83" i="17"/>
  <c r="K106" i="17"/>
  <c r="K64" i="17"/>
  <c r="K47" i="17"/>
  <c r="K105" i="17"/>
  <c r="K110" i="17"/>
  <c r="F6" i="13"/>
  <c r="F7" i="13" s="1"/>
  <c r="F58" i="7"/>
  <c r="D70" i="2"/>
  <c r="C177" i="6"/>
  <c r="L87" i="6" s="1"/>
  <c r="D177" i="6"/>
  <c r="M87" i="6" s="1"/>
  <c r="S72" i="2"/>
  <c r="S9" i="2" s="1"/>
  <c r="S78" i="2" s="1"/>
  <c r="T71" i="2"/>
  <c r="D35" i="3"/>
  <c r="E42" i="7" s="1"/>
  <c r="E41" i="7"/>
  <c r="J121" i="17"/>
  <c r="J122" i="17" s="1"/>
  <c r="K94" i="17" l="1"/>
  <c r="A180" i="6"/>
  <c r="O180" i="6"/>
  <c r="I181" i="6"/>
  <c r="I27" i="2"/>
  <c r="G74" i="7"/>
  <c r="H86" i="2"/>
  <c r="H49" i="2" s="1"/>
  <c r="I69" i="2"/>
  <c r="H8" i="2"/>
  <c r="D42" i="13"/>
  <c r="D43" i="13" s="1"/>
  <c r="H8" i="3" s="1"/>
  <c r="D19" i="13"/>
  <c r="D50" i="13"/>
  <c r="E50" i="13" s="1"/>
  <c r="I121" i="17"/>
  <c r="I122" i="17"/>
  <c r="P59" i="6"/>
  <c r="L179" i="6"/>
  <c r="R179" i="6"/>
  <c r="H179" i="6" s="1"/>
  <c r="Q59" i="6" s="1"/>
  <c r="N179" i="6"/>
  <c r="E179" i="6" s="1"/>
  <c r="N59" i="6" s="1"/>
  <c r="M179" i="6"/>
  <c r="S179" i="6"/>
  <c r="Q179" i="6"/>
  <c r="G179" i="6" s="1"/>
  <c r="P179" i="6"/>
  <c r="F179" i="6" s="1"/>
  <c r="O59" i="6" s="1"/>
  <c r="E122" i="17"/>
  <c r="E121" i="17"/>
  <c r="K18" i="2"/>
  <c r="J22" i="2"/>
  <c r="L21" i="17"/>
  <c r="L61" i="17"/>
  <c r="L36" i="17"/>
  <c r="L108" i="17"/>
  <c r="L35" i="17"/>
  <c r="L50" i="17"/>
  <c r="L74" i="17"/>
  <c r="L92" i="17"/>
  <c r="L71" i="17"/>
  <c r="L25" i="17"/>
  <c r="L39" i="17"/>
  <c r="L22" i="17"/>
  <c r="L13" i="17"/>
  <c r="L23" i="17"/>
  <c r="L55" i="17"/>
  <c r="L27" i="17"/>
  <c r="L83" i="17"/>
  <c r="L110" i="17"/>
  <c r="L111" i="17"/>
  <c r="L100" i="17"/>
  <c r="M3" i="17"/>
  <c r="L102" i="17"/>
  <c r="L52" i="17"/>
  <c r="L73" i="17"/>
  <c r="L45" i="17"/>
  <c r="L53" i="17"/>
  <c r="L42" i="17"/>
  <c r="L30" i="17"/>
  <c r="L63" i="17"/>
  <c r="L68" i="17"/>
  <c r="L82" i="17"/>
  <c r="L119" i="17"/>
  <c r="L81" i="17"/>
  <c r="L44" i="17"/>
  <c r="L85" i="17"/>
  <c r="L40" i="17"/>
  <c r="L4" i="17"/>
  <c r="L109" i="17"/>
  <c r="L77" i="17"/>
  <c r="L67" i="17"/>
  <c r="L104" i="17"/>
  <c r="L34" i="17"/>
  <c r="L18" i="17"/>
  <c r="L20" i="17"/>
  <c r="L47" i="17"/>
  <c r="L103" i="17"/>
  <c r="L90" i="17"/>
  <c r="L24" i="17"/>
  <c r="L107" i="17"/>
  <c r="L66" i="17"/>
  <c r="L112" i="17"/>
  <c r="L60" i="17"/>
  <c r="L29" i="17"/>
  <c r="L7" i="17"/>
  <c r="L89" i="17"/>
  <c r="L69" i="17"/>
  <c r="L14" i="17"/>
  <c r="L101" i="17"/>
  <c r="L88" i="17"/>
  <c r="L98" i="17"/>
  <c r="L37" i="17"/>
  <c r="L49" i="17"/>
  <c r="L11" i="17"/>
  <c r="L57" i="17"/>
  <c r="L10" i="17"/>
  <c r="L15" i="17"/>
  <c r="L91" i="17"/>
  <c r="L105" i="17"/>
  <c r="L70" i="17"/>
  <c r="L41" i="17"/>
  <c r="L9" i="17"/>
  <c r="L31" i="17"/>
  <c r="L84" i="17"/>
  <c r="L43" i="17"/>
  <c r="L65" i="17"/>
  <c r="L48" i="17"/>
  <c r="L76" i="17"/>
  <c r="L32" i="17"/>
  <c r="L19" i="17"/>
  <c r="L38" i="17"/>
  <c r="L113" i="17"/>
  <c r="L16" i="17"/>
  <c r="L64" i="17"/>
  <c r="L58" i="17"/>
  <c r="L46" i="17"/>
  <c r="L106" i="17"/>
  <c r="L59" i="17"/>
  <c r="L56" i="17"/>
  <c r="L78" i="17"/>
  <c r="L75" i="17"/>
  <c r="L80" i="17"/>
  <c r="L99" i="17"/>
  <c r="L87" i="17"/>
  <c r="L26" i="17"/>
  <c r="U67" i="2"/>
  <c r="T68" i="2"/>
  <c r="T7" i="2" s="1"/>
  <c r="C178" i="6"/>
  <c r="D178" i="6"/>
  <c r="H14" i="2"/>
  <c r="G70" i="7" s="1"/>
  <c r="I74" i="2"/>
  <c r="P28" i="2"/>
  <c r="O91" i="2"/>
  <c r="O50" i="2" s="1"/>
  <c r="U71" i="2"/>
  <c r="T72" i="2"/>
  <c r="T9" i="2" s="1"/>
  <c r="T78" i="2" s="1"/>
  <c r="K115" i="17"/>
  <c r="S76" i="2"/>
  <c r="M11" i="18"/>
  <c r="K14" i="18"/>
  <c r="L14" i="18" s="1"/>
  <c r="M12" i="18"/>
  <c r="C31" i="18" s="1"/>
  <c r="L10" i="18"/>
  <c r="C30" i="18" s="1"/>
  <c r="E66" i="2"/>
  <c r="D68" i="2"/>
  <c r="D7" i="2" s="1"/>
  <c r="D72" i="2"/>
  <c r="D9" i="2" s="1"/>
  <c r="E70" i="2"/>
  <c r="M85" i="2"/>
  <c r="F59" i="7"/>
  <c r="H45" i="3"/>
  <c r="C45" i="3" s="1"/>
  <c r="D50" i="7" s="1"/>
  <c r="E48" i="7"/>
  <c r="D40" i="3"/>
  <c r="E47" i="7" s="1"/>
  <c r="D43" i="3"/>
  <c r="K96" i="17" l="1"/>
  <c r="J27" i="2"/>
  <c r="I86" i="2"/>
  <c r="I49" i="2" s="1"/>
  <c r="N85" i="2"/>
  <c r="F66" i="2"/>
  <c r="E68" i="2"/>
  <c r="E7" i="2" s="1"/>
  <c r="I14" i="2"/>
  <c r="J74" i="2"/>
  <c r="N3" i="17"/>
  <c r="M45" i="17"/>
  <c r="M22" i="17"/>
  <c r="M108" i="17"/>
  <c r="M35" i="17"/>
  <c r="M61" i="17"/>
  <c r="M87" i="17"/>
  <c r="M14" i="17"/>
  <c r="M99" i="17"/>
  <c r="M41" i="17"/>
  <c r="M4" i="17"/>
  <c r="M91" i="17"/>
  <c r="M107" i="17"/>
  <c r="M27" i="17"/>
  <c r="M53" i="17"/>
  <c r="M55" i="17"/>
  <c r="M103" i="17"/>
  <c r="M110" i="17"/>
  <c r="M112" i="17"/>
  <c r="M58" i="17"/>
  <c r="M68" i="17"/>
  <c r="M38" i="17"/>
  <c r="M11" i="17"/>
  <c r="M23" i="17"/>
  <c r="M48" i="17"/>
  <c r="M105" i="17"/>
  <c r="M66" i="17"/>
  <c r="M109" i="17"/>
  <c r="M29" i="17"/>
  <c r="M113" i="17"/>
  <c r="M26" i="17"/>
  <c r="M59" i="17"/>
  <c r="M20" i="17"/>
  <c r="M21" i="17"/>
  <c r="M32" i="17"/>
  <c r="M63" i="17"/>
  <c r="M80" i="17"/>
  <c r="M77" i="17"/>
  <c r="M10" i="17"/>
  <c r="M56" i="17"/>
  <c r="M71" i="17"/>
  <c r="M24" i="17"/>
  <c r="M60" i="17"/>
  <c r="M42" i="17"/>
  <c r="M78" i="17"/>
  <c r="M65" i="17"/>
  <c r="M44" i="17"/>
  <c r="M67" i="17"/>
  <c r="M46" i="17"/>
  <c r="M111" i="17"/>
  <c r="M84" i="17"/>
  <c r="M36" i="17"/>
  <c r="M88" i="17"/>
  <c r="M69" i="17"/>
  <c r="M64" i="17"/>
  <c r="M119" i="17"/>
  <c r="M92" i="17"/>
  <c r="M75" i="17"/>
  <c r="M49" i="17"/>
  <c r="M85" i="17"/>
  <c r="M102" i="17"/>
  <c r="M31" i="17"/>
  <c r="M57" i="17"/>
  <c r="M89" i="17"/>
  <c r="M13" i="17"/>
  <c r="M74" i="17"/>
  <c r="M19" i="17"/>
  <c r="M52" i="17"/>
  <c r="M90" i="17"/>
  <c r="M47" i="17"/>
  <c r="M73" i="17"/>
  <c r="M100" i="17"/>
  <c r="M83" i="17"/>
  <c r="M30" i="17"/>
  <c r="M43" i="17"/>
  <c r="M50" i="17"/>
  <c r="M25" i="17"/>
  <c r="M101" i="17"/>
  <c r="M98" i="17"/>
  <c r="M16" i="17"/>
  <c r="M81" i="17"/>
  <c r="M7" i="17"/>
  <c r="M40" i="17"/>
  <c r="M18" i="17"/>
  <c r="M70" i="17"/>
  <c r="M9" i="17"/>
  <c r="M76" i="17"/>
  <c r="M37" i="17"/>
  <c r="M39" i="17"/>
  <c r="M82" i="17"/>
  <c r="M34" i="17"/>
  <c r="M15" i="17"/>
  <c r="M104" i="17"/>
  <c r="M106" i="17"/>
  <c r="C179" i="6"/>
  <c r="L59" i="6" s="1"/>
  <c r="D179" i="6"/>
  <c r="M59" i="6" s="1"/>
  <c r="E67" i="7"/>
  <c r="D78" i="2"/>
  <c r="D76" i="2"/>
  <c r="D79" i="2" s="1"/>
  <c r="D13" i="2" s="1"/>
  <c r="E69" i="7" s="1"/>
  <c r="D10" i="2"/>
  <c r="E65" i="7"/>
  <c r="Q28" i="2"/>
  <c r="P91" i="2"/>
  <c r="P50" i="2" s="1"/>
  <c r="L115" i="17"/>
  <c r="A181" i="6"/>
  <c r="O181" i="6"/>
  <c r="F70" i="2"/>
  <c r="E72" i="2"/>
  <c r="E9" i="2" s="1"/>
  <c r="L94" i="17"/>
  <c r="L96" i="17" s="1"/>
  <c r="L117" i="17" s="1"/>
  <c r="L120" i="17" s="1"/>
  <c r="L121" i="17" s="1"/>
  <c r="T76" i="2"/>
  <c r="G66" i="7"/>
  <c r="H77" i="2"/>
  <c r="O157" i="6"/>
  <c r="L157" i="6"/>
  <c r="U72" i="2"/>
  <c r="U9" i="2" s="1"/>
  <c r="U78" i="2" s="1"/>
  <c r="V71" i="2"/>
  <c r="U68" i="2"/>
  <c r="U7" i="2" s="1"/>
  <c r="V67" i="2"/>
  <c r="L18" i="2"/>
  <c r="K22" i="2"/>
  <c r="M180" i="6"/>
  <c r="P180" i="6"/>
  <c r="F180" i="6" s="1"/>
  <c r="R180" i="6"/>
  <c r="N180" i="6"/>
  <c r="E180" i="6" s="1"/>
  <c r="S180" i="6"/>
  <c r="L180" i="6"/>
  <c r="Q180" i="6"/>
  <c r="G180" i="6" s="1"/>
  <c r="J69" i="2"/>
  <c r="I8" i="2"/>
  <c r="I77" i="2" s="1"/>
  <c r="C180" i="6" l="1"/>
  <c r="D180" i="6"/>
  <c r="R28" i="2"/>
  <c r="Q91" i="2"/>
  <c r="Q50" i="2" s="1"/>
  <c r="M115" i="17"/>
  <c r="N7" i="17"/>
  <c r="N21" i="17"/>
  <c r="N68" i="17"/>
  <c r="N34" i="17"/>
  <c r="N42" i="17"/>
  <c r="N110" i="17"/>
  <c r="N18" i="17"/>
  <c r="N70" i="17"/>
  <c r="N74" i="17"/>
  <c r="N23" i="17"/>
  <c r="N100" i="17"/>
  <c r="N84" i="17"/>
  <c r="N38" i="17"/>
  <c r="N85" i="17"/>
  <c r="N112" i="17"/>
  <c r="N48" i="17"/>
  <c r="N87" i="17"/>
  <c r="N9" i="17"/>
  <c r="N22" i="17"/>
  <c r="N64" i="17"/>
  <c r="N31" i="17"/>
  <c r="N36" i="17"/>
  <c r="O3" i="17"/>
  <c r="N107" i="17"/>
  <c r="N35" i="17"/>
  <c r="N47" i="17"/>
  <c r="N11" i="17"/>
  <c r="N61" i="17"/>
  <c r="N46" i="17"/>
  <c r="N24" i="17"/>
  <c r="N65" i="17"/>
  <c r="N59" i="17"/>
  <c r="N67" i="17"/>
  <c r="N13" i="17"/>
  <c r="N25" i="17"/>
  <c r="N15" i="17"/>
  <c r="N89" i="17"/>
  <c r="N43" i="17"/>
  <c r="N99" i="17"/>
  <c r="N82" i="17"/>
  <c r="N53" i="17"/>
  <c r="N88" i="17"/>
  <c r="N109" i="17"/>
  <c r="N50" i="17"/>
  <c r="N108" i="17"/>
  <c r="N10" i="17"/>
  <c r="N81" i="17"/>
  <c r="N58" i="17"/>
  <c r="N76" i="17"/>
  <c r="N104" i="17"/>
  <c r="N105" i="17"/>
  <c r="N71" i="17"/>
  <c r="N52" i="17"/>
  <c r="N32" i="17"/>
  <c r="N55" i="17"/>
  <c r="N45" i="17"/>
  <c r="N37" i="17"/>
  <c r="N77" i="17"/>
  <c r="N66" i="17"/>
  <c r="N80" i="17"/>
  <c r="N73" i="17"/>
  <c r="N98" i="17"/>
  <c r="N83" i="17"/>
  <c r="N20" i="17"/>
  <c r="N56" i="17"/>
  <c r="N101" i="17"/>
  <c r="N111" i="17"/>
  <c r="N30" i="17"/>
  <c r="N119" i="17"/>
  <c r="N75" i="17"/>
  <c r="N16" i="17"/>
  <c r="N90" i="17"/>
  <c r="N14" i="17"/>
  <c r="N60" i="17"/>
  <c r="N4" i="17"/>
  <c r="N26" i="17"/>
  <c r="N29" i="17"/>
  <c r="N40" i="17"/>
  <c r="N27" i="17"/>
  <c r="N49" i="17"/>
  <c r="N63" i="17"/>
  <c r="N106" i="17"/>
  <c r="N113" i="17"/>
  <c r="N92" i="17"/>
  <c r="N57" i="17"/>
  <c r="N102" i="17"/>
  <c r="N91" i="17"/>
  <c r="N41" i="17"/>
  <c r="N44" i="17"/>
  <c r="N19" i="17"/>
  <c r="N39" i="17"/>
  <c r="N69" i="17"/>
  <c r="N103" i="17"/>
  <c r="N78" i="17"/>
  <c r="K117" i="17"/>
  <c r="K120" i="17" s="1"/>
  <c r="V72" i="2"/>
  <c r="V9" i="2" s="1"/>
  <c r="V78" i="2" s="1"/>
  <c r="W71" i="2"/>
  <c r="N181" i="6"/>
  <c r="E181" i="6" s="1"/>
  <c r="N73" i="6" s="1"/>
  <c r="R181" i="6"/>
  <c r="Q181" i="6"/>
  <c r="G181" i="6" s="1"/>
  <c r="P73" i="6" s="1"/>
  <c r="S181" i="6"/>
  <c r="P181" i="6"/>
  <c r="F181" i="6" s="1"/>
  <c r="L181" i="6"/>
  <c r="M181" i="6"/>
  <c r="L122" i="17"/>
  <c r="W67" i="2"/>
  <c r="V68" i="2"/>
  <c r="V7" i="2" s="1"/>
  <c r="G70" i="2"/>
  <c r="F72" i="2"/>
  <c r="F9" i="2" s="1"/>
  <c r="F78" i="2" s="1"/>
  <c r="G66" i="2"/>
  <c r="F68" i="2"/>
  <c r="F7" i="2" s="1"/>
  <c r="H180" i="6"/>
  <c r="N157" i="6"/>
  <c r="M157" i="6"/>
  <c r="P157" i="6"/>
  <c r="D15" i="2"/>
  <c r="E68" i="7"/>
  <c r="O85" i="2"/>
  <c r="E78" i="2"/>
  <c r="F67" i="7"/>
  <c r="U76" i="2"/>
  <c r="M94" i="17"/>
  <c r="M96" i="17" s="1"/>
  <c r="M117" i="17" s="1"/>
  <c r="M120" i="17" s="1"/>
  <c r="L22" i="2"/>
  <c r="M18" i="2"/>
  <c r="F65" i="7"/>
  <c r="E76" i="2"/>
  <c r="E79" i="2" s="1"/>
  <c r="E13" i="2" s="1"/>
  <c r="F69" i="7" s="1"/>
  <c r="E10" i="2"/>
  <c r="K69" i="2"/>
  <c r="J8" i="2"/>
  <c r="J77" i="2" s="1"/>
  <c r="K74" i="2"/>
  <c r="J14" i="2"/>
  <c r="K27" i="2"/>
  <c r="J86" i="2"/>
  <c r="J49" i="2" s="1"/>
  <c r="F76" i="2" l="1"/>
  <c r="F79" i="2" s="1"/>
  <c r="F13" i="2" s="1"/>
  <c r="F10" i="2"/>
  <c r="F15" i="2" s="1"/>
  <c r="F24" i="2" s="1"/>
  <c r="M121" i="17"/>
  <c r="M122" i="17" s="1"/>
  <c r="E15" i="2"/>
  <c r="F68" i="7"/>
  <c r="G72" i="2"/>
  <c r="G9" i="2" s="1"/>
  <c r="G78" i="2" s="1"/>
  <c r="H70" i="2"/>
  <c r="D181" i="6"/>
  <c r="M73" i="6" s="1"/>
  <c r="C181" i="6"/>
  <c r="L73" i="6" s="1"/>
  <c r="E71" i="7"/>
  <c r="D24" i="2"/>
  <c r="K121" i="17"/>
  <c r="K122" i="17"/>
  <c r="N115" i="17"/>
  <c r="O106" i="17"/>
  <c r="O38" i="17"/>
  <c r="O108" i="17"/>
  <c r="O99" i="17"/>
  <c r="O75" i="17"/>
  <c r="O74" i="17"/>
  <c r="O37" i="17"/>
  <c r="O45" i="17"/>
  <c r="O57" i="17"/>
  <c r="O80" i="17"/>
  <c r="O111" i="17"/>
  <c r="O61" i="17"/>
  <c r="O98" i="17"/>
  <c r="O119" i="17"/>
  <c r="O25" i="17"/>
  <c r="O77" i="17"/>
  <c r="O84" i="17"/>
  <c r="O14" i="17"/>
  <c r="O11" i="17"/>
  <c r="O70" i="17"/>
  <c r="O32" i="17"/>
  <c r="O113" i="17"/>
  <c r="P3" i="17"/>
  <c r="O71" i="17"/>
  <c r="O39" i="17"/>
  <c r="O82" i="17"/>
  <c r="O104" i="17"/>
  <c r="O43" i="17"/>
  <c r="O27" i="17"/>
  <c r="O103" i="17"/>
  <c r="O55" i="17"/>
  <c r="O19" i="17"/>
  <c r="O23" i="17"/>
  <c r="O30" i="17"/>
  <c r="O52" i="17"/>
  <c r="O29" i="17"/>
  <c r="O15" i="17"/>
  <c r="O89" i="17"/>
  <c r="O44" i="17"/>
  <c r="O56" i="17"/>
  <c r="O100" i="17"/>
  <c r="O107" i="17"/>
  <c r="O90" i="17"/>
  <c r="O20" i="17"/>
  <c r="O102" i="17"/>
  <c r="O101" i="17"/>
  <c r="O105" i="17"/>
  <c r="O46" i="17"/>
  <c r="O13" i="17"/>
  <c r="O21" i="17"/>
  <c r="O85" i="17"/>
  <c r="O4" i="17"/>
  <c r="O34" i="17"/>
  <c r="O48" i="17"/>
  <c r="O60" i="17"/>
  <c r="O88" i="17"/>
  <c r="O109" i="17"/>
  <c r="O83" i="17"/>
  <c r="O16" i="17"/>
  <c r="O24" i="17"/>
  <c r="O69" i="17"/>
  <c r="O22" i="17"/>
  <c r="O31" i="17"/>
  <c r="O63" i="17"/>
  <c r="O59" i="17"/>
  <c r="O53" i="17"/>
  <c r="O49" i="17"/>
  <c r="O76" i="17"/>
  <c r="O58" i="17"/>
  <c r="O65" i="17"/>
  <c r="O26" i="17"/>
  <c r="O36" i="17"/>
  <c r="O7" i="17"/>
  <c r="O91" i="17"/>
  <c r="O42" i="17"/>
  <c r="O110" i="17"/>
  <c r="O10" i="17"/>
  <c r="O87" i="17"/>
  <c r="O50" i="17"/>
  <c r="O18" i="17"/>
  <c r="O47" i="17"/>
  <c r="O40" i="17"/>
  <c r="O9" i="17"/>
  <c r="O35" i="17"/>
  <c r="O68" i="17"/>
  <c r="O41" i="17"/>
  <c r="O73" i="17"/>
  <c r="O112" i="17"/>
  <c r="O81" i="17"/>
  <c r="O78" i="17"/>
  <c r="O92" i="17"/>
  <c r="O67" i="17"/>
  <c r="O64" i="17"/>
  <c r="O66" i="17"/>
  <c r="H66" i="2"/>
  <c r="G68" i="2"/>
  <c r="G7" i="2" s="1"/>
  <c r="L69" i="2"/>
  <c r="K8" i="2"/>
  <c r="K77" i="2" s="1"/>
  <c r="V76" i="2"/>
  <c r="S28" i="2"/>
  <c r="R91" i="2"/>
  <c r="R50" i="2" s="1"/>
  <c r="X71" i="2"/>
  <c r="W72" i="2"/>
  <c r="W9" i="2" s="1"/>
  <c r="W78" i="2" s="1"/>
  <c r="L27" i="2"/>
  <c r="K86" i="2"/>
  <c r="K49" i="2" s="1"/>
  <c r="N94" i="17"/>
  <c r="N96" i="17" s="1"/>
  <c r="N117" i="17" s="1"/>
  <c r="N120" i="17" s="1"/>
  <c r="N121" i="17" s="1"/>
  <c r="N18" i="2"/>
  <c r="M22" i="2"/>
  <c r="I72" i="7" s="1"/>
  <c r="P85" i="2"/>
  <c r="W68" i="2"/>
  <c r="W7" i="2" s="1"/>
  <c r="X67" i="2"/>
  <c r="K14" i="2"/>
  <c r="L74" i="2"/>
  <c r="H181" i="6"/>
  <c r="N122" i="17" l="1"/>
  <c r="Y67" i="2"/>
  <c r="X68" i="2"/>
  <c r="X7" i="2" s="1"/>
  <c r="O115" i="17"/>
  <c r="D42" i="2"/>
  <c r="D102" i="2"/>
  <c r="E73" i="7"/>
  <c r="D35" i="2"/>
  <c r="E24" i="2"/>
  <c r="F71" i="7"/>
  <c r="M74" i="2"/>
  <c r="L14" i="2"/>
  <c r="W76" i="2"/>
  <c r="Q85" i="2"/>
  <c r="O94" i="17"/>
  <c r="O96" i="17" s="1"/>
  <c r="Y71" i="2"/>
  <c r="X72" i="2"/>
  <c r="X9" i="2" s="1"/>
  <c r="X78" i="2" s="1"/>
  <c r="T28" i="2"/>
  <c r="S91" i="2"/>
  <c r="S50" i="2" s="1"/>
  <c r="M27" i="2"/>
  <c r="L86" i="2"/>
  <c r="L49" i="2" s="1"/>
  <c r="F35" i="2"/>
  <c r="F42" i="2"/>
  <c r="F102" i="2"/>
  <c r="M69" i="2"/>
  <c r="L8" i="2"/>
  <c r="L77" i="2" s="1"/>
  <c r="I66" i="2"/>
  <c r="H68" i="2"/>
  <c r="H7" i="2" s="1"/>
  <c r="P92" i="17"/>
  <c r="P100" i="17"/>
  <c r="P78" i="17"/>
  <c r="P74" i="17"/>
  <c r="P70" i="17"/>
  <c r="P36" i="17"/>
  <c r="P68" i="17"/>
  <c r="P98" i="17"/>
  <c r="P91" i="17"/>
  <c r="P43" i="17"/>
  <c r="P77" i="17"/>
  <c r="P101" i="17"/>
  <c r="P63" i="17"/>
  <c r="P67" i="17"/>
  <c r="P112" i="17"/>
  <c r="P44" i="17"/>
  <c r="P60" i="17"/>
  <c r="P111" i="17"/>
  <c r="Q3" i="17"/>
  <c r="P80" i="17"/>
  <c r="P90" i="17"/>
  <c r="P81" i="17"/>
  <c r="P59" i="17"/>
  <c r="P57" i="17"/>
  <c r="P85" i="17"/>
  <c r="P119" i="17"/>
  <c r="P32" i="17"/>
  <c r="P27" i="17"/>
  <c r="P30" i="17"/>
  <c r="P11" i="17"/>
  <c r="P26" i="17"/>
  <c r="P102" i="17"/>
  <c r="P42" i="17"/>
  <c r="P18" i="17"/>
  <c r="P56" i="17"/>
  <c r="P106" i="17"/>
  <c r="P65" i="17"/>
  <c r="P69" i="17"/>
  <c r="P15" i="17"/>
  <c r="P13" i="17"/>
  <c r="P55" i="17"/>
  <c r="P104" i="17"/>
  <c r="P40" i="17"/>
  <c r="P113" i="17"/>
  <c r="P83" i="17"/>
  <c r="P110" i="17"/>
  <c r="P49" i="17"/>
  <c r="P4" i="17"/>
  <c r="P45" i="17"/>
  <c r="P24" i="17"/>
  <c r="P105" i="17"/>
  <c r="P38" i="17"/>
  <c r="P99" i="17"/>
  <c r="P21" i="17"/>
  <c r="P108" i="17"/>
  <c r="P16" i="17"/>
  <c r="P61" i="17"/>
  <c r="P52" i="17"/>
  <c r="P10" i="17"/>
  <c r="P22" i="17"/>
  <c r="P73" i="17"/>
  <c r="P46" i="17"/>
  <c r="P37" i="17"/>
  <c r="P14" i="17"/>
  <c r="P88" i="17"/>
  <c r="P20" i="17"/>
  <c r="P39" i="17"/>
  <c r="P89" i="17"/>
  <c r="P25" i="17"/>
  <c r="P19" i="17"/>
  <c r="P66" i="17"/>
  <c r="P7" i="17"/>
  <c r="P76" i="17"/>
  <c r="P71" i="17"/>
  <c r="P35" i="17"/>
  <c r="P109" i="17"/>
  <c r="P107" i="17"/>
  <c r="P53" i="17"/>
  <c r="P50" i="17"/>
  <c r="P9" i="17"/>
  <c r="P34" i="17"/>
  <c r="P29" i="17"/>
  <c r="P41" i="17"/>
  <c r="P103" i="17"/>
  <c r="P48" i="17"/>
  <c r="P47" i="17"/>
  <c r="P84" i="17"/>
  <c r="P31" i="17"/>
  <c r="P82" i="17"/>
  <c r="P23" i="17"/>
  <c r="P58" i="17"/>
  <c r="P64" i="17"/>
  <c r="P75" i="17"/>
  <c r="P87" i="17"/>
  <c r="I70" i="2"/>
  <c r="H72" i="2"/>
  <c r="H9" i="2" s="1"/>
  <c r="Q157" i="6"/>
  <c r="O73" i="6"/>
  <c r="Q73" i="6"/>
  <c r="N22" i="2"/>
  <c r="O18" i="2"/>
  <c r="G76" i="2"/>
  <c r="G79" i="2" s="1"/>
  <c r="G13" i="2" s="1"/>
  <c r="G10" i="2"/>
  <c r="G15" i="2" s="1"/>
  <c r="G24" i="2" s="1"/>
  <c r="Q7" i="17" l="1"/>
  <c r="Q80" i="17"/>
  <c r="Q19" i="17"/>
  <c r="Q78" i="17"/>
  <c r="Q104" i="17"/>
  <c r="Q32" i="17"/>
  <c r="Q88" i="17"/>
  <c r="Q67" i="17"/>
  <c r="Q45" i="17"/>
  <c r="Q111" i="17"/>
  <c r="Q24" i="17"/>
  <c r="Q112" i="17"/>
  <c r="Q23" i="17"/>
  <c r="Q58" i="17"/>
  <c r="Q38" i="17"/>
  <c r="Q66" i="17"/>
  <c r="Q22" i="17"/>
  <c r="Q37" i="17"/>
  <c r="Q52" i="17"/>
  <c r="Q70" i="17"/>
  <c r="Q43" i="17"/>
  <c r="Q42" i="17"/>
  <c r="Q55" i="17"/>
  <c r="Q18" i="17"/>
  <c r="Q107" i="17"/>
  <c r="Q109" i="17"/>
  <c r="Q99" i="17"/>
  <c r="Q39" i="17"/>
  <c r="Q85" i="17"/>
  <c r="Q71" i="17"/>
  <c r="Q103" i="17"/>
  <c r="Q74" i="17"/>
  <c r="Q73" i="17"/>
  <c r="Q82" i="17"/>
  <c r="Q10" i="17"/>
  <c r="Q68" i="17"/>
  <c r="Q44" i="17"/>
  <c r="Q26" i="17"/>
  <c r="Q106" i="17"/>
  <c r="Q31" i="17"/>
  <c r="Q87" i="17"/>
  <c r="Q102" i="17"/>
  <c r="Q64" i="17"/>
  <c r="Q16" i="17"/>
  <c r="Q101" i="17"/>
  <c r="Q13" i="17"/>
  <c r="Q14" i="17"/>
  <c r="Q81" i="17"/>
  <c r="Q49" i="17"/>
  <c r="Q25" i="17"/>
  <c r="Q119" i="17"/>
  <c r="Q105" i="17"/>
  <c r="Q56" i="17"/>
  <c r="Q65" i="17"/>
  <c r="Q89" i="17"/>
  <c r="Q92" i="17"/>
  <c r="Q27" i="17"/>
  <c r="R3" i="17"/>
  <c r="Q57" i="17"/>
  <c r="Q53" i="17"/>
  <c r="Q41" i="17"/>
  <c r="Q20" i="17"/>
  <c r="Q50" i="17"/>
  <c r="Q61" i="17"/>
  <c r="Q108" i="17"/>
  <c r="Q90" i="17"/>
  <c r="Q15" i="17"/>
  <c r="Q36" i="17"/>
  <c r="Q77" i="17"/>
  <c r="Q69" i="17"/>
  <c r="Q110" i="17"/>
  <c r="Q83" i="17"/>
  <c r="Q4" i="17"/>
  <c r="Q63" i="17"/>
  <c r="Q9" i="17"/>
  <c r="Q34" i="17"/>
  <c r="Q84" i="17"/>
  <c r="Q59" i="17"/>
  <c r="Q100" i="17"/>
  <c r="Q47" i="17"/>
  <c r="Q46" i="17"/>
  <c r="Q48" i="17"/>
  <c r="Q60" i="17"/>
  <c r="Q75" i="17"/>
  <c r="Q91" i="17"/>
  <c r="Q113" i="17"/>
  <c r="Q11" i="17"/>
  <c r="Q76" i="17"/>
  <c r="Q21" i="17"/>
  <c r="Q30" i="17"/>
  <c r="Q40" i="17"/>
  <c r="Q29" i="17"/>
  <c r="Q98" i="17"/>
  <c r="Q35" i="17"/>
  <c r="F106" i="2"/>
  <c r="F108" i="2" s="1"/>
  <c r="F37" i="2"/>
  <c r="F99" i="2" s="1"/>
  <c r="F41" i="2" s="1"/>
  <c r="Y72" i="2"/>
  <c r="Y9" i="2" s="1"/>
  <c r="Y78" i="2" s="1"/>
  <c r="Z71" i="2"/>
  <c r="N74" i="2"/>
  <c r="M14" i="2"/>
  <c r="I70" i="7" s="1"/>
  <c r="X76" i="2"/>
  <c r="H78" i="2"/>
  <c r="G67" i="7"/>
  <c r="P94" i="17"/>
  <c r="P96" i="17" s="1"/>
  <c r="H76" i="2"/>
  <c r="G65" i="7"/>
  <c r="H10" i="2"/>
  <c r="O117" i="17"/>
  <c r="O120" i="17" s="1"/>
  <c r="Z67" i="2"/>
  <c r="Y68" i="2"/>
  <c r="Y7" i="2" s="1"/>
  <c r="U28" i="2"/>
  <c r="T91" i="2"/>
  <c r="T50" i="2" s="1"/>
  <c r="I68" i="2"/>
  <c r="I7" i="2" s="1"/>
  <c r="J66" i="2"/>
  <c r="G35" i="2"/>
  <c r="G42" i="2"/>
  <c r="G102" i="2"/>
  <c r="R85" i="2"/>
  <c r="D37" i="2"/>
  <c r="D99" i="2" s="1"/>
  <c r="D106" i="2"/>
  <c r="E75" i="7"/>
  <c r="J70" i="2"/>
  <c r="I72" i="2"/>
  <c r="I9" i="2" s="1"/>
  <c r="I78" i="2" s="1"/>
  <c r="E35" i="2"/>
  <c r="E42" i="2"/>
  <c r="F73" i="7"/>
  <c r="E102" i="2"/>
  <c r="D35" i="14" s="1"/>
  <c r="P18" i="2"/>
  <c r="O22" i="2"/>
  <c r="P115" i="17"/>
  <c r="N69" i="2"/>
  <c r="M8" i="2"/>
  <c r="N27" i="2"/>
  <c r="I74" i="7"/>
  <c r="M86" i="2"/>
  <c r="M49" i="2" s="1"/>
  <c r="O121" i="17" l="1"/>
  <c r="O122" i="17" s="1"/>
  <c r="K70" i="2"/>
  <c r="J72" i="2"/>
  <c r="J9" i="2" s="1"/>
  <c r="J78" i="2" s="1"/>
  <c r="K66" i="2"/>
  <c r="J68" i="2"/>
  <c r="J7" i="2" s="1"/>
  <c r="Q18" i="2"/>
  <c r="P22" i="2"/>
  <c r="D108" i="2"/>
  <c r="E107" i="2"/>
  <c r="I76" i="2"/>
  <c r="I79" i="2" s="1"/>
  <c r="I13" i="2" s="1"/>
  <c r="I10" i="2"/>
  <c r="H79" i="2"/>
  <c r="H13" i="2" s="1"/>
  <c r="G69" i="7" s="1"/>
  <c r="N14" i="2"/>
  <c r="O74" i="2"/>
  <c r="D41" i="2"/>
  <c r="E81" i="7" s="1"/>
  <c r="P117" i="17"/>
  <c r="P120" i="17" s="1"/>
  <c r="Z72" i="2"/>
  <c r="Z9" i="2" s="1"/>
  <c r="Z78" i="2" s="1"/>
  <c r="AA71" i="2"/>
  <c r="V28" i="2"/>
  <c r="U91" i="2"/>
  <c r="U50" i="2" s="1"/>
  <c r="Q94" i="17"/>
  <c r="Q96" i="17" s="1"/>
  <c r="Q115" i="17"/>
  <c r="O69" i="2"/>
  <c r="N8" i="2"/>
  <c r="N77" i="2" s="1"/>
  <c r="G37" i="2"/>
  <c r="G99" i="2" s="1"/>
  <c r="G41" i="2" s="1"/>
  <c r="G106" i="2"/>
  <c r="G108" i="2" s="1"/>
  <c r="Y76" i="2"/>
  <c r="R41" i="17"/>
  <c r="R102" i="17"/>
  <c r="R55" i="17"/>
  <c r="R70" i="17"/>
  <c r="R67" i="17"/>
  <c r="R19" i="17"/>
  <c r="R48" i="17"/>
  <c r="R31" i="17"/>
  <c r="R29" i="17"/>
  <c r="R75" i="17"/>
  <c r="R108" i="17"/>
  <c r="R78" i="17"/>
  <c r="R35" i="17"/>
  <c r="R110" i="17"/>
  <c r="R10" i="17"/>
  <c r="R42" i="17"/>
  <c r="R11" i="17"/>
  <c r="R89" i="17"/>
  <c r="R27" i="17"/>
  <c r="R90" i="17"/>
  <c r="R26" i="17"/>
  <c r="R40" i="17"/>
  <c r="R58" i="17"/>
  <c r="R100" i="17"/>
  <c r="R44" i="17"/>
  <c r="R63" i="17"/>
  <c r="R23" i="17"/>
  <c r="R21" i="17"/>
  <c r="R80" i="17"/>
  <c r="R92" i="17"/>
  <c r="R112" i="17"/>
  <c r="R59" i="17"/>
  <c r="R4" i="17"/>
  <c r="R45" i="17"/>
  <c r="R64" i="17"/>
  <c r="R56" i="17"/>
  <c r="R109" i="17"/>
  <c r="R61" i="17"/>
  <c r="R71" i="17"/>
  <c r="R66" i="17"/>
  <c r="R98" i="17"/>
  <c r="R87" i="17"/>
  <c r="R43" i="17"/>
  <c r="R14" i="17"/>
  <c r="R73" i="17"/>
  <c r="R22" i="17"/>
  <c r="R65" i="17"/>
  <c r="R16" i="17"/>
  <c r="R50" i="17"/>
  <c r="R24" i="17"/>
  <c r="R111" i="17"/>
  <c r="R113" i="17"/>
  <c r="R77" i="17"/>
  <c r="R103" i="17"/>
  <c r="R81" i="17"/>
  <c r="R119" i="17"/>
  <c r="R37" i="17"/>
  <c r="R99" i="17"/>
  <c r="R7" i="17"/>
  <c r="R34" i="17"/>
  <c r="R52" i="17"/>
  <c r="R88" i="17"/>
  <c r="R68" i="17"/>
  <c r="R85" i="17"/>
  <c r="R46" i="17"/>
  <c r="R47" i="17"/>
  <c r="R83" i="17"/>
  <c r="R18" i="17"/>
  <c r="R53" i="17"/>
  <c r="R32" i="17"/>
  <c r="R60" i="17"/>
  <c r="R39" i="17"/>
  <c r="R101" i="17"/>
  <c r="R84" i="17"/>
  <c r="R20" i="17"/>
  <c r="S3" i="17"/>
  <c r="R82" i="17"/>
  <c r="R25" i="17"/>
  <c r="R69" i="17"/>
  <c r="R13" i="17"/>
  <c r="R74" i="17"/>
  <c r="R76" i="17"/>
  <c r="R105" i="17"/>
  <c r="R106" i="17"/>
  <c r="R104" i="17"/>
  <c r="R15" i="17"/>
  <c r="R91" i="17"/>
  <c r="R107" i="17"/>
  <c r="R9" i="17"/>
  <c r="R94" i="17" s="1"/>
  <c r="R96" i="17" s="1"/>
  <c r="R36" i="17"/>
  <c r="R30" i="17"/>
  <c r="R38" i="17"/>
  <c r="R57" i="17"/>
  <c r="R49" i="17"/>
  <c r="G68" i="7"/>
  <c r="H15" i="2"/>
  <c r="O27" i="2"/>
  <c r="N86" i="2"/>
  <c r="N49" i="2" s="1"/>
  <c r="I66" i="7"/>
  <c r="M77" i="2"/>
  <c r="E37" i="2"/>
  <c r="E99" i="2" s="1"/>
  <c r="E41" i="2" s="1"/>
  <c r="F81" i="7" s="1"/>
  <c r="E106" i="2"/>
  <c r="E108" i="2" s="1"/>
  <c r="F75" i="7"/>
  <c r="AA67" i="2"/>
  <c r="Z68" i="2"/>
  <c r="Z7" i="2" s="1"/>
  <c r="J76" i="2" l="1"/>
  <c r="J79" i="2" s="1"/>
  <c r="J13" i="2" s="1"/>
  <c r="J10" i="2"/>
  <c r="J15" i="2" s="1"/>
  <c r="J24" i="2" s="1"/>
  <c r="Q117" i="17"/>
  <c r="Q120" i="17" s="1"/>
  <c r="H107" i="2"/>
  <c r="L66" i="2"/>
  <c r="K68" i="2"/>
  <c r="K7" i="2" s="1"/>
  <c r="P27" i="2"/>
  <c r="O86" i="2"/>
  <c r="O49" i="2" s="1"/>
  <c r="H24" i="2"/>
  <c r="G71" i="7"/>
  <c r="P74" i="2"/>
  <c r="O14" i="2"/>
  <c r="AB67" i="2"/>
  <c r="AA68" i="2"/>
  <c r="AA7" i="2" s="1"/>
  <c r="S31" i="17"/>
  <c r="S68" i="17"/>
  <c r="S48" i="17"/>
  <c r="S34" i="17"/>
  <c r="S113" i="17"/>
  <c r="S46" i="17"/>
  <c r="S43" i="17"/>
  <c r="S107" i="17"/>
  <c r="S32" i="17"/>
  <c r="S60" i="17"/>
  <c r="S52" i="17"/>
  <c r="S42" i="17"/>
  <c r="S55" i="17"/>
  <c r="S10" i="17"/>
  <c r="S4" i="17"/>
  <c r="S111" i="17"/>
  <c r="S50" i="17"/>
  <c r="S92" i="17"/>
  <c r="S16" i="17"/>
  <c r="S108" i="17"/>
  <c r="S18" i="17"/>
  <c r="S49" i="17"/>
  <c r="S45" i="17"/>
  <c r="S98" i="17"/>
  <c r="S119" i="17"/>
  <c r="S78" i="17"/>
  <c r="S9" i="17"/>
  <c r="S90" i="17"/>
  <c r="S65" i="17"/>
  <c r="S105" i="17"/>
  <c r="S103" i="17"/>
  <c r="S66" i="17"/>
  <c r="S20" i="17"/>
  <c r="S24" i="17"/>
  <c r="S15" i="17"/>
  <c r="S84" i="17"/>
  <c r="S109" i="17"/>
  <c r="S11" i="17"/>
  <c r="S38" i="17"/>
  <c r="S71" i="17"/>
  <c r="S87" i="17"/>
  <c r="S39" i="17"/>
  <c r="S25" i="17"/>
  <c r="S80" i="17"/>
  <c r="S64" i="17"/>
  <c r="S75" i="17"/>
  <c r="S85" i="17"/>
  <c r="S73" i="17"/>
  <c r="S67" i="17"/>
  <c r="S110" i="17"/>
  <c r="S7" i="17"/>
  <c r="S47" i="17"/>
  <c r="S58" i="17"/>
  <c r="S36" i="17"/>
  <c r="S63" i="17"/>
  <c r="S59" i="17"/>
  <c r="S40" i="17"/>
  <c r="S83" i="17"/>
  <c r="S13" i="17"/>
  <c r="S70" i="17"/>
  <c r="S104" i="17"/>
  <c r="S89" i="17"/>
  <c r="S37" i="17"/>
  <c r="S23" i="17"/>
  <c r="S26" i="17"/>
  <c r="S44" i="17"/>
  <c r="S14" i="17"/>
  <c r="S102" i="17"/>
  <c r="S100" i="17"/>
  <c r="S76" i="17"/>
  <c r="S69" i="17"/>
  <c r="S91" i="17"/>
  <c r="S35" i="17"/>
  <c r="S21" i="17"/>
  <c r="S29" i="17"/>
  <c r="S22" i="17"/>
  <c r="S81" i="17"/>
  <c r="S61" i="17"/>
  <c r="S74" i="17"/>
  <c r="S101" i="17"/>
  <c r="S27" i="17"/>
  <c r="S19" i="17"/>
  <c r="S88" i="17"/>
  <c r="S99" i="17"/>
  <c r="S56" i="17"/>
  <c r="S77" i="17"/>
  <c r="S53" i="17"/>
  <c r="S112" i="17"/>
  <c r="S106" i="17"/>
  <c r="S57" i="17"/>
  <c r="S30" i="17"/>
  <c r="T3" i="17"/>
  <c r="S82" i="17"/>
  <c r="S41" i="17"/>
  <c r="W28" i="2"/>
  <c r="V91" i="2"/>
  <c r="V50" i="2" s="1"/>
  <c r="G107" i="2"/>
  <c r="K72" i="2"/>
  <c r="K9" i="2" s="1"/>
  <c r="K78" i="2" s="1"/>
  <c r="L70" i="2"/>
  <c r="R18" i="2"/>
  <c r="Q22" i="2"/>
  <c r="AA72" i="2"/>
  <c r="AA9" i="2" s="1"/>
  <c r="AA78" i="2" s="1"/>
  <c r="AB71" i="2"/>
  <c r="F107" i="2"/>
  <c r="R117" i="17"/>
  <c r="R120" i="17" s="1"/>
  <c r="R121" i="17" s="1"/>
  <c r="P121" i="17"/>
  <c r="P122" i="17"/>
  <c r="Z76" i="2"/>
  <c r="R115" i="17"/>
  <c r="O8" i="2"/>
  <c r="O77" i="2" s="1"/>
  <c r="P69" i="2"/>
  <c r="I15" i="2"/>
  <c r="I24" i="2" s="1"/>
  <c r="Q27" i="2" l="1"/>
  <c r="P86" i="2"/>
  <c r="P49" i="2" s="1"/>
  <c r="J35" i="2"/>
  <c r="J42" i="2"/>
  <c r="J102" i="2"/>
  <c r="AA76" i="2"/>
  <c r="R122" i="17"/>
  <c r="M66" i="2"/>
  <c r="L68" i="2"/>
  <c r="L7" i="2" s="1"/>
  <c r="Q121" i="17"/>
  <c r="Q122" i="17" s="1"/>
  <c r="X28" i="2"/>
  <c r="W91" i="2"/>
  <c r="W50" i="2" s="1"/>
  <c r="AB68" i="2"/>
  <c r="AB7" i="2" s="1"/>
  <c r="AC67" i="2"/>
  <c r="Q69" i="2"/>
  <c r="P8" i="2"/>
  <c r="P77" i="2" s="1"/>
  <c r="M70" i="2"/>
  <c r="L72" i="2"/>
  <c r="L9" i="2" s="1"/>
  <c r="L78" i="2" s="1"/>
  <c r="K10" i="2"/>
  <c r="K76" i="2"/>
  <c r="K79" i="2" s="1"/>
  <c r="K13" i="2" s="1"/>
  <c r="G73" i="7"/>
  <c r="H35" i="2"/>
  <c r="H42" i="2"/>
  <c r="H102" i="2"/>
  <c r="D36" i="14" s="1"/>
  <c r="I42" i="2"/>
  <c r="I35" i="2"/>
  <c r="I102" i="2"/>
  <c r="S115" i="17"/>
  <c r="AB72" i="2"/>
  <c r="AB9" i="2" s="1"/>
  <c r="AB78" i="2" s="1"/>
  <c r="AC71" i="2"/>
  <c r="Q74" i="2"/>
  <c r="P14" i="2"/>
  <c r="S18" i="2"/>
  <c r="R22" i="2"/>
  <c r="L72" i="7" s="1"/>
  <c r="T16" i="17"/>
  <c r="T104" i="17"/>
  <c r="T15" i="17"/>
  <c r="T83" i="17"/>
  <c r="T85" i="17"/>
  <c r="T80" i="17"/>
  <c r="T47" i="17"/>
  <c r="T49" i="17"/>
  <c r="T109" i="17"/>
  <c r="T75" i="17"/>
  <c r="T110" i="17"/>
  <c r="T13" i="17"/>
  <c r="T44" i="17"/>
  <c r="T105" i="17"/>
  <c r="T99" i="17"/>
  <c r="T65" i="17"/>
  <c r="T19" i="17"/>
  <c r="T111" i="17"/>
  <c r="T27" i="17"/>
  <c r="T21" i="17"/>
  <c r="T108" i="17"/>
  <c r="T59" i="17"/>
  <c r="T98" i="17"/>
  <c r="T91" i="17"/>
  <c r="T30" i="17"/>
  <c r="T102" i="17"/>
  <c r="T69" i="17"/>
  <c r="T113" i="17"/>
  <c r="T90" i="17"/>
  <c r="T101" i="17"/>
  <c r="T43" i="17"/>
  <c r="T20" i="17"/>
  <c r="T76" i="17"/>
  <c r="T67" i="17"/>
  <c r="T56" i="17"/>
  <c r="T73" i="17"/>
  <c r="T36" i="17"/>
  <c r="T46" i="17"/>
  <c r="T52" i="17"/>
  <c r="T34" i="17"/>
  <c r="T70" i="17"/>
  <c r="T63" i="17"/>
  <c r="T26" i="17"/>
  <c r="T11" i="17"/>
  <c r="T77" i="17"/>
  <c r="T57" i="17"/>
  <c r="T45" i="17"/>
  <c r="T107" i="17"/>
  <c r="T7" i="17"/>
  <c r="T66" i="17"/>
  <c r="T53" i="17"/>
  <c r="T50" i="17"/>
  <c r="T55" i="17"/>
  <c r="T78" i="17"/>
  <c r="T92" i="17"/>
  <c r="T25" i="17"/>
  <c r="T119" i="17"/>
  <c r="T106" i="17"/>
  <c r="T60" i="17"/>
  <c r="T41" i="17"/>
  <c r="T4" i="17"/>
  <c r="T84" i="17"/>
  <c r="T87" i="17"/>
  <c r="T24" i="17"/>
  <c r="T82" i="17"/>
  <c r="T112" i="17"/>
  <c r="T68" i="17"/>
  <c r="T103" i="17"/>
  <c r="T89" i="17"/>
  <c r="T18" i="17"/>
  <c r="T37" i="17"/>
  <c r="T29" i="17"/>
  <c r="T58" i="17"/>
  <c r="T32" i="17"/>
  <c r="T22" i="17"/>
  <c r="T74" i="17"/>
  <c r="T42" i="17"/>
  <c r="T71" i="17"/>
  <c r="T35" i="17"/>
  <c r="T31" i="17"/>
  <c r="T64" i="17"/>
  <c r="T14" i="17"/>
  <c r="T9" i="17"/>
  <c r="T88" i="17"/>
  <c r="T10" i="17"/>
  <c r="T23" i="17"/>
  <c r="T100" i="17"/>
  <c r="T48" i="17"/>
  <c r="T61" i="17"/>
  <c r="T40" i="17"/>
  <c r="T81" i="17"/>
  <c r="U3" i="17"/>
  <c r="T38" i="17"/>
  <c r="T39" i="17"/>
  <c r="S94" i="17"/>
  <c r="S96" i="17" s="1"/>
  <c r="S117" i="17" s="1"/>
  <c r="S120" i="17" s="1"/>
  <c r="S121" i="17" s="1"/>
  <c r="AB76" i="2" l="1"/>
  <c r="T18" i="2"/>
  <c r="S22" i="2"/>
  <c r="Y28" i="2"/>
  <c r="X91" i="2"/>
  <c r="X50" i="2" s="1"/>
  <c r="S122" i="17"/>
  <c r="I106" i="2"/>
  <c r="I108" i="2" s="1"/>
  <c r="I37" i="2"/>
  <c r="I99" i="2" s="1"/>
  <c r="I41" i="2" s="1"/>
  <c r="K15" i="2"/>
  <c r="K24" i="2" s="1"/>
  <c r="Q14" i="2"/>
  <c r="R74" i="2"/>
  <c r="N70" i="2"/>
  <c r="M72" i="2"/>
  <c r="M9" i="2" s="1"/>
  <c r="J37" i="2"/>
  <c r="J99" i="2" s="1"/>
  <c r="J41" i="2" s="1"/>
  <c r="J106" i="2"/>
  <c r="J108" i="2" s="1"/>
  <c r="L10" i="2"/>
  <c r="L76" i="2"/>
  <c r="L79" i="2" s="1"/>
  <c r="L13" i="2" s="1"/>
  <c r="AD71" i="2"/>
  <c r="AC72" i="2"/>
  <c r="AC9" i="2" s="1"/>
  <c r="AC78" i="2" s="1"/>
  <c r="Q8" i="2"/>
  <c r="Q77" i="2" s="1"/>
  <c r="R69" i="2"/>
  <c r="N66" i="2"/>
  <c r="M68" i="2"/>
  <c r="M7" i="2" s="1"/>
  <c r="R27" i="2"/>
  <c r="Q86" i="2"/>
  <c r="Q49" i="2" s="1"/>
  <c r="T115" i="17"/>
  <c r="U10" i="17"/>
  <c r="U53" i="17"/>
  <c r="U77" i="17"/>
  <c r="U71" i="17"/>
  <c r="U100" i="17"/>
  <c r="U32" i="17"/>
  <c r="U37" i="17"/>
  <c r="U74" i="17"/>
  <c r="U90" i="17"/>
  <c r="U50" i="17"/>
  <c r="U99" i="17"/>
  <c r="U36" i="17"/>
  <c r="U7" i="17"/>
  <c r="U98" i="17"/>
  <c r="U111" i="17"/>
  <c r="U41" i="17"/>
  <c r="U57" i="17"/>
  <c r="U59" i="17"/>
  <c r="U68" i="17"/>
  <c r="U70" i="17"/>
  <c r="U56" i="17"/>
  <c r="U30" i="17"/>
  <c r="U113" i="17"/>
  <c r="U110" i="17"/>
  <c r="U35" i="17"/>
  <c r="U65" i="17"/>
  <c r="U104" i="17"/>
  <c r="U9" i="17"/>
  <c r="U85" i="17"/>
  <c r="U40" i="17"/>
  <c r="U46" i="17"/>
  <c r="U109" i="17"/>
  <c r="U89" i="17"/>
  <c r="U92" i="17"/>
  <c r="U31" i="17"/>
  <c r="U101" i="17"/>
  <c r="U69" i="17"/>
  <c r="U103" i="17"/>
  <c r="U45" i="17"/>
  <c r="U16" i="17"/>
  <c r="U21" i="17"/>
  <c r="U119" i="17"/>
  <c r="U58" i="17"/>
  <c r="U38" i="17"/>
  <c r="U27" i="17"/>
  <c r="U64" i="17"/>
  <c r="U76" i="17"/>
  <c r="U63" i="17"/>
  <c r="U4" i="17"/>
  <c r="U75" i="17"/>
  <c r="U18" i="17"/>
  <c r="U11" i="17"/>
  <c r="U24" i="17"/>
  <c r="U14" i="17"/>
  <c r="U49" i="17"/>
  <c r="U19" i="17"/>
  <c r="U81" i="17"/>
  <c r="U78" i="17"/>
  <c r="U23" i="17"/>
  <c r="U112" i="17"/>
  <c r="U61" i="17"/>
  <c r="U91" i="17"/>
  <c r="U84" i="17"/>
  <c r="U34" i="17"/>
  <c r="U106" i="17"/>
  <c r="U52" i="17"/>
  <c r="V3" i="17"/>
  <c r="U39" i="17"/>
  <c r="U102" i="17"/>
  <c r="U43" i="17"/>
  <c r="U67" i="17"/>
  <c r="U48" i="17"/>
  <c r="U60" i="17"/>
  <c r="U25" i="17"/>
  <c r="U83" i="17"/>
  <c r="U26" i="17"/>
  <c r="U20" i="17"/>
  <c r="U87" i="17"/>
  <c r="U22" i="17"/>
  <c r="U73" i="17"/>
  <c r="U42" i="17"/>
  <c r="U15" i="17"/>
  <c r="U107" i="17"/>
  <c r="U13" i="17"/>
  <c r="U82" i="17"/>
  <c r="U105" i="17"/>
  <c r="U88" i="17"/>
  <c r="U55" i="17"/>
  <c r="U108" i="17"/>
  <c r="U66" i="17"/>
  <c r="U47" i="17"/>
  <c r="U80" i="17"/>
  <c r="U44" i="17"/>
  <c r="U29" i="17"/>
  <c r="T94" i="17"/>
  <c r="T96" i="17" s="1"/>
  <c r="T117" i="17" s="1"/>
  <c r="T120" i="17" s="1"/>
  <c r="T121" i="17" s="1"/>
  <c r="G75" i="7"/>
  <c r="H37" i="2"/>
  <c r="H99" i="2" s="1"/>
  <c r="H106" i="2"/>
  <c r="AC68" i="2"/>
  <c r="AC7" i="2" s="1"/>
  <c r="AD67" i="2"/>
  <c r="O66" i="2" l="1"/>
  <c r="N68" i="2"/>
  <c r="N7" i="2" s="1"/>
  <c r="M76" i="2"/>
  <c r="M10" i="2"/>
  <c r="I65" i="7"/>
  <c r="S69" i="2"/>
  <c r="R8" i="2"/>
  <c r="T122" i="17"/>
  <c r="O70" i="2"/>
  <c r="N72" i="2"/>
  <c r="N9" i="2" s="1"/>
  <c r="N78" i="2" s="1"/>
  <c r="Z28" i="2"/>
  <c r="Y91" i="2"/>
  <c r="Y50" i="2" s="1"/>
  <c r="H41" i="2"/>
  <c r="G81" i="7" s="1"/>
  <c r="I67" i="7"/>
  <c r="M78" i="2"/>
  <c r="S74" i="2"/>
  <c r="R14" i="2"/>
  <c r="L70" i="7" s="1"/>
  <c r="AD72" i="2"/>
  <c r="AD9" i="2" s="1"/>
  <c r="AD78" i="2" s="1"/>
  <c r="AE71" i="2"/>
  <c r="U18" i="2"/>
  <c r="T22" i="2"/>
  <c r="U115" i="17"/>
  <c r="L74" i="7"/>
  <c r="R86" i="2"/>
  <c r="K35" i="2"/>
  <c r="K42" i="2"/>
  <c r="K102" i="2"/>
  <c r="AD68" i="2"/>
  <c r="AD7" i="2" s="1"/>
  <c r="AE67" i="2"/>
  <c r="U94" i="17"/>
  <c r="U96" i="17" s="1"/>
  <c r="AC76" i="2"/>
  <c r="V83" i="17"/>
  <c r="V57" i="17"/>
  <c r="V39" i="17"/>
  <c r="V18" i="17"/>
  <c r="V99" i="17"/>
  <c r="V78" i="17"/>
  <c r="V46" i="17"/>
  <c r="V31" i="17"/>
  <c r="V106" i="17"/>
  <c r="V69" i="17"/>
  <c r="V109" i="17"/>
  <c r="V58" i="17"/>
  <c r="V7" i="17"/>
  <c r="V61" i="17"/>
  <c r="V34" i="17"/>
  <c r="V85" i="17"/>
  <c r="V48" i="17"/>
  <c r="V111" i="17"/>
  <c r="V27" i="17"/>
  <c r="V10" i="17"/>
  <c r="V113" i="17"/>
  <c r="V22" i="17"/>
  <c r="V98" i="17"/>
  <c r="V11" i="17"/>
  <c r="V36" i="17"/>
  <c r="V68" i="17"/>
  <c r="V32" i="17"/>
  <c r="V26" i="17"/>
  <c r="V21" i="17"/>
  <c r="V60" i="17"/>
  <c r="V81" i="17"/>
  <c r="V108" i="17"/>
  <c r="V16" i="17"/>
  <c r="V13" i="17"/>
  <c r="V112" i="17"/>
  <c r="V23" i="17"/>
  <c r="V103" i="17"/>
  <c r="V55" i="17"/>
  <c r="V88" i="17"/>
  <c r="V56" i="17"/>
  <c r="V71" i="17"/>
  <c r="V105" i="17"/>
  <c r="V107" i="17"/>
  <c r="V4" i="17"/>
  <c r="V45" i="17"/>
  <c r="V89" i="17"/>
  <c r="V65" i="17"/>
  <c r="W3" i="17"/>
  <c r="V40" i="17"/>
  <c r="V84" i="17"/>
  <c r="V59" i="17"/>
  <c r="V41" i="17"/>
  <c r="V15" i="17"/>
  <c r="V90" i="17"/>
  <c r="V67" i="17"/>
  <c r="V63" i="17"/>
  <c r="V53" i="17"/>
  <c r="V37" i="17"/>
  <c r="V92" i="17"/>
  <c r="V70" i="17"/>
  <c r="V119" i="17"/>
  <c r="V75" i="17"/>
  <c r="V91" i="17"/>
  <c r="V52" i="17"/>
  <c r="V80" i="17"/>
  <c r="V77" i="17"/>
  <c r="V104" i="17"/>
  <c r="V20" i="17"/>
  <c r="V64" i="17"/>
  <c r="V102" i="17"/>
  <c r="V100" i="17"/>
  <c r="V44" i="17"/>
  <c r="V47" i="17"/>
  <c r="V66" i="17"/>
  <c r="V19" i="17"/>
  <c r="V74" i="17"/>
  <c r="V38" i="17"/>
  <c r="V35" i="17"/>
  <c r="V49" i="17"/>
  <c r="V14" i="17"/>
  <c r="V29" i="17"/>
  <c r="V82" i="17"/>
  <c r="V76" i="17"/>
  <c r="V25" i="17"/>
  <c r="V42" i="17"/>
  <c r="V87" i="17"/>
  <c r="V50" i="17"/>
  <c r="V43" i="17"/>
  <c r="V110" i="17"/>
  <c r="V73" i="17"/>
  <c r="V101" i="17"/>
  <c r="V30" i="17"/>
  <c r="V24" i="17"/>
  <c r="V9" i="17"/>
  <c r="H108" i="2"/>
  <c r="I107" i="2"/>
  <c r="K107" i="2"/>
  <c r="J107" i="2"/>
  <c r="L15" i="2"/>
  <c r="L24" i="2" s="1"/>
  <c r="AE68" i="2" l="1"/>
  <c r="AE7" i="2" s="1"/>
  <c r="AF67" i="2"/>
  <c r="L42" i="2"/>
  <c r="L35" i="2"/>
  <c r="L102" i="2"/>
  <c r="S8" i="2"/>
  <c r="T69" i="2"/>
  <c r="R77" i="2"/>
  <c r="L66" i="7"/>
  <c r="V18" i="2"/>
  <c r="U22" i="2"/>
  <c r="AF71" i="2"/>
  <c r="AE72" i="2"/>
  <c r="AE9" i="2" s="1"/>
  <c r="AE78" i="2" s="1"/>
  <c r="I68" i="7"/>
  <c r="V115" i="17"/>
  <c r="AD76" i="2"/>
  <c r="X3" i="17"/>
  <c r="W67" i="17"/>
  <c r="W47" i="17"/>
  <c r="W4" i="17"/>
  <c r="W92" i="17"/>
  <c r="W61" i="17"/>
  <c r="W58" i="17"/>
  <c r="W85" i="17"/>
  <c r="W22" i="17"/>
  <c r="W36" i="17"/>
  <c r="W15" i="17"/>
  <c r="W10" i="17"/>
  <c r="W98" i="17"/>
  <c r="W55" i="17"/>
  <c r="W68" i="17"/>
  <c r="W75" i="17"/>
  <c r="W56" i="17"/>
  <c r="W26" i="17"/>
  <c r="W111" i="17"/>
  <c r="W21" i="17"/>
  <c r="W91" i="17"/>
  <c r="W27" i="17"/>
  <c r="W11" i="17"/>
  <c r="W52" i="17"/>
  <c r="W63" i="17"/>
  <c r="W112" i="17"/>
  <c r="W77" i="17"/>
  <c r="W48" i="17"/>
  <c r="W41" i="17"/>
  <c r="W37" i="17"/>
  <c r="W19" i="17"/>
  <c r="W35" i="17"/>
  <c r="W39" i="17"/>
  <c r="W24" i="17"/>
  <c r="W82" i="17"/>
  <c r="W103" i="17"/>
  <c r="W104" i="17"/>
  <c r="W20" i="17"/>
  <c r="W87" i="17"/>
  <c r="W106" i="17"/>
  <c r="W107" i="17"/>
  <c r="W65" i="17"/>
  <c r="W42" i="17"/>
  <c r="W23" i="17"/>
  <c r="W14" i="17"/>
  <c r="W9" i="17"/>
  <c r="W99" i="17"/>
  <c r="W83" i="17"/>
  <c r="W110" i="17"/>
  <c r="W30" i="17"/>
  <c r="W101" i="17"/>
  <c r="W73" i="17"/>
  <c r="W34" i="17"/>
  <c r="W76" i="17"/>
  <c r="W88" i="17"/>
  <c r="W100" i="17"/>
  <c r="W44" i="17"/>
  <c r="W45" i="17"/>
  <c r="W32" i="17"/>
  <c r="W70" i="17"/>
  <c r="W38" i="17"/>
  <c r="W25" i="17"/>
  <c r="W46" i="17"/>
  <c r="W71" i="17"/>
  <c r="W102" i="17"/>
  <c r="W29" i="17"/>
  <c r="W69" i="17"/>
  <c r="W57" i="17"/>
  <c r="W49" i="17"/>
  <c r="W80" i="17"/>
  <c r="W16" i="17"/>
  <c r="W81" i="17"/>
  <c r="W78" i="17"/>
  <c r="W113" i="17"/>
  <c r="W119" i="17"/>
  <c r="W74" i="17"/>
  <c r="W64" i="17"/>
  <c r="W84" i="17"/>
  <c r="W7" i="17"/>
  <c r="W13" i="17"/>
  <c r="W108" i="17"/>
  <c r="W18" i="17"/>
  <c r="W40" i="17"/>
  <c r="W109" i="17"/>
  <c r="W43" i="17"/>
  <c r="W31" i="17"/>
  <c r="W50" i="17"/>
  <c r="W53" i="17"/>
  <c r="W66" i="17"/>
  <c r="W105" i="17"/>
  <c r="W90" i="17"/>
  <c r="W59" i="17"/>
  <c r="W89" i="17"/>
  <c r="W60" i="17"/>
  <c r="K106" i="2"/>
  <c r="K37" i="2"/>
  <c r="K99" i="2" s="1"/>
  <c r="Z91" i="2"/>
  <c r="Z50" i="2" s="1"/>
  <c r="AA28" i="2"/>
  <c r="M79" i="2"/>
  <c r="M13" i="2" s="1"/>
  <c r="I69" i="7" s="1"/>
  <c r="N76" i="2"/>
  <c r="N79" i="2" s="1"/>
  <c r="N13" i="2" s="1"/>
  <c r="N10" i="2"/>
  <c r="N15" i="2" s="1"/>
  <c r="N24" i="2" s="1"/>
  <c r="V94" i="17"/>
  <c r="V96" i="17" s="1"/>
  <c r="V117" i="17" s="1"/>
  <c r="V120" i="17" s="1"/>
  <c r="V121" i="17" s="1"/>
  <c r="U117" i="17"/>
  <c r="U120" i="17" s="1"/>
  <c r="T74" i="2"/>
  <c r="S14" i="2"/>
  <c r="O72" i="2"/>
  <c r="O9" i="2" s="1"/>
  <c r="O78" i="2" s="1"/>
  <c r="P70" i="2"/>
  <c r="P66" i="2"/>
  <c r="O68" i="2"/>
  <c r="O7" i="2" s="1"/>
  <c r="U74" i="2" l="1"/>
  <c r="T14" i="2"/>
  <c r="AF72" i="2"/>
  <c r="AF9" i="2" s="1"/>
  <c r="AF78" i="2" s="1"/>
  <c r="AG71" i="2"/>
  <c r="AG72" i="2" s="1"/>
  <c r="AG9" i="2" s="1"/>
  <c r="L37" i="2"/>
  <c r="L99" i="2" s="1"/>
  <c r="L41" i="2" s="1"/>
  <c r="L106" i="2"/>
  <c r="L108" i="2" s="1"/>
  <c r="S77" i="2"/>
  <c r="S79" i="2" s="1"/>
  <c r="S13" i="2" s="1"/>
  <c r="S10" i="2"/>
  <c r="S15" i="2" s="1"/>
  <c r="S24" i="2" s="1"/>
  <c r="U121" i="17"/>
  <c r="U122" i="17" s="1"/>
  <c r="K41" i="2"/>
  <c r="Y3" i="17"/>
  <c r="X76" i="17"/>
  <c r="X71" i="17"/>
  <c r="X55" i="17"/>
  <c r="X56" i="17"/>
  <c r="X21" i="17"/>
  <c r="X85" i="17"/>
  <c r="X106" i="17"/>
  <c r="X11" i="17"/>
  <c r="X103" i="17"/>
  <c r="X73" i="17"/>
  <c r="X67" i="17"/>
  <c r="X7" i="17"/>
  <c r="X113" i="17"/>
  <c r="X35" i="17"/>
  <c r="X14" i="17"/>
  <c r="X68" i="17"/>
  <c r="X102" i="17"/>
  <c r="X88" i="17"/>
  <c r="X48" i="17"/>
  <c r="X24" i="17"/>
  <c r="X69" i="17"/>
  <c r="X49" i="17"/>
  <c r="X80" i="17"/>
  <c r="X40" i="17"/>
  <c r="X87" i="17"/>
  <c r="X83" i="17"/>
  <c r="X101" i="17"/>
  <c r="X66" i="17"/>
  <c r="X61" i="17"/>
  <c r="X42" i="17"/>
  <c r="X64" i="17"/>
  <c r="X45" i="17"/>
  <c r="X65" i="17"/>
  <c r="X37" i="17"/>
  <c r="X100" i="17"/>
  <c r="X77" i="17"/>
  <c r="X34" i="17"/>
  <c r="X29" i="17"/>
  <c r="X13" i="17"/>
  <c r="X52" i="17"/>
  <c r="X16" i="17"/>
  <c r="X108" i="17"/>
  <c r="X4" i="17"/>
  <c r="X32" i="17"/>
  <c r="X22" i="17"/>
  <c r="X82" i="17"/>
  <c r="X112" i="17"/>
  <c r="X27" i="17"/>
  <c r="X31" i="17"/>
  <c r="X91" i="17"/>
  <c r="X23" i="17"/>
  <c r="X105" i="17"/>
  <c r="X74" i="17"/>
  <c r="X20" i="17"/>
  <c r="X109" i="17"/>
  <c r="X18" i="17"/>
  <c r="X59" i="17"/>
  <c r="X38" i="17"/>
  <c r="X92" i="17"/>
  <c r="X60" i="17"/>
  <c r="X30" i="17"/>
  <c r="X84" i="17"/>
  <c r="X43" i="17"/>
  <c r="X19" i="17"/>
  <c r="X57" i="17"/>
  <c r="X98" i="17"/>
  <c r="X41" i="17"/>
  <c r="X58" i="17"/>
  <c r="X53" i="17"/>
  <c r="X104" i="17"/>
  <c r="X111" i="17"/>
  <c r="X78" i="17"/>
  <c r="X25" i="17"/>
  <c r="X107" i="17"/>
  <c r="X15" i="17"/>
  <c r="X46" i="17"/>
  <c r="X70" i="17"/>
  <c r="X63" i="17"/>
  <c r="X10" i="17"/>
  <c r="X47" i="17"/>
  <c r="X26" i="17"/>
  <c r="X81" i="17"/>
  <c r="X39" i="17"/>
  <c r="X99" i="17"/>
  <c r="X44" i="17"/>
  <c r="X75" i="17"/>
  <c r="X89" i="17"/>
  <c r="X50" i="17"/>
  <c r="X119" i="17"/>
  <c r="X9" i="17"/>
  <c r="X110" i="17"/>
  <c r="X36" i="17"/>
  <c r="X90" i="17"/>
  <c r="K108" i="2"/>
  <c r="M107" i="2"/>
  <c r="L107" i="2"/>
  <c r="W18" i="2"/>
  <c r="V22" i="2"/>
  <c r="AF68" i="2"/>
  <c r="AF7" i="2" s="1"/>
  <c r="AG67" i="2"/>
  <c r="AG68" i="2" s="1"/>
  <c r="AG7" i="2" s="1"/>
  <c r="W115" i="17"/>
  <c r="AE76" i="2"/>
  <c r="N42" i="2"/>
  <c r="N35" i="2"/>
  <c r="N102" i="2"/>
  <c r="W94" i="17"/>
  <c r="W96" i="17" s="1"/>
  <c r="W117" i="17" s="1"/>
  <c r="W120" i="17" s="1"/>
  <c r="W121" i="17" s="1"/>
  <c r="V122" i="17"/>
  <c r="AA91" i="2"/>
  <c r="AA50" i="2" s="1"/>
  <c r="AB28" i="2"/>
  <c r="O10" i="2"/>
  <c r="O15" i="2" s="1"/>
  <c r="O24" i="2" s="1"/>
  <c r="O76" i="2"/>
  <c r="O79" i="2" s="1"/>
  <c r="O13" i="2" s="1"/>
  <c r="P68" i="2"/>
  <c r="P7" i="2" s="1"/>
  <c r="Q66" i="2"/>
  <c r="P72" i="2"/>
  <c r="P9" i="2" s="1"/>
  <c r="P78" i="2" s="1"/>
  <c r="Q70" i="2"/>
  <c r="M15" i="2"/>
  <c r="U69" i="2"/>
  <c r="T8" i="2"/>
  <c r="AF76" i="2" l="1"/>
  <c r="Q68" i="2"/>
  <c r="Q7" i="2" s="1"/>
  <c r="R66" i="2"/>
  <c r="M65" i="7"/>
  <c r="AG76" i="2"/>
  <c r="N106" i="2"/>
  <c r="N108" i="2" s="1"/>
  <c r="N37" i="2"/>
  <c r="N99" i="2" s="1"/>
  <c r="N41" i="2" s="1"/>
  <c r="X18" i="2"/>
  <c r="W22" i="2"/>
  <c r="Q72" i="2"/>
  <c r="Q9" i="2" s="1"/>
  <c r="Q78" i="2" s="1"/>
  <c r="R70" i="2"/>
  <c r="P76" i="2"/>
  <c r="P79" i="2" s="1"/>
  <c r="P13" i="2" s="1"/>
  <c r="P10" i="2"/>
  <c r="P15" i="2" s="1"/>
  <c r="P24" i="2" s="1"/>
  <c r="AG78" i="2"/>
  <c r="M67" i="7"/>
  <c r="O35" i="2"/>
  <c r="O42" i="2"/>
  <c r="O102" i="2"/>
  <c r="X115" i="17"/>
  <c r="Y7" i="17"/>
  <c r="Y4" i="17"/>
  <c r="Y49" i="17"/>
  <c r="Y44" i="17"/>
  <c r="Y32" i="17"/>
  <c r="Y84" i="17"/>
  <c r="Y106" i="17"/>
  <c r="Y75" i="17"/>
  <c r="Y63" i="17"/>
  <c r="Y15" i="17"/>
  <c r="Y76" i="17"/>
  <c r="Y39" i="17"/>
  <c r="Y20" i="17"/>
  <c r="Y16" i="17"/>
  <c r="Y55" i="17"/>
  <c r="Y34" i="17"/>
  <c r="Y13" i="17"/>
  <c r="Y61" i="17"/>
  <c r="Y57" i="17"/>
  <c r="Y103" i="17"/>
  <c r="Y78" i="17"/>
  <c r="Y36" i="17"/>
  <c r="Y30" i="17"/>
  <c r="Y24" i="17"/>
  <c r="Y23" i="17"/>
  <c r="Y71" i="17"/>
  <c r="Y38" i="17"/>
  <c r="Y65" i="17"/>
  <c r="Y73" i="17"/>
  <c r="Y101" i="17"/>
  <c r="Y37" i="17"/>
  <c r="Y91" i="17"/>
  <c r="Y27" i="17"/>
  <c r="Y56" i="17"/>
  <c r="Y105" i="17"/>
  <c r="Y21" i="17"/>
  <c r="Y110" i="17"/>
  <c r="Y83" i="17"/>
  <c r="Y40" i="17"/>
  <c r="Y45" i="17"/>
  <c r="Y31" i="17"/>
  <c r="Y82" i="17"/>
  <c r="Y100" i="17"/>
  <c r="Y109" i="17"/>
  <c r="Y104" i="17"/>
  <c r="Y14" i="17"/>
  <c r="Y102" i="17"/>
  <c r="Y9" i="17"/>
  <c r="Y94" i="17" s="1"/>
  <c r="Y96" i="17" s="1"/>
  <c r="Y117" i="17" s="1"/>
  <c r="Y120" i="17" s="1"/>
  <c r="Y60" i="17"/>
  <c r="Y69" i="17"/>
  <c r="Y92" i="17"/>
  <c r="Y18" i="17"/>
  <c r="Y52" i="17"/>
  <c r="Y58" i="17"/>
  <c r="Y68" i="17"/>
  <c r="Y90" i="17"/>
  <c r="Y87" i="17"/>
  <c r="Y53" i="17"/>
  <c r="Y74" i="17"/>
  <c r="Y25" i="17"/>
  <c r="Y119" i="17"/>
  <c r="Y47" i="17"/>
  <c r="Y10" i="17"/>
  <c r="Y43" i="17"/>
  <c r="Y64" i="17"/>
  <c r="Y29" i="17"/>
  <c r="Y22" i="17"/>
  <c r="Y41" i="17"/>
  <c r="Y19" i="17"/>
  <c r="Y66" i="17"/>
  <c r="Y89" i="17"/>
  <c r="Y113" i="17"/>
  <c r="Y59" i="17"/>
  <c r="Y85" i="17"/>
  <c r="Y11" i="17"/>
  <c r="Y42" i="17"/>
  <c r="Y48" i="17"/>
  <c r="Y50" i="17"/>
  <c r="Y88" i="17"/>
  <c r="Y108" i="17"/>
  <c r="Y111" i="17"/>
  <c r="Y46" i="17"/>
  <c r="Y70" i="17"/>
  <c r="Y107" i="17"/>
  <c r="Y35" i="17"/>
  <c r="Y80" i="17"/>
  <c r="Y77" i="17"/>
  <c r="Y99" i="17"/>
  <c r="Y115" i="17" s="1"/>
  <c r="Y98" i="17"/>
  <c r="Y81" i="17"/>
  <c r="Z3" i="17"/>
  <c r="Y112" i="17"/>
  <c r="Y26" i="17"/>
  <c r="Y67" i="17"/>
  <c r="AB91" i="2"/>
  <c r="AB50" i="2" s="1"/>
  <c r="AC28" i="2"/>
  <c r="W122" i="17"/>
  <c r="S42" i="2"/>
  <c r="S35" i="2"/>
  <c r="T77" i="2"/>
  <c r="T79" i="2" s="1"/>
  <c r="T13" i="2" s="1"/>
  <c r="T10" i="2"/>
  <c r="T15" i="2" s="1"/>
  <c r="T24" i="2" s="1"/>
  <c r="V69" i="2"/>
  <c r="U8" i="2"/>
  <c r="I71" i="7"/>
  <c r="M24" i="2"/>
  <c r="X94" i="17"/>
  <c r="X96" i="17" s="1"/>
  <c r="V74" i="2"/>
  <c r="U14" i="2"/>
  <c r="AD28" i="2" l="1"/>
  <c r="AC91" i="2"/>
  <c r="AC50" i="2" s="1"/>
  <c r="W69" i="2"/>
  <c r="V8" i="2"/>
  <c r="Y121" i="17"/>
  <c r="Y122" i="17"/>
  <c r="O106" i="2"/>
  <c r="O108" i="2" s="1"/>
  <c r="O37" i="2"/>
  <c r="O99" i="2" s="1"/>
  <c r="O41" i="2" s="1"/>
  <c r="U77" i="2"/>
  <c r="U79" i="2" s="1"/>
  <c r="U13" i="2" s="1"/>
  <c r="U10" i="2"/>
  <c r="U15" i="2" s="1"/>
  <c r="U24" i="2" s="1"/>
  <c r="V14" i="2"/>
  <c r="W74" i="2"/>
  <c r="S106" i="2"/>
  <c r="S108" i="2" s="1"/>
  <c r="S37" i="2"/>
  <c r="S99" i="2" s="1"/>
  <c r="S41" i="2" s="1"/>
  <c r="S66" i="2"/>
  <c r="T66" i="2" s="1"/>
  <c r="U66" i="2" s="1"/>
  <c r="V66" i="2" s="1"/>
  <c r="W66" i="2" s="1"/>
  <c r="X66" i="2" s="1"/>
  <c r="Y66" i="2" s="1"/>
  <c r="Z66" i="2" s="1"/>
  <c r="AA66" i="2" s="1"/>
  <c r="AB66" i="2" s="1"/>
  <c r="AC66" i="2" s="1"/>
  <c r="AD66" i="2" s="1"/>
  <c r="AE66" i="2" s="1"/>
  <c r="AF66" i="2" s="1"/>
  <c r="AG66" i="2" s="1"/>
  <c r="R68" i="2"/>
  <c r="R7" i="2" s="1"/>
  <c r="T42" i="2"/>
  <c r="T35" i="2"/>
  <c r="X117" i="17"/>
  <c r="X120" i="17" s="1"/>
  <c r="Z61" i="17"/>
  <c r="Z76" i="17"/>
  <c r="Z67" i="17"/>
  <c r="Z49" i="17"/>
  <c r="Z32" i="17"/>
  <c r="Z45" i="17"/>
  <c r="Z75" i="17"/>
  <c r="Z89" i="17"/>
  <c r="Z68" i="17"/>
  <c r="Z80" i="17"/>
  <c r="Z10" i="17"/>
  <c r="Z88" i="17"/>
  <c r="AA3" i="17"/>
  <c r="Z7" i="17"/>
  <c r="Z23" i="17"/>
  <c r="Z43" i="17"/>
  <c r="Z84" i="17"/>
  <c r="Z110" i="17"/>
  <c r="Z90" i="17"/>
  <c r="Z64" i="17"/>
  <c r="Z71" i="17"/>
  <c r="Z15" i="17"/>
  <c r="Z22" i="17"/>
  <c r="Z4" i="17"/>
  <c r="Z102" i="17"/>
  <c r="Z104" i="17"/>
  <c r="Z83" i="17"/>
  <c r="Z63" i="17"/>
  <c r="Z48" i="17"/>
  <c r="Z39" i="17"/>
  <c r="Z111" i="17"/>
  <c r="Z99" i="17"/>
  <c r="Z20" i="17"/>
  <c r="Z41" i="17"/>
  <c r="Z65" i="17"/>
  <c r="Z25" i="17"/>
  <c r="Z119" i="17"/>
  <c r="Z55" i="17"/>
  <c r="Z29" i="17"/>
  <c r="Z74" i="17"/>
  <c r="Z78" i="17"/>
  <c r="Z58" i="17"/>
  <c r="Z24" i="17"/>
  <c r="Z106" i="17"/>
  <c r="Z35" i="17"/>
  <c r="Z47" i="17"/>
  <c r="Z66" i="17"/>
  <c r="Z21" i="17"/>
  <c r="Z103" i="17"/>
  <c r="Z40" i="17"/>
  <c r="Z16" i="17"/>
  <c r="Z57" i="17"/>
  <c r="Z77" i="17"/>
  <c r="Z9" i="17"/>
  <c r="Z101" i="17"/>
  <c r="Z91" i="17"/>
  <c r="Z59" i="17"/>
  <c r="Z108" i="17"/>
  <c r="Z50" i="17"/>
  <c r="Z34" i="17"/>
  <c r="Z52" i="17"/>
  <c r="Z13" i="17"/>
  <c r="Z69" i="17"/>
  <c r="Z87" i="17"/>
  <c r="Z14" i="17"/>
  <c r="Z56" i="17"/>
  <c r="Z37" i="17"/>
  <c r="Z44" i="17"/>
  <c r="Z18" i="17"/>
  <c r="Z107" i="17"/>
  <c r="Z113" i="17"/>
  <c r="Z30" i="17"/>
  <c r="Z31" i="17"/>
  <c r="Z42" i="17"/>
  <c r="Z98" i="17"/>
  <c r="Z26" i="17"/>
  <c r="Z36" i="17"/>
  <c r="Z27" i="17"/>
  <c r="Z85" i="17"/>
  <c r="Z11" i="17"/>
  <c r="Z82" i="17"/>
  <c r="Z112" i="17"/>
  <c r="Z70" i="17"/>
  <c r="Z81" i="17"/>
  <c r="Z60" i="17"/>
  <c r="Z92" i="17"/>
  <c r="Z73" i="17"/>
  <c r="Z46" i="17"/>
  <c r="Z100" i="17"/>
  <c r="Z19" i="17"/>
  <c r="Z38" i="17"/>
  <c r="Z109" i="17"/>
  <c r="Z53" i="17"/>
  <c r="Z105" i="17"/>
  <c r="Q76" i="2"/>
  <c r="Q79" i="2" s="1"/>
  <c r="Q13" i="2" s="1"/>
  <c r="Q10" i="2"/>
  <c r="Q15" i="2" s="1"/>
  <c r="Q24" i="2" s="1"/>
  <c r="R72" i="2"/>
  <c r="R9" i="2" s="1"/>
  <c r="S70" i="2"/>
  <c r="T70" i="2" s="1"/>
  <c r="U70" i="2" s="1"/>
  <c r="V70" i="2" s="1"/>
  <c r="W70" i="2" s="1"/>
  <c r="X70" i="2" s="1"/>
  <c r="Y70" i="2" s="1"/>
  <c r="Z70" i="2" s="1"/>
  <c r="AA70" i="2" s="1"/>
  <c r="AB70" i="2" s="1"/>
  <c r="AC70" i="2" s="1"/>
  <c r="AD70" i="2" s="1"/>
  <c r="AE70" i="2" s="1"/>
  <c r="AF70" i="2" s="1"/>
  <c r="AG70" i="2" s="1"/>
  <c r="P35" i="2"/>
  <c r="P42" i="2"/>
  <c r="P102" i="2"/>
  <c r="Y18" i="2"/>
  <c r="X22" i="2"/>
  <c r="M42" i="2"/>
  <c r="M35" i="2"/>
  <c r="I73" i="7"/>
  <c r="M102" i="2"/>
  <c r="D37" i="14" s="1"/>
  <c r="R76" i="2" l="1"/>
  <c r="R10" i="2"/>
  <c r="L65" i="7"/>
  <c r="P106" i="2"/>
  <c r="P108" i="2" s="1"/>
  <c r="P37" i="2"/>
  <c r="P99" i="2" s="1"/>
  <c r="P41" i="2" s="1"/>
  <c r="I75" i="7"/>
  <c r="M106" i="2"/>
  <c r="M37" i="2"/>
  <c r="M99" i="2" s="1"/>
  <c r="R78" i="2"/>
  <c r="L67" i="7"/>
  <c r="X74" i="2"/>
  <c r="W14" i="2"/>
  <c r="V77" i="2"/>
  <c r="V79" i="2" s="1"/>
  <c r="V13" i="2" s="1"/>
  <c r="V10" i="2"/>
  <c r="V15" i="2" s="1"/>
  <c r="V24" i="2" s="1"/>
  <c r="Z121" i="17"/>
  <c r="Z122" i="17"/>
  <c r="AA10" i="17"/>
  <c r="AA81" i="17"/>
  <c r="AA45" i="17"/>
  <c r="AA69" i="17"/>
  <c r="AA90" i="17"/>
  <c r="AA71" i="17"/>
  <c r="AA78" i="17"/>
  <c r="AA36" i="17"/>
  <c r="AA85" i="17"/>
  <c r="AA25" i="17"/>
  <c r="AA43" i="17"/>
  <c r="AA84" i="17"/>
  <c r="AA91" i="17"/>
  <c r="AA92" i="17"/>
  <c r="AA110" i="17"/>
  <c r="AA32" i="17"/>
  <c r="AA56" i="17"/>
  <c r="AA22" i="17"/>
  <c r="AA38" i="17"/>
  <c r="AA66" i="17"/>
  <c r="AA21" i="17"/>
  <c r="AA31" i="17"/>
  <c r="AA67" i="17"/>
  <c r="AA7" i="17"/>
  <c r="AA119" i="17"/>
  <c r="AA100" i="17"/>
  <c r="AA40" i="17"/>
  <c r="AA20" i="17"/>
  <c r="AA109" i="17"/>
  <c r="AA15" i="17"/>
  <c r="AA24" i="17"/>
  <c r="AA99" i="17"/>
  <c r="AA115" i="17" s="1"/>
  <c r="AA74" i="17"/>
  <c r="AA19" i="17"/>
  <c r="AA47" i="17"/>
  <c r="AA104" i="17"/>
  <c r="AA98" i="17"/>
  <c r="AA29" i="17"/>
  <c r="AA49" i="17"/>
  <c r="AA46" i="17"/>
  <c r="AA30" i="17"/>
  <c r="AA102" i="17"/>
  <c r="AA106" i="17"/>
  <c r="AA42" i="17"/>
  <c r="AA112" i="17"/>
  <c r="AA80" i="17"/>
  <c r="AA26" i="17"/>
  <c r="AA4" i="17"/>
  <c r="AA57" i="17"/>
  <c r="AA87" i="17"/>
  <c r="AA44" i="17"/>
  <c r="AA11" i="17"/>
  <c r="AA82" i="17"/>
  <c r="AA73" i="17"/>
  <c r="AA76" i="17"/>
  <c r="AA61" i="17"/>
  <c r="AA9" i="17"/>
  <c r="AA59" i="17"/>
  <c r="AA35" i="17"/>
  <c r="AA50" i="17"/>
  <c r="AA107" i="17"/>
  <c r="AA48" i="17"/>
  <c r="AA55" i="17"/>
  <c r="AA23" i="17"/>
  <c r="AA16" i="17"/>
  <c r="AA105" i="17"/>
  <c r="AA27" i="17"/>
  <c r="AA70" i="17"/>
  <c r="AA52" i="17"/>
  <c r="AA108" i="17"/>
  <c r="AA37" i="17"/>
  <c r="AA68" i="17"/>
  <c r="AA77" i="17"/>
  <c r="AA60" i="17"/>
  <c r="AB3" i="17"/>
  <c r="AA34" i="17"/>
  <c r="AA53" i="17"/>
  <c r="AA63" i="17"/>
  <c r="AA18" i="17"/>
  <c r="AA58" i="17"/>
  <c r="AA41" i="17"/>
  <c r="AA111" i="17"/>
  <c r="AA39" i="17"/>
  <c r="AA101" i="17"/>
  <c r="AA113" i="17"/>
  <c r="AA103" i="17"/>
  <c r="AA65" i="17"/>
  <c r="AA88" i="17"/>
  <c r="AA14" i="17"/>
  <c r="AA13" i="17"/>
  <c r="AA83" i="17"/>
  <c r="AA64" i="17"/>
  <c r="AA89" i="17"/>
  <c r="AA75" i="17"/>
  <c r="Q42" i="2"/>
  <c r="Q35" i="2"/>
  <c r="Q102" i="2"/>
  <c r="Z115" i="17"/>
  <c r="X121" i="17"/>
  <c r="X122" i="17" s="1"/>
  <c r="W8" i="2"/>
  <c r="X69" i="2"/>
  <c r="T37" i="2"/>
  <c r="T99" i="2" s="1"/>
  <c r="T41" i="2" s="1"/>
  <c r="T106" i="2"/>
  <c r="T108" i="2" s="1"/>
  <c r="U42" i="2"/>
  <c r="U35" i="2"/>
  <c r="Y22" i="2"/>
  <c r="Z18" i="2"/>
  <c r="Z94" i="17"/>
  <c r="Z96" i="17" s="1"/>
  <c r="Z117" i="17" s="1"/>
  <c r="Z120" i="17" s="1"/>
  <c r="AE28" i="2"/>
  <c r="AD91" i="2"/>
  <c r="AD50" i="2" s="1"/>
  <c r="AF28" i="2" l="1"/>
  <c r="AF91" i="2" s="1"/>
  <c r="AF50" i="2" s="1"/>
  <c r="AG28" i="2" s="1"/>
  <c r="AE91" i="2"/>
  <c r="AE50" i="2" s="1"/>
  <c r="V35" i="2"/>
  <c r="V42" i="2"/>
  <c r="W77" i="2"/>
  <c r="W79" i="2" s="1"/>
  <c r="W13" i="2" s="1"/>
  <c r="W10" i="2"/>
  <c r="W15" i="2" s="1"/>
  <c r="W24" i="2" s="1"/>
  <c r="M41" i="2"/>
  <c r="I81" i="7" s="1"/>
  <c r="M108" i="2"/>
  <c r="N107" i="2"/>
  <c r="Q107" i="2"/>
  <c r="O107" i="2"/>
  <c r="P107" i="2"/>
  <c r="AA18" i="2"/>
  <c r="Z22" i="2"/>
  <c r="Y69" i="2"/>
  <c r="X8" i="2"/>
  <c r="AB60" i="17"/>
  <c r="AB73" i="17"/>
  <c r="AB98" i="17"/>
  <c r="AB7" i="17"/>
  <c r="AB103" i="17"/>
  <c r="AB81" i="17"/>
  <c r="AB38" i="17"/>
  <c r="AB104" i="17"/>
  <c r="AB109" i="17"/>
  <c r="AB56" i="17"/>
  <c r="AB50" i="17"/>
  <c r="AB55" i="17"/>
  <c r="AB47" i="17"/>
  <c r="AC3" i="17"/>
  <c r="AB65" i="17"/>
  <c r="AB61" i="17"/>
  <c r="AB80" i="17"/>
  <c r="AB66" i="17"/>
  <c r="AB76" i="17"/>
  <c r="AB20" i="17"/>
  <c r="AB46" i="17"/>
  <c r="AB32" i="17"/>
  <c r="AB24" i="17"/>
  <c r="AB107" i="17"/>
  <c r="AB13" i="17"/>
  <c r="AB92" i="17"/>
  <c r="AB74" i="17"/>
  <c r="AB39" i="17"/>
  <c r="AB113" i="17"/>
  <c r="AB84" i="17"/>
  <c r="AB43" i="17"/>
  <c r="AB26" i="17"/>
  <c r="AB49" i="17"/>
  <c r="AB83" i="17"/>
  <c r="AB37" i="17"/>
  <c r="AB41" i="17"/>
  <c r="AB53" i="17"/>
  <c r="AB106" i="17"/>
  <c r="AB34" i="17"/>
  <c r="AB100" i="17"/>
  <c r="AB58" i="17"/>
  <c r="AB29" i="17"/>
  <c r="AB16" i="17"/>
  <c r="AB102" i="17"/>
  <c r="AB27" i="17"/>
  <c r="AB77" i="17"/>
  <c r="AB68" i="17"/>
  <c r="AB112" i="17"/>
  <c r="AB44" i="17"/>
  <c r="AB14" i="17"/>
  <c r="AB69" i="17"/>
  <c r="AB71" i="17"/>
  <c r="AB105" i="17"/>
  <c r="AB30" i="17"/>
  <c r="AB67" i="17"/>
  <c r="AB70" i="17"/>
  <c r="AB75" i="17"/>
  <c r="AB64" i="17"/>
  <c r="AB23" i="17"/>
  <c r="AB4" i="17"/>
  <c r="AB11" i="17"/>
  <c r="AB89" i="17"/>
  <c r="AB22" i="17"/>
  <c r="AB57" i="17"/>
  <c r="AB15" i="17"/>
  <c r="AB25" i="17"/>
  <c r="AB78" i="17"/>
  <c r="AB119" i="17"/>
  <c r="AB59" i="17"/>
  <c r="AB48" i="17"/>
  <c r="AB35" i="17"/>
  <c r="AB90" i="17"/>
  <c r="AB87" i="17"/>
  <c r="AB36" i="17"/>
  <c r="AB21" i="17"/>
  <c r="AB45" i="17"/>
  <c r="AB52" i="17"/>
  <c r="AB31" i="17"/>
  <c r="AB10" i="17"/>
  <c r="AB108" i="17"/>
  <c r="AB91" i="17"/>
  <c r="AB82" i="17"/>
  <c r="AB101" i="17"/>
  <c r="AB110" i="17"/>
  <c r="AB88" i="17"/>
  <c r="AB42" i="17"/>
  <c r="AB63" i="17"/>
  <c r="AB9" i="17"/>
  <c r="AB40" i="17"/>
  <c r="AB19" i="17"/>
  <c r="AB18" i="17"/>
  <c r="AB99" i="17"/>
  <c r="AB111" i="17"/>
  <c r="AB85" i="17"/>
  <c r="X14" i="2"/>
  <c r="Y74" i="2"/>
  <c r="Q37" i="2"/>
  <c r="Q99" i="2" s="1"/>
  <c r="Q41" i="2" s="1"/>
  <c r="Q106" i="2"/>
  <c r="Q108" i="2" s="1"/>
  <c r="U106" i="2"/>
  <c r="U108" i="2" s="1"/>
  <c r="U37" i="2"/>
  <c r="U99" i="2" s="1"/>
  <c r="U41" i="2" s="1"/>
  <c r="L68" i="7"/>
  <c r="AA94" i="17"/>
  <c r="AA96" i="17" s="1"/>
  <c r="AA117" i="17" s="1"/>
  <c r="AA120" i="17" s="1"/>
  <c r="AA121" i="17" s="1"/>
  <c r="R79" i="2"/>
  <c r="R13" i="2" s="1"/>
  <c r="L69" i="7" s="1"/>
  <c r="R15" i="2" l="1"/>
  <c r="AB18" i="2"/>
  <c r="AA22" i="2"/>
  <c r="W42" i="2"/>
  <c r="W35" i="2"/>
  <c r="AB115" i="17"/>
  <c r="Z69" i="2"/>
  <c r="Y8" i="2"/>
  <c r="V37" i="2"/>
  <c r="V99" i="2" s="1"/>
  <c r="V41" i="2" s="1"/>
  <c r="V106" i="2"/>
  <c r="V108" i="2" s="1"/>
  <c r="AC34" i="17"/>
  <c r="AE34" i="17" s="1"/>
  <c r="AF34" i="17" s="1"/>
  <c r="AC119" i="17"/>
  <c r="AC78" i="17"/>
  <c r="AE78" i="17" s="1"/>
  <c r="AF78" i="17" s="1"/>
  <c r="AC64" i="17"/>
  <c r="AE64" i="17" s="1"/>
  <c r="AF64" i="17" s="1"/>
  <c r="AC106" i="17"/>
  <c r="AE106" i="17" s="1"/>
  <c r="AF106" i="17" s="1"/>
  <c r="AC84" i="17"/>
  <c r="AE84" i="17" s="1"/>
  <c r="AF84" i="17" s="1"/>
  <c r="AC35" i="17"/>
  <c r="AE35" i="17" s="1"/>
  <c r="AF35" i="17" s="1"/>
  <c r="AC30" i="17"/>
  <c r="AE30" i="17" s="1"/>
  <c r="AF30" i="17" s="1"/>
  <c r="AC52" i="17"/>
  <c r="AE52" i="17" s="1"/>
  <c r="AF52" i="17" s="1"/>
  <c r="AC68" i="17"/>
  <c r="AE68" i="17" s="1"/>
  <c r="AF68" i="17" s="1"/>
  <c r="AC55" i="17"/>
  <c r="AE55" i="17" s="1"/>
  <c r="AF55" i="17" s="1"/>
  <c r="AC42" i="17"/>
  <c r="AE42" i="17" s="1"/>
  <c r="AF42" i="17" s="1"/>
  <c r="AC77" i="17"/>
  <c r="AE77" i="17" s="1"/>
  <c r="AF77" i="17" s="1"/>
  <c r="AC83" i="17"/>
  <c r="AE83" i="17" s="1"/>
  <c r="AF83" i="17" s="1"/>
  <c r="AC7" i="17"/>
  <c r="AC16" i="17"/>
  <c r="AE16" i="17" s="1"/>
  <c r="AF16" i="17" s="1"/>
  <c r="AC56" i="17"/>
  <c r="AE56" i="17" s="1"/>
  <c r="AF56" i="17" s="1"/>
  <c r="AC57" i="17"/>
  <c r="AE57" i="17" s="1"/>
  <c r="AF57" i="17" s="1"/>
  <c r="AC69" i="17"/>
  <c r="AE69" i="17" s="1"/>
  <c r="AF69" i="17" s="1"/>
  <c r="AC88" i="17"/>
  <c r="AE88" i="17" s="1"/>
  <c r="AF88" i="17" s="1"/>
  <c r="AC27" i="17"/>
  <c r="AE27" i="17" s="1"/>
  <c r="AF27" i="17" s="1"/>
  <c r="AC14" i="17"/>
  <c r="AE14" i="17" s="1"/>
  <c r="AF14" i="17" s="1"/>
  <c r="AC75" i="17"/>
  <c r="AE75" i="17" s="1"/>
  <c r="AF75" i="17" s="1"/>
  <c r="AC90" i="17"/>
  <c r="AE90" i="17" s="1"/>
  <c r="AF90" i="17" s="1"/>
  <c r="AC53" i="17"/>
  <c r="AE53" i="17" s="1"/>
  <c r="AF53" i="17" s="1"/>
  <c r="AC66" i="17"/>
  <c r="AE66" i="17" s="1"/>
  <c r="AF66" i="17" s="1"/>
  <c r="AC60" i="17"/>
  <c r="AE60" i="17" s="1"/>
  <c r="AF60" i="17" s="1"/>
  <c r="AC70" i="17"/>
  <c r="AE70" i="17" s="1"/>
  <c r="AF70" i="17" s="1"/>
  <c r="AC107" i="17"/>
  <c r="AE107" i="17" s="1"/>
  <c r="AF107" i="17" s="1"/>
  <c r="AC80" i="17"/>
  <c r="AE80" i="17" s="1"/>
  <c r="AF80" i="17" s="1"/>
  <c r="AC112" i="17"/>
  <c r="AE112" i="17" s="1"/>
  <c r="AF112" i="17" s="1"/>
  <c r="AC98" i="17"/>
  <c r="AC25" i="17"/>
  <c r="AE25" i="17" s="1"/>
  <c r="AF25" i="17" s="1"/>
  <c r="AC111" i="17"/>
  <c r="AE111" i="17" s="1"/>
  <c r="AF111" i="17" s="1"/>
  <c r="AC4" i="17"/>
  <c r="AC58" i="17"/>
  <c r="AE58" i="17" s="1"/>
  <c r="AF58" i="17" s="1"/>
  <c r="AC100" i="17"/>
  <c r="AE100" i="17" s="1"/>
  <c r="AF100" i="17" s="1"/>
  <c r="AC59" i="17"/>
  <c r="AE59" i="17" s="1"/>
  <c r="AF59" i="17" s="1"/>
  <c r="AC89" i="17"/>
  <c r="AE89" i="17" s="1"/>
  <c r="AF89" i="17" s="1"/>
  <c r="AC40" i="17"/>
  <c r="AE40" i="17" s="1"/>
  <c r="AF40" i="17" s="1"/>
  <c r="AC20" i="17"/>
  <c r="AE20" i="17" s="1"/>
  <c r="AF20" i="17" s="1"/>
  <c r="AC13" i="17"/>
  <c r="AE13" i="17" s="1"/>
  <c r="AF13" i="17" s="1"/>
  <c r="AC101" i="17"/>
  <c r="AE101" i="17" s="1"/>
  <c r="AF101" i="17" s="1"/>
  <c r="AC29" i="17"/>
  <c r="AE29" i="17" s="1"/>
  <c r="AF29" i="17" s="1"/>
  <c r="AC26" i="17"/>
  <c r="AE26" i="17" s="1"/>
  <c r="AF26" i="17" s="1"/>
  <c r="AC36" i="17"/>
  <c r="AE36" i="17" s="1"/>
  <c r="AF36" i="17" s="1"/>
  <c r="AC41" i="17"/>
  <c r="AE41" i="17" s="1"/>
  <c r="AF41" i="17" s="1"/>
  <c r="AC74" i="17"/>
  <c r="AE74" i="17" s="1"/>
  <c r="AF74" i="17" s="1"/>
  <c r="AC44" i="17"/>
  <c r="AE44" i="17" s="1"/>
  <c r="AF44" i="17" s="1"/>
  <c r="AC82" i="17"/>
  <c r="AE82" i="17" s="1"/>
  <c r="AF82" i="17" s="1"/>
  <c r="AC73" i="17"/>
  <c r="AE73" i="17" s="1"/>
  <c r="AF73" i="17" s="1"/>
  <c r="AC92" i="17"/>
  <c r="AE92" i="17" s="1"/>
  <c r="AF92" i="17" s="1"/>
  <c r="AC87" i="17"/>
  <c r="AE87" i="17" s="1"/>
  <c r="AF87" i="17" s="1"/>
  <c r="AC49" i="17"/>
  <c r="AE49" i="17" s="1"/>
  <c r="AF49" i="17" s="1"/>
  <c r="AC46" i="17"/>
  <c r="AE46" i="17" s="1"/>
  <c r="AF46" i="17" s="1"/>
  <c r="AC63" i="17"/>
  <c r="AE63" i="17" s="1"/>
  <c r="AF63" i="17" s="1"/>
  <c r="AC38" i="17"/>
  <c r="AE38" i="17" s="1"/>
  <c r="AF38" i="17" s="1"/>
  <c r="AC50" i="17"/>
  <c r="AE50" i="17" s="1"/>
  <c r="AF50" i="17" s="1"/>
  <c r="AC67" i="17"/>
  <c r="AE67" i="17" s="1"/>
  <c r="AF67" i="17" s="1"/>
  <c r="AC43" i="17"/>
  <c r="AE43" i="17" s="1"/>
  <c r="AF43" i="17" s="1"/>
  <c r="AC105" i="17"/>
  <c r="AE105" i="17" s="1"/>
  <c r="AF105" i="17" s="1"/>
  <c r="AC22" i="17"/>
  <c r="AE22" i="17" s="1"/>
  <c r="AF22" i="17" s="1"/>
  <c r="AC103" i="17"/>
  <c r="AE103" i="17" s="1"/>
  <c r="AF103" i="17" s="1"/>
  <c r="AC24" i="17"/>
  <c r="AE24" i="17" s="1"/>
  <c r="AF24" i="17" s="1"/>
  <c r="AC10" i="17"/>
  <c r="AE10" i="17" s="1"/>
  <c r="AF10" i="17" s="1"/>
  <c r="AC48" i="17"/>
  <c r="AE48" i="17" s="1"/>
  <c r="AF48" i="17" s="1"/>
  <c r="AC91" i="17"/>
  <c r="AE91" i="17" s="1"/>
  <c r="AF91" i="17" s="1"/>
  <c r="AC102" i="17"/>
  <c r="AE102" i="17" s="1"/>
  <c r="AF102" i="17" s="1"/>
  <c r="AC9" i="17"/>
  <c r="AC32" i="17"/>
  <c r="AE32" i="17" s="1"/>
  <c r="AF32" i="17" s="1"/>
  <c r="AC113" i="17"/>
  <c r="AE113" i="17" s="1"/>
  <c r="AF113" i="17" s="1"/>
  <c r="AC61" i="17"/>
  <c r="AE61" i="17" s="1"/>
  <c r="AF61" i="17" s="1"/>
  <c r="AC85" i="17"/>
  <c r="AE85" i="17" s="1"/>
  <c r="AF85" i="17" s="1"/>
  <c r="AC109" i="17"/>
  <c r="AE109" i="17" s="1"/>
  <c r="AF109" i="17" s="1"/>
  <c r="AC108" i="17"/>
  <c r="AE108" i="17" s="1"/>
  <c r="AF108" i="17" s="1"/>
  <c r="AC39" i="17"/>
  <c r="AE39" i="17" s="1"/>
  <c r="AF39" i="17" s="1"/>
  <c r="AC110" i="17"/>
  <c r="AE110" i="17" s="1"/>
  <c r="AF110" i="17" s="1"/>
  <c r="AC19" i="17"/>
  <c r="AE19" i="17" s="1"/>
  <c r="AF19" i="17" s="1"/>
  <c r="AC11" i="17"/>
  <c r="AE11" i="17" s="1"/>
  <c r="AF11" i="17" s="1"/>
  <c r="AC18" i="17"/>
  <c r="AE18" i="17" s="1"/>
  <c r="AF18" i="17" s="1"/>
  <c r="AC76" i="17"/>
  <c r="AE76" i="17" s="1"/>
  <c r="AF76" i="17" s="1"/>
  <c r="AC23" i="17"/>
  <c r="AE23" i="17" s="1"/>
  <c r="AF23" i="17" s="1"/>
  <c r="AC47" i="17"/>
  <c r="AE47" i="17" s="1"/>
  <c r="AF47" i="17" s="1"/>
  <c r="AC71" i="17"/>
  <c r="AE71" i="17" s="1"/>
  <c r="AF71" i="17" s="1"/>
  <c r="AC81" i="17"/>
  <c r="AE81" i="17" s="1"/>
  <c r="AF81" i="17" s="1"/>
  <c r="AC104" i="17"/>
  <c r="AE104" i="17" s="1"/>
  <c r="AF104" i="17" s="1"/>
  <c r="AC99" i="17"/>
  <c r="AC37" i="17"/>
  <c r="AE37" i="17" s="1"/>
  <c r="AF37" i="17" s="1"/>
  <c r="AC45" i="17"/>
  <c r="AE45" i="17" s="1"/>
  <c r="AF45" i="17" s="1"/>
  <c r="AC31" i="17"/>
  <c r="AE31" i="17" s="1"/>
  <c r="AF31" i="17" s="1"/>
  <c r="AC15" i="17"/>
  <c r="AE15" i="17" s="1"/>
  <c r="AF15" i="17" s="1"/>
  <c r="AC21" i="17"/>
  <c r="AE21" i="17" s="1"/>
  <c r="AF21" i="17" s="1"/>
  <c r="AC65" i="17"/>
  <c r="AE65" i="17" s="1"/>
  <c r="AF65" i="17" s="1"/>
  <c r="AA122" i="17"/>
  <c r="Z74" i="2"/>
  <c r="Y14" i="2"/>
  <c r="AB94" i="17"/>
  <c r="AB96" i="17" s="1"/>
  <c r="AB117" i="17" s="1"/>
  <c r="AB120" i="17" s="1"/>
  <c r="AB121" i="17" s="1"/>
  <c r="X77" i="2"/>
  <c r="X79" i="2" s="1"/>
  <c r="X13" i="2" s="1"/>
  <c r="X10" i="2"/>
  <c r="X15" i="2" s="1"/>
  <c r="X24" i="2" s="1"/>
  <c r="R107" i="2"/>
  <c r="AG91" i="2"/>
  <c r="AG50" i="2" s="1"/>
  <c r="M74" i="7"/>
  <c r="Y77" i="2" l="1"/>
  <c r="Y79" i="2" s="1"/>
  <c r="Y13" i="2" s="1"/>
  <c r="Y10" i="2"/>
  <c r="Y15" i="2" s="1"/>
  <c r="Y24" i="2" s="1"/>
  <c r="AC94" i="17"/>
  <c r="AE9" i="17"/>
  <c r="AF9" i="17" s="1"/>
  <c r="Z8" i="2"/>
  <c r="AA69" i="2"/>
  <c r="Z14" i="2"/>
  <c r="AA74" i="2"/>
  <c r="W37" i="2"/>
  <c r="W99" i="2" s="1"/>
  <c r="W41" i="2" s="1"/>
  <c r="W106" i="2"/>
  <c r="AC115" i="17"/>
  <c r="AE115" i="17" s="1"/>
  <c r="AF115" i="17" s="1"/>
  <c r="AE99" i="17"/>
  <c r="AF99" i="17" s="1"/>
  <c r="AB122" i="17"/>
  <c r="AC18" i="2"/>
  <c r="AB22" i="2"/>
  <c r="X42" i="2"/>
  <c r="X35" i="2"/>
  <c r="L71" i="7"/>
  <c r="R24" i="2"/>
  <c r="Z77" i="2" l="1"/>
  <c r="Z79" i="2" s="1"/>
  <c r="Z13" i="2" s="1"/>
  <c r="Z10" i="2"/>
  <c r="AD18" i="2"/>
  <c r="AC22" i="2"/>
  <c r="L73" i="7"/>
  <c r="R42" i="2"/>
  <c r="R35" i="2"/>
  <c r="R102" i="2"/>
  <c r="D38" i="14" s="1"/>
  <c r="AC96" i="17"/>
  <c r="AE94" i="17"/>
  <c r="AF94" i="17" s="1"/>
  <c r="W108" i="2"/>
  <c r="X106" i="2"/>
  <c r="X108" i="2" s="1"/>
  <c r="X37" i="2"/>
  <c r="X99" i="2" s="1"/>
  <c r="X41" i="2" s="1"/>
  <c r="Y35" i="2"/>
  <c r="Y42" i="2"/>
  <c r="AB69" i="2"/>
  <c r="AA8" i="2"/>
  <c r="AA14" i="2"/>
  <c r="AB74" i="2"/>
  <c r="Y106" i="2" l="1"/>
  <c r="Y37" i="2"/>
  <c r="Y99" i="2" s="1"/>
  <c r="Y41" i="2" s="1"/>
  <c r="AC74" i="2"/>
  <c r="AB14" i="2"/>
  <c r="AE18" i="2"/>
  <c r="AD22" i="2"/>
  <c r="Z15" i="2"/>
  <c r="Z24" i="2" s="1"/>
  <c r="L75" i="7"/>
  <c r="R37" i="2"/>
  <c r="R99" i="2" s="1"/>
  <c r="R41" i="2" s="1"/>
  <c r="L81" i="7" s="1"/>
  <c r="R106" i="2"/>
  <c r="AA77" i="2"/>
  <c r="AA79" i="2" s="1"/>
  <c r="AA13" i="2" s="1"/>
  <c r="AA10" i="2"/>
  <c r="AC69" i="2"/>
  <c r="AB8" i="2"/>
  <c r="AC117" i="17"/>
  <c r="AC120" i="17" s="1"/>
  <c r="AE96" i="17"/>
  <c r="AF96" i="17" s="1"/>
  <c r="Z42" i="2" l="1"/>
  <c r="Z35" i="2"/>
  <c r="AD69" i="2"/>
  <c r="AC8" i="2"/>
  <c r="AE22" i="2"/>
  <c r="AF18" i="2"/>
  <c r="AC121" i="17"/>
  <c r="D121" i="17" s="1"/>
  <c r="J124" i="17" s="1"/>
  <c r="AB77" i="2"/>
  <c r="AB79" i="2" s="1"/>
  <c r="AB13" i="2" s="1"/>
  <c r="AB10" i="2"/>
  <c r="AA15" i="2"/>
  <c r="AA24" i="2" s="1"/>
  <c r="AD74" i="2"/>
  <c r="AC14" i="2"/>
  <c r="R108" i="2"/>
  <c r="T107" i="2"/>
  <c r="U107" i="2"/>
  <c r="S107" i="2"/>
  <c r="Y107" i="2"/>
  <c r="V107" i="2"/>
  <c r="W107" i="2"/>
  <c r="X107" i="2"/>
  <c r="Y108" i="2"/>
  <c r="Z107" i="2"/>
  <c r="AG18" i="2" l="1"/>
  <c r="AG22" i="2" s="1"/>
  <c r="M72" i="7" s="1"/>
  <c r="AF22" i="2"/>
  <c r="AD14" i="2"/>
  <c r="AE74" i="2"/>
  <c r="AC77" i="2"/>
  <c r="AC79" i="2" s="1"/>
  <c r="AC13" i="2" s="1"/>
  <c r="AC10" i="2"/>
  <c r="AA42" i="2"/>
  <c r="AA35" i="2"/>
  <c r="AE69" i="2"/>
  <c r="AD8" i="2"/>
  <c r="AB15" i="2"/>
  <c r="AB24" i="2" s="1"/>
  <c r="Z37" i="2"/>
  <c r="Z99" i="2" s="1"/>
  <c r="Z41" i="2" s="1"/>
  <c r="Z106" i="2"/>
  <c r="AC122" i="17"/>
  <c r="Z108" i="2" l="1"/>
  <c r="AA107" i="2"/>
  <c r="AF74" i="2"/>
  <c r="AE14" i="2"/>
  <c r="AC15" i="2"/>
  <c r="AC24" i="2" s="1"/>
  <c r="AD77" i="2"/>
  <c r="AD79" i="2" s="1"/>
  <c r="AD13" i="2" s="1"/>
  <c r="AD10" i="2"/>
  <c r="AB42" i="2"/>
  <c r="AB35" i="2"/>
  <c r="AF69" i="2"/>
  <c r="AE8" i="2"/>
  <c r="AA37" i="2"/>
  <c r="AA99" i="2" s="1"/>
  <c r="AA41" i="2" s="1"/>
  <c r="AA106" i="2"/>
  <c r="AA108" i="2" l="1"/>
  <c r="AB107" i="2"/>
  <c r="AC42" i="2"/>
  <c r="AC35" i="2"/>
  <c r="AD15" i="2"/>
  <c r="AD24" i="2" s="1"/>
  <c r="AE77" i="2"/>
  <c r="AE79" i="2" s="1"/>
  <c r="AE13" i="2" s="1"/>
  <c r="AE10" i="2"/>
  <c r="AG74" i="2"/>
  <c r="AG14" i="2" s="1"/>
  <c r="M70" i="7" s="1"/>
  <c r="AF14" i="2"/>
  <c r="AG69" i="2"/>
  <c r="AG8" i="2" s="1"/>
  <c r="AF8" i="2"/>
  <c r="AB37" i="2"/>
  <c r="AB99" i="2" s="1"/>
  <c r="AB41" i="2" s="1"/>
  <c r="AB106" i="2"/>
  <c r="AE15" i="2" l="1"/>
  <c r="AE24" i="2" s="1"/>
  <c r="AB108" i="2"/>
  <c r="AC107" i="2"/>
  <c r="AD35" i="2"/>
  <c r="AD42" i="2"/>
  <c r="AC37" i="2"/>
  <c r="AC99" i="2" s="1"/>
  <c r="AC41" i="2" s="1"/>
  <c r="AC106" i="2"/>
  <c r="AF77" i="2"/>
  <c r="AF79" i="2" s="1"/>
  <c r="AF13" i="2" s="1"/>
  <c r="AF10" i="2"/>
  <c r="M66" i="7"/>
  <c r="AG77" i="2"/>
  <c r="AG79" i="2" s="1"/>
  <c r="AG13" i="2" s="1"/>
  <c r="M69" i="7" s="1"/>
  <c r="AG10" i="2"/>
  <c r="AC108" i="2" l="1"/>
  <c r="AD107" i="2"/>
  <c r="M68" i="7"/>
  <c r="AG15" i="2"/>
  <c r="AD106" i="2"/>
  <c r="AD37" i="2"/>
  <c r="AD99" i="2" s="1"/>
  <c r="AD41" i="2" s="1"/>
  <c r="AF15" i="2"/>
  <c r="AF24" i="2" s="1"/>
  <c r="AE42" i="2"/>
  <c r="AE35" i="2"/>
  <c r="AF35" i="2" l="1"/>
  <c r="AF42" i="2"/>
  <c r="AD108" i="2"/>
  <c r="AE107" i="2"/>
  <c r="M71" i="7"/>
  <c r="AG24" i="2"/>
  <c r="AE37" i="2"/>
  <c r="AE99" i="2" s="1"/>
  <c r="AE41" i="2" s="1"/>
  <c r="AE106" i="2"/>
  <c r="AG42" i="2" l="1"/>
  <c r="AG36" i="2" s="1"/>
  <c r="AG35" i="2"/>
  <c r="M73" i="7"/>
  <c r="AE108" i="2"/>
  <c r="AF107" i="2"/>
  <c r="AF37" i="2"/>
  <c r="AF99" i="2" s="1"/>
  <c r="AF41" i="2" s="1"/>
  <c r="AF106" i="2"/>
  <c r="AF108" i="2" l="1"/>
  <c r="AG107" i="2"/>
  <c r="AG106" i="2"/>
  <c r="M75" i="7"/>
  <c r="AG37" i="2"/>
  <c r="AG99" i="2" s="1"/>
  <c r="AG41" i="2" l="1"/>
  <c r="M81" i="7" s="1"/>
  <c r="C100" i="2"/>
  <c r="G46" i="2" s="1"/>
  <c r="E83" i="7" s="1"/>
  <c r="AG108" i="2"/>
  <c r="D110" i="2" s="1"/>
  <c r="C3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CPD Formula Grantee</author>
    <author>13026</author>
    <author>Jon Ruona</author>
  </authors>
  <commentList>
    <comment ref="D9" authorId="0" shapeId="0" xr:uid="{00000000-0006-0000-0000-000001000000}">
      <text>
        <r>
          <rPr>
            <b/>
            <sz val="8"/>
            <color indexed="81"/>
            <rFont val="Tahoma"/>
            <family val="2"/>
          </rPr>
          <t>Data Entry Cell:
Project Name</t>
        </r>
      </text>
    </comment>
    <comment ref="D10" authorId="0" shapeId="0" xr:uid="{00000000-0006-0000-0000-000002000000}">
      <text>
        <r>
          <rPr>
            <b/>
            <sz val="8"/>
            <color indexed="81"/>
            <rFont val="Tahoma"/>
            <family val="2"/>
          </rPr>
          <t>Data Entry Cell:
Address</t>
        </r>
      </text>
    </comment>
    <comment ref="D11" authorId="0" shapeId="0" xr:uid="{00000000-0006-0000-0000-000003000000}">
      <text>
        <r>
          <rPr>
            <b/>
            <sz val="8"/>
            <color indexed="81"/>
            <rFont val="Tahoma"/>
            <family val="2"/>
          </rPr>
          <t>Data Entry Cell:
Developer</t>
        </r>
      </text>
    </comment>
    <comment ref="D12" authorId="0" shapeId="0" xr:uid="{00000000-0006-0000-0000-000004000000}">
      <text>
        <r>
          <rPr>
            <b/>
            <sz val="8"/>
            <color indexed="81"/>
            <rFont val="Tahoma"/>
            <family val="2"/>
          </rPr>
          <t>Data Entry Cell:
Date of Analysis</t>
        </r>
      </text>
    </comment>
    <comment ref="D13" authorId="0" shapeId="0" xr:uid="{00000000-0006-0000-0000-000005000000}">
      <text>
        <r>
          <rPr>
            <b/>
            <sz val="8"/>
            <color indexed="81"/>
            <rFont val="Tahoma"/>
            <family val="2"/>
          </rPr>
          <t>Data Entry Cell:
City</t>
        </r>
      </text>
    </comment>
    <comment ref="D14" authorId="0" shapeId="0" xr:uid="{00000000-0006-0000-0000-000006000000}">
      <text>
        <r>
          <rPr>
            <b/>
            <sz val="8"/>
            <color indexed="81"/>
            <rFont val="Tahoma"/>
            <family val="2"/>
          </rPr>
          <t>Data Entry Cell:
State</t>
        </r>
      </text>
    </comment>
    <comment ref="D15" authorId="0" shapeId="0" xr:uid="{00000000-0006-0000-0000-000007000000}">
      <text>
        <r>
          <rPr>
            <b/>
            <sz val="8"/>
            <color indexed="81"/>
            <rFont val="Tahoma"/>
            <family val="2"/>
          </rPr>
          <t>Data Entry Cell:
Development Type</t>
        </r>
      </text>
    </comment>
    <comment ref="C27" authorId="1" shapeId="0" xr:uid="{00000000-0006-0000-0000-000008000000}">
      <text>
        <r>
          <rPr>
            <b/>
            <sz val="10"/>
            <color indexed="81"/>
            <rFont val="Tahoma"/>
            <family val="2"/>
          </rPr>
          <t>Example of a Data Entry Cell</t>
        </r>
      </text>
    </comment>
    <comment ref="B31" authorId="2" shapeId="0" xr:uid="{00000000-0006-0000-0000-000009000000}">
      <text>
        <r>
          <rPr>
            <b/>
            <sz val="8"/>
            <color indexed="81"/>
            <rFont val="Tahoma"/>
            <family val="2"/>
          </rPr>
          <t>Guidance will appear here.</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13026</author>
    <author>Jon Ruona</author>
  </authors>
  <commentList>
    <comment ref="C8" authorId="0" shapeId="0" xr:uid="{00000000-0006-0000-0200-000001000000}">
      <text>
        <r>
          <rPr>
            <b/>
            <sz val="10"/>
            <color indexed="81"/>
            <rFont val="Tahoma"/>
            <family val="2"/>
          </rPr>
          <t>Data Entry Cell, Comment on 4 Person AMI</t>
        </r>
      </text>
    </comment>
    <comment ref="A10" authorId="1" shapeId="0" xr:uid="{00000000-0006-0000-0200-000002000000}">
      <text>
        <r>
          <rPr>
            <b/>
            <sz val="8"/>
            <color indexed="81"/>
            <rFont val="Tahoma"/>
            <family val="2"/>
          </rPr>
          <t>PJs should contact the CPD Division in their local HUD Field Office to obtain maximum HOME per-unit subsidy limits.  Also see Notice CPD-15-03 or subsequent guidance.</t>
        </r>
        <r>
          <rPr>
            <sz val="8"/>
            <color indexed="81"/>
            <rFont val="Tahoma"/>
            <family val="2"/>
          </rPr>
          <t xml:space="preserve">
</t>
        </r>
      </text>
    </comment>
    <comment ref="E11" authorId="0" shapeId="0" xr:uid="{00000000-0006-0000-0200-000003000000}">
      <text>
        <r>
          <rPr>
            <b/>
            <sz val="10"/>
            <color indexed="81"/>
            <rFont val="Tahoma"/>
            <family val="2"/>
          </rPr>
          <t>Data Entry Cell, HOME per Unit Investment Limit (0 Bedroom)</t>
        </r>
      </text>
    </comment>
    <comment ref="E12" authorId="0" shapeId="0" xr:uid="{00000000-0006-0000-0200-000004000000}">
      <text>
        <r>
          <rPr>
            <b/>
            <sz val="10"/>
            <color indexed="81"/>
            <rFont val="Tahoma"/>
            <family val="2"/>
          </rPr>
          <t>Data Entry Cell, HOME per Unit Investment Limit (1 Bedroom)</t>
        </r>
      </text>
    </comment>
    <comment ref="E13" authorId="0" shapeId="0" xr:uid="{00000000-0006-0000-0200-000005000000}">
      <text>
        <r>
          <rPr>
            <b/>
            <sz val="10"/>
            <color indexed="81"/>
            <rFont val="Tahoma"/>
            <family val="2"/>
          </rPr>
          <t>Data Entry Cell, HOME per Unit Investment Limit (2 Bedroom)</t>
        </r>
      </text>
    </comment>
    <comment ref="E14" authorId="0" shapeId="0" xr:uid="{00000000-0006-0000-0200-000006000000}">
      <text>
        <r>
          <rPr>
            <b/>
            <sz val="10"/>
            <color indexed="81"/>
            <rFont val="Tahoma"/>
            <family val="2"/>
          </rPr>
          <t>Data Entry Cell, HOME per Unit Investment Limit (3 Bedroom)</t>
        </r>
      </text>
    </comment>
    <comment ref="E15" authorId="0" shapeId="0" xr:uid="{00000000-0006-0000-0200-000007000000}">
      <text>
        <r>
          <rPr>
            <b/>
            <sz val="10"/>
            <color indexed="81"/>
            <rFont val="Tahoma"/>
            <family val="2"/>
          </rPr>
          <t>Data Entry Cell, HOME per Unit Investment Limit (4+ Bedroom)</t>
        </r>
      </text>
    </comment>
    <comment ref="C18" authorId="0" shapeId="0" xr:uid="{00000000-0006-0000-0200-000008000000}">
      <text>
        <r>
          <rPr>
            <b/>
            <sz val="10"/>
            <color indexed="81"/>
            <rFont val="Tahoma"/>
            <family val="2"/>
          </rPr>
          <t>Data Entry Cell, Comment on HOME Investment Limits</t>
        </r>
      </text>
    </comment>
    <comment ref="A20" authorId="1" shapeId="0" xr:uid="{00000000-0006-0000-0200-000009000000}">
      <text>
        <r>
          <rPr>
            <b/>
            <sz val="8"/>
            <color indexed="81"/>
            <rFont val="Tahoma"/>
            <family val="2"/>
          </rPr>
          <t xml:space="preserve">HOME Rent Limits ensure that units built using HOME funds are affordable to low- and very low-income households.  For any multi-family housing development project using HOME funds, a certain portion of units must be designated as “High HOME” units and some may be need to be designated as “Low HOME” units.  In the Rents and Income tab of the Template, you will determine exactly how many units fall into these categories.  In this section of the Template, however, you are simply identifying the most-current maximum rents (including tenant-paid utilities) that a property owner may charge for High and Low HOME units in the area in which the project is located.
 </t>
        </r>
      </text>
    </comment>
    <comment ref="C22" authorId="0" shapeId="0" xr:uid="{00000000-0006-0000-0200-00000A000000}">
      <text>
        <r>
          <rPr>
            <b/>
            <sz val="10"/>
            <color indexed="81"/>
            <rFont val="Tahoma"/>
            <family val="2"/>
          </rPr>
          <t>Data Entry Cell, HOME Rent Limit, Low, 0 Bedroom</t>
        </r>
      </text>
    </comment>
    <comment ref="D22" authorId="0" shapeId="0" xr:uid="{00000000-0006-0000-0200-00000B000000}">
      <text>
        <r>
          <rPr>
            <b/>
            <sz val="10"/>
            <color indexed="81"/>
            <rFont val="Tahoma"/>
            <family val="2"/>
          </rPr>
          <t>Data Entry Cell, HOME Rent Limit, Low, 1 Bedroom</t>
        </r>
      </text>
    </comment>
    <comment ref="E22" authorId="0" shapeId="0" xr:uid="{00000000-0006-0000-0200-00000C000000}">
      <text>
        <r>
          <rPr>
            <b/>
            <sz val="10"/>
            <color indexed="81"/>
            <rFont val="Tahoma"/>
            <family val="2"/>
          </rPr>
          <t>Data Entry Cell, HOME Rent Limit, Low, 2 Bedroom</t>
        </r>
      </text>
    </comment>
    <comment ref="F22" authorId="0" shapeId="0" xr:uid="{00000000-0006-0000-0200-00000D000000}">
      <text>
        <r>
          <rPr>
            <b/>
            <sz val="10"/>
            <color indexed="81"/>
            <rFont val="Tahoma"/>
            <family val="2"/>
          </rPr>
          <t>Data Entry Cell, HOME Rent Limit, Low, 3 Bedroom</t>
        </r>
      </text>
    </comment>
    <comment ref="G22" authorId="0" shapeId="0" xr:uid="{00000000-0006-0000-0200-00000E000000}">
      <text>
        <r>
          <rPr>
            <b/>
            <sz val="10"/>
            <color indexed="81"/>
            <rFont val="Tahoma"/>
            <family val="2"/>
          </rPr>
          <t>Data Entry Cell, HOME Rent Limit, Low, 4 Bedroom</t>
        </r>
      </text>
    </comment>
    <comment ref="H22" authorId="0" shapeId="0" xr:uid="{00000000-0006-0000-0200-00000F000000}">
      <text>
        <r>
          <rPr>
            <b/>
            <sz val="10"/>
            <color indexed="81"/>
            <rFont val="Tahoma"/>
            <family val="2"/>
          </rPr>
          <t>Data Entry Cell, HOME Rent Limit, Low, 5 Bedroom</t>
        </r>
      </text>
    </comment>
    <comment ref="C24" authorId="0" shapeId="0" xr:uid="{00000000-0006-0000-0200-000010000000}">
      <text>
        <r>
          <rPr>
            <b/>
            <sz val="10"/>
            <color indexed="81"/>
            <rFont val="Tahoma"/>
            <family val="2"/>
          </rPr>
          <t>Data Entry Cell, HOME Rent Limit, High, 0 Bedroom</t>
        </r>
      </text>
    </comment>
    <comment ref="D24" authorId="0" shapeId="0" xr:uid="{00000000-0006-0000-0200-000011000000}">
      <text>
        <r>
          <rPr>
            <b/>
            <sz val="10"/>
            <color indexed="81"/>
            <rFont val="Tahoma"/>
            <family val="2"/>
          </rPr>
          <t>Data Entry Cell, HOME Rent Limit, High, 1 Bedroom</t>
        </r>
      </text>
    </comment>
    <comment ref="E24" authorId="0" shapeId="0" xr:uid="{00000000-0006-0000-0200-000012000000}">
      <text>
        <r>
          <rPr>
            <b/>
            <sz val="10"/>
            <color indexed="81"/>
            <rFont val="Tahoma"/>
            <family val="2"/>
          </rPr>
          <t>Data Entry Cell, HOME Rent Limit, High, 2 Bedroom</t>
        </r>
      </text>
    </comment>
    <comment ref="F24" authorId="0" shapeId="0" xr:uid="{00000000-0006-0000-0200-000013000000}">
      <text>
        <r>
          <rPr>
            <b/>
            <sz val="10"/>
            <color indexed="81"/>
            <rFont val="Tahoma"/>
            <family val="2"/>
          </rPr>
          <t>Data Entry Cell, HOME Rent Limit, High, 3 Bedroom</t>
        </r>
      </text>
    </comment>
    <comment ref="G24" authorId="0" shapeId="0" xr:uid="{00000000-0006-0000-0200-000014000000}">
      <text>
        <r>
          <rPr>
            <b/>
            <sz val="10"/>
            <color indexed="81"/>
            <rFont val="Tahoma"/>
            <family val="2"/>
          </rPr>
          <t>Data Entry Cell, HOME Rent Limit, High, 4 Bedroom</t>
        </r>
      </text>
    </comment>
    <comment ref="H24" authorId="0" shapeId="0" xr:uid="{00000000-0006-0000-0200-000015000000}">
      <text>
        <r>
          <rPr>
            <b/>
            <sz val="10"/>
            <color indexed="81"/>
            <rFont val="Tahoma"/>
            <family val="2"/>
          </rPr>
          <t>Data Entry Cell, HOME Rent Limit, High, 5 Bedroom</t>
        </r>
      </text>
    </comment>
    <comment ref="A26" authorId="1" shapeId="0" xr:uid="{00000000-0006-0000-0200-000016000000}">
      <text>
        <r>
          <rPr>
            <b/>
            <sz val="8"/>
            <color indexed="81"/>
            <rFont val="Tahoma"/>
            <family val="2"/>
          </rPr>
          <t xml:space="preserve">This section requires that you supply HOME Utility Allowances, which will apply only to HOME-assisted units.  Utility allowances are important because HOME rent limits include tenant-paid utility expenses.  Therefore, to determine a project’s income from a HOME-assisted unit, you may need to subtract the utility allowance from the total rent.
Utility allowances should be entered on a per unit basis and can be estimated using a market study or by consulting a schedule of utility allowances developed by your public housing authority or agency.  Enter the utility allowance per month for each type of unit in the fields provided.
</t>
        </r>
      </text>
    </comment>
    <comment ref="C28" authorId="0" shapeId="0" xr:uid="{00000000-0006-0000-0200-000017000000}">
      <text>
        <r>
          <rPr>
            <b/>
            <sz val="10"/>
            <color indexed="81"/>
            <rFont val="Tahoma"/>
            <family val="2"/>
          </rPr>
          <t>Data Entry Cell,
HOME Utility Allowance, 
0 Bedroom</t>
        </r>
      </text>
    </comment>
    <comment ref="D28" authorId="0" shapeId="0" xr:uid="{00000000-0006-0000-0200-000018000000}">
      <text>
        <r>
          <rPr>
            <b/>
            <sz val="10"/>
            <color indexed="81"/>
            <rFont val="Tahoma"/>
            <family val="2"/>
          </rPr>
          <t>Data Entry Cell,
HOME Utility Allowance, 
1 Bedroom</t>
        </r>
      </text>
    </comment>
    <comment ref="E28" authorId="0" shapeId="0" xr:uid="{00000000-0006-0000-0200-000019000000}">
      <text>
        <r>
          <rPr>
            <b/>
            <sz val="10"/>
            <color indexed="81"/>
            <rFont val="Tahoma"/>
            <family val="2"/>
          </rPr>
          <t>Data Entry Cell,
HOME Utility Allowance, 
2 Bedroom</t>
        </r>
      </text>
    </comment>
    <comment ref="F28" authorId="0" shapeId="0" xr:uid="{00000000-0006-0000-0200-00001A000000}">
      <text>
        <r>
          <rPr>
            <b/>
            <sz val="10"/>
            <color indexed="81"/>
            <rFont val="Tahoma"/>
            <family val="2"/>
          </rPr>
          <t>Data Entry Cell,
HOME Utility Allowance, 
3 Bedroom</t>
        </r>
      </text>
    </comment>
    <comment ref="G28" authorId="0" shapeId="0" xr:uid="{00000000-0006-0000-0200-00001B000000}">
      <text>
        <r>
          <rPr>
            <b/>
            <sz val="10"/>
            <color indexed="81"/>
            <rFont val="Tahoma"/>
            <family val="2"/>
          </rPr>
          <t>Data Entry Cell,
HOME Utility Allowance, 
4 Bedroom</t>
        </r>
      </text>
    </comment>
    <comment ref="H28" authorId="0" shapeId="0" xr:uid="{00000000-0006-0000-0200-00001C000000}">
      <text>
        <r>
          <rPr>
            <b/>
            <sz val="10"/>
            <color indexed="81"/>
            <rFont val="Tahoma"/>
            <family val="2"/>
          </rPr>
          <t>Data Entry Cell,
HOME Utility Allowance, 
5 Bedroom</t>
        </r>
      </text>
    </comment>
    <comment ref="C32" authorId="0" shapeId="0" xr:uid="{00000000-0006-0000-0200-00001D000000}">
      <text>
        <r>
          <rPr>
            <b/>
            <sz val="10"/>
            <color indexed="81"/>
            <rFont val="Tahoma"/>
            <family val="2"/>
          </rPr>
          <t>Data Entry Cell, Comment on HOME Rent Limits</t>
        </r>
      </text>
    </comment>
    <comment ref="A34" authorId="1" shapeId="0" xr:uid="{00000000-0006-0000-0200-00001E000000}">
      <text>
        <r>
          <rPr>
            <b/>
            <sz val="8"/>
            <color indexed="81"/>
            <rFont val="Tahoma"/>
            <family val="2"/>
          </rPr>
          <t>HOME-assisted rental units carry rent and occupancy restrictions for varying lengths of time, known as the affordability period.
The HOME Program requires a minimum affordability period for all rental projects receiving HOME funds, depending on the average amount of HOME funds invested in each unit and the type of activities performed using HOME funds.  The Template will automatically calculate the minimum HOME required affordability period, based on your selections on two drop-down menus:  HOME-Eligible Rental Activity and Average Per-Unit HOME Subsidy.  
Rehabilitation projects may be able to reduce the affordability period by reducing the amount of HOME assistance or designating a higher number of HOME-assisted units.  For new construction projects, the minimum affordability period is always 20 years.</t>
        </r>
      </text>
    </comment>
    <comment ref="C35" authorId="0" shapeId="0" xr:uid="{00000000-0006-0000-0200-00001F000000}">
      <text>
        <r>
          <rPr>
            <b/>
            <sz val="10"/>
            <color indexed="81"/>
            <rFont val="Tahoma"/>
            <family val="2"/>
          </rPr>
          <t xml:space="preserve">Data Entry Note: Use the dropdown menu to select the HOME-Eligible Activity for your project.  Your selection will help to determine the HOME Required Affordability Period.
</t>
        </r>
      </text>
    </comment>
    <comment ref="F35" authorId="1" shapeId="0" xr:uid="{00000000-0006-0000-0200-000020000000}">
      <text>
        <r>
          <rPr>
            <b/>
            <sz val="10"/>
            <color indexed="81"/>
            <rFont val="Tahoma"/>
            <family val="2"/>
          </rPr>
          <t>Data Entry Cell: HOME-Eligible Rental Activity</t>
        </r>
      </text>
    </comment>
    <comment ref="C36" authorId="0" shapeId="0" xr:uid="{00000000-0006-0000-0200-000021000000}">
      <text>
        <r>
          <rPr>
            <b/>
            <sz val="10"/>
            <color indexed="81"/>
            <rFont val="Tahoma"/>
            <family val="2"/>
          </rPr>
          <t>Data Entry Note:  Use the dropdown menu to select the Average Per-Unit HOME Subsidy for your project.  Your selection will help to determine the HOME Required Affordability Period.</t>
        </r>
      </text>
    </comment>
    <comment ref="F36" authorId="1" shapeId="0" xr:uid="{00000000-0006-0000-0200-000022000000}">
      <text>
        <r>
          <rPr>
            <b/>
            <sz val="10"/>
            <color indexed="81"/>
            <rFont val="Tahoma"/>
            <family val="2"/>
          </rPr>
          <t>Data Entry Cell: Average Per-Unit HOME Subsidy</t>
        </r>
        <r>
          <rPr>
            <sz val="8"/>
            <color indexed="81"/>
            <rFont val="Tahoma"/>
            <family val="2"/>
          </rPr>
          <t xml:space="preserve">
</t>
        </r>
      </text>
    </comment>
    <comment ref="A39" authorId="1" shapeId="0" xr:uid="{00000000-0006-0000-0200-000023000000}">
      <text>
        <r>
          <rPr>
            <b/>
            <sz val="8"/>
            <color indexed="81"/>
            <rFont val="Tahoma"/>
            <family val="2"/>
          </rPr>
          <t xml:space="preserve">Note that HOME Program affordability periods are minimum requirements, and PJs may establish longer terms of affordability for their programs.  For this reason, the Template provides the HOME required affordability period for advisory purposes only.  Enter the PJ’s Required Affordability Period in years.  The PJ’s required affordability period will be used on the Operating Pro-Forma tab of the Template to determine how long HOME-assisted units will remain affordable.  AFTER THIS AFFORDABILITY PERIOD EXPIRES, THE OPERATING PRO-FORMA WILL ASSUME THAT THE FORMERLY HOME-ASSISTED UNITS WILL CHARGE MARKET RATE RENTS.  </t>
        </r>
      </text>
    </comment>
    <comment ref="G39" authorId="0" shapeId="0" xr:uid="{00000000-0006-0000-0200-000024000000}">
      <text>
        <r>
          <rPr>
            <b/>
            <sz val="10"/>
            <color indexed="81"/>
            <rFont val="Tahoma"/>
            <family val="2"/>
          </rPr>
          <t>Data Entry Cell,
PJ's Required  Affordability Period (in years)</t>
        </r>
      </text>
    </comment>
    <comment ref="A40" authorId="1" shapeId="0" xr:uid="{00000000-0006-0000-0200-000025000000}">
      <text>
        <r>
          <rPr>
            <b/>
            <sz val="8"/>
            <color indexed="81"/>
            <rFont val="Tahoma"/>
            <family val="2"/>
          </rPr>
          <t xml:space="preserve">The row titled, "PJ's Affordability Period in Compliance with HOME Program?" checks whether the PJ’s affordability period meets the HOME Program’s minimum affordability period.  Once you have entered the relevant data, the cell to the right will read “yes” or “no,” depending on whether the PJ’s affordability period is in compliance.  </t>
        </r>
      </text>
    </comment>
    <comment ref="A43" authorId="1" shapeId="0" xr:uid="{00000000-0006-0000-0200-000026000000}">
      <text>
        <r>
          <rPr>
            <b/>
            <sz val="8"/>
            <color indexed="81"/>
            <rFont val="Tahoma"/>
            <family val="2"/>
          </rPr>
          <t xml:space="preserve">Market rents are important in this Template.  One reason is that market rents sometimes fall below the rent limits for various subsidy programs; in those situations, you will want to underwrite using the lower market rents on the Rents and Income tab.  Another reason is that, after the affordability period ends, the Operating Pro-Forma tab uses market rents in order to estimate the rental income of the project.  
Obtain the market rents from a project-specific Rent Comparability Study, from the Appraisal, or from your own analysis. </t>
        </r>
      </text>
    </comment>
    <comment ref="C47" authorId="0" shapeId="0" xr:uid="{00000000-0006-0000-0200-000027000000}">
      <text>
        <r>
          <rPr>
            <b/>
            <sz val="10"/>
            <color indexed="81"/>
            <rFont val="Tahoma"/>
            <family val="2"/>
          </rPr>
          <t>Data Entry Cell, Market Rent, 
0 Bedroom</t>
        </r>
      </text>
    </comment>
    <comment ref="D47" authorId="0" shapeId="0" xr:uid="{00000000-0006-0000-0200-000028000000}">
      <text>
        <r>
          <rPr>
            <b/>
            <sz val="10"/>
            <color indexed="81"/>
            <rFont val="Tahoma"/>
            <family val="2"/>
          </rPr>
          <t>Data Entry Cell, Market Rent, 
1 Bedroom</t>
        </r>
      </text>
    </comment>
    <comment ref="E47" authorId="0" shapeId="0" xr:uid="{00000000-0006-0000-0200-000029000000}">
      <text>
        <r>
          <rPr>
            <b/>
            <sz val="10"/>
            <color indexed="81"/>
            <rFont val="Tahoma"/>
            <family val="2"/>
          </rPr>
          <t>Data Entry Cell, Market Rent, 
2 Bedroom</t>
        </r>
      </text>
    </comment>
    <comment ref="F47" authorId="0" shapeId="0" xr:uid="{00000000-0006-0000-0200-00002A000000}">
      <text>
        <r>
          <rPr>
            <b/>
            <sz val="10"/>
            <color indexed="81"/>
            <rFont val="Tahoma"/>
            <family val="2"/>
          </rPr>
          <t>Data Entry Cell, Market Rent, 
3 Bedroom</t>
        </r>
      </text>
    </comment>
    <comment ref="G47" authorId="0" shapeId="0" xr:uid="{00000000-0006-0000-0200-00002B000000}">
      <text>
        <r>
          <rPr>
            <b/>
            <sz val="10"/>
            <color indexed="81"/>
            <rFont val="Tahoma"/>
            <family val="2"/>
          </rPr>
          <t>Data Entry Cell, Market Rent, 
4 Bedroom</t>
        </r>
      </text>
    </comment>
    <comment ref="H47" authorId="0" shapeId="0" xr:uid="{00000000-0006-0000-0200-00002C000000}">
      <text>
        <r>
          <rPr>
            <b/>
            <sz val="10"/>
            <color indexed="81"/>
            <rFont val="Tahoma"/>
            <family val="2"/>
          </rPr>
          <t>Data Entry Cell, Market Rent, 
5 Bedroom</t>
        </r>
      </text>
    </comment>
    <comment ref="C49" authorId="0" shapeId="0" xr:uid="{00000000-0006-0000-0200-00002D000000}">
      <text>
        <r>
          <rPr>
            <b/>
            <sz val="10"/>
            <color indexed="81"/>
            <rFont val="Tahoma"/>
            <family val="2"/>
          </rPr>
          <t>Data Entry Cell, Comment on Market Rents</t>
        </r>
      </text>
    </comment>
    <comment ref="F55" authorId="0" shapeId="0" xr:uid="{00000000-0006-0000-0200-00002E000000}">
      <text>
        <r>
          <rPr>
            <b/>
            <sz val="10"/>
            <color indexed="81"/>
            <rFont val="Tahoma"/>
            <family val="2"/>
          </rPr>
          <t>Data Entry Cell, Other Affordable Housing Program Name (#1)</t>
        </r>
      </text>
    </comment>
    <comment ref="C59" authorId="0" shapeId="0" xr:uid="{00000000-0006-0000-0200-00002F000000}">
      <text>
        <r>
          <rPr>
            <b/>
            <sz val="10"/>
            <color indexed="81"/>
            <rFont val="Tahoma"/>
            <family val="2"/>
          </rPr>
          <t>Data Entry Cell, Other Affordable #1 Housing Rent Limit, 0 Bedroom</t>
        </r>
      </text>
    </comment>
    <comment ref="D59" authorId="0" shapeId="0" xr:uid="{00000000-0006-0000-0200-000030000000}">
      <text>
        <r>
          <rPr>
            <b/>
            <sz val="10"/>
            <color indexed="81"/>
            <rFont val="Tahoma"/>
            <family val="2"/>
          </rPr>
          <t>Data Entry Cell, Other Affordable #1 Housing Rent Limit, 1 Bedroom</t>
        </r>
      </text>
    </comment>
    <comment ref="E59" authorId="0" shapeId="0" xr:uid="{00000000-0006-0000-0200-000031000000}">
      <text>
        <r>
          <rPr>
            <b/>
            <sz val="10"/>
            <color indexed="81"/>
            <rFont val="Tahoma"/>
            <family val="2"/>
          </rPr>
          <t>Data Entry Cell, Other Affordable #1 Housing Rent Limit, 2 Bedroom</t>
        </r>
      </text>
    </comment>
    <comment ref="F59" authorId="0" shapeId="0" xr:uid="{00000000-0006-0000-0200-000032000000}">
      <text>
        <r>
          <rPr>
            <b/>
            <sz val="10"/>
            <color indexed="81"/>
            <rFont val="Tahoma"/>
            <family val="2"/>
          </rPr>
          <t>Data Entry Cell, Other Affordable #1 Housing Rent Limit, 3 Bedroom</t>
        </r>
      </text>
    </comment>
    <comment ref="G59" authorId="0" shapeId="0" xr:uid="{00000000-0006-0000-0200-000033000000}">
      <text>
        <r>
          <rPr>
            <b/>
            <sz val="10"/>
            <color indexed="81"/>
            <rFont val="Tahoma"/>
            <family val="2"/>
          </rPr>
          <t>Data Entry Cell, Other Affordable #1 Housing Rent Limit, 4 Bedroom</t>
        </r>
      </text>
    </comment>
    <comment ref="H59" authorId="0" shapeId="0" xr:uid="{00000000-0006-0000-0200-000034000000}">
      <text>
        <r>
          <rPr>
            <b/>
            <sz val="10"/>
            <color indexed="81"/>
            <rFont val="Tahoma"/>
            <family val="2"/>
          </rPr>
          <t>Data Entry Cell, Other Affordable #1 Housing Rent Limit, 5 Bedroom</t>
        </r>
      </text>
    </comment>
    <comment ref="C63" authorId="0" shapeId="0" xr:uid="{00000000-0006-0000-0200-000035000000}">
      <text>
        <r>
          <rPr>
            <b/>
            <sz val="10"/>
            <color indexed="81"/>
            <rFont val="Tahoma"/>
            <family val="2"/>
          </rPr>
          <t>Data Entry Cell,
Other Affordable #1 HOME Utility Allowance, 
0 Bedroom</t>
        </r>
      </text>
    </comment>
    <comment ref="D63" authorId="0" shapeId="0" xr:uid="{00000000-0006-0000-0200-000036000000}">
      <text>
        <r>
          <rPr>
            <b/>
            <sz val="10"/>
            <color indexed="81"/>
            <rFont val="Tahoma"/>
            <family val="2"/>
          </rPr>
          <t>Data Entry Cell,
Other Affordable #1 HOME Utility Allowance, 
1 Bedroom</t>
        </r>
      </text>
    </comment>
    <comment ref="E63" authorId="0" shapeId="0" xr:uid="{00000000-0006-0000-0200-000037000000}">
      <text>
        <r>
          <rPr>
            <b/>
            <sz val="10"/>
            <color indexed="81"/>
            <rFont val="Tahoma"/>
            <family val="2"/>
          </rPr>
          <t>Data Entry Cell,
Other Affordable #1 HOME Utility Allowance, 
2 Bedroom</t>
        </r>
      </text>
    </comment>
    <comment ref="F63" authorId="0" shapeId="0" xr:uid="{00000000-0006-0000-0200-000038000000}">
      <text>
        <r>
          <rPr>
            <b/>
            <sz val="10"/>
            <color indexed="81"/>
            <rFont val="Tahoma"/>
            <family val="2"/>
          </rPr>
          <t>Data Entry Cell,
Other Affordable #1 HOME Utility Allowance, 
3 Bedroom</t>
        </r>
      </text>
    </comment>
    <comment ref="G63" authorId="0" shapeId="0" xr:uid="{00000000-0006-0000-0200-000039000000}">
      <text>
        <r>
          <rPr>
            <b/>
            <sz val="10"/>
            <color indexed="81"/>
            <rFont val="Tahoma"/>
            <family val="2"/>
          </rPr>
          <t>Data Entry Cell,
Other Afforable #1 HOME Utility Allowance, 
4 Bedroom</t>
        </r>
      </text>
    </comment>
    <comment ref="H63" authorId="0" shapeId="0" xr:uid="{00000000-0006-0000-0200-00003A000000}">
      <text>
        <r>
          <rPr>
            <b/>
            <sz val="10"/>
            <color indexed="81"/>
            <rFont val="Tahoma"/>
            <family val="2"/>
          </rPr>
          <t>Data Entry Cell,
Other Affordable #1 HOME Utility Allowance, 
5 Bedroom</t>
        </r>
      </text>
    </comment>
    <comment ref="C65" authorId="0" shapeId="0" xr:uid="{00000000-0006-0000-0200-00003B000000}">
      <text>
        <r>
          <rPr>
            <b/>
            <sz val="10"/>
            <color indexed="81"/>
            <rFont val="Tahoma"/>
            <family val="2"/>
          </rPr>
          <t>Data Entry Cell, Comment on Other Affordable Housing Program #1</t>
        </r>
      </text>
    </comment>
    <comment ref="F69" authorId="0" shapeId="0" xr:uid="{00000000-0006-0000-0200-00003C000000}">
      <text>
        <r>
          <rPr>
            <b/>
            <sz val="10"/>
            <color indexed="81"/>
            <rFont val="Tahoma"/>
            <family val="2"/>
          </rPr>
          <t>Data Entry Cell, Other Affordable Housing Program Name (#2)</t>
        </r>
      </text>
    </comment>
    <comment ref="C73" authorId="0" shapeId="0" xr:uid="{00000000-0006-0000-0200-00003D000000}">
      <text>
        <r>
          <rPr>
            <b/>
            <sz val="10"/>
            <color indexed="81"/>
            <rFont val="Tahoma"/>
            <family val="2"/>
          </rPr>
          <t>Data Entry Cell, Other Affordable #2 Housing Rent Limit, 
0 Bedroom</t>
        </r>
      </text>
    </comment>
    <comment ref="D73" authorId="0" shapeId="0" xr:uid="{00000000-0006-0000-0200-00003E000000}">
      <text>
        <r>
          <rPr>
            <b/>
            <sz val="10"/>
            <color indexed="81"/>
            <rFont val="Tahoma"/>
            <family val="2"/>
          </rPr>
          <t>Data Entry Cell, Other Affordable #2 Housing Rent Limit, 
1 Bedroom</t>
        </r>
      </text>
    </comment>
    <comment ref="E73" authorId="0" shapeId="0" xr:uid="{00000000-0006-0000-0200-00003F000000}">
      <text>
        <r>
          <rPr>
            <b/>
            <sz val="10"/>
            <color indexed="81"/>
            <rFont val="Tahoma"/>
            <family val="2"/>
          </rPr>
          <t>Data Entry Cell, Other Affordable #2 Housing Rent Limit, 
2 Bedroom</t>
        </r>
      </text>
    </comment>
    <comment ref="F73" authorId="0" shapeId="0" xr:uid="{00000000-0006-0000-0200-000040000000}">
      <text>
        <r>
          <rPr>
            <b/>
            <sz val="10"/>
            <color indexed="81"/>
            <rFont val="Tahoma"/>
            <family val="2"/>
          </rPr>
          <t>Data Entry Cell, Other Affordable #2 Housing Rent Limit, 
3 Bedroom</t>
        </r>
      </text>
    </comment>
    <comment ref="G73" authorId="0" shapeId="0" xr:uid="{00000000-0006-0000-0200-000041000000}">
      <text>
        <r>
          <rPr>
            <b/>
            <sz val="10"/>
            <color indexed="81"/>
            <rFont val="Tahoma"/>
            <family val="2"/>
          </rPr>
          <t>Data Entry Cell, Other Affordable #2 Housing Rent Limit, 
4 Bedroom</t>
        </r>
      </text>
    </comment>
    <comment ref="H73" authorId="0" shapeId="0" xr:uid="{00000000-0006-0000-0200-000042000000}">
      <text>
        <r>
          <rPr>
            <b/>
            <sz val="10"/>
            <color indexed="81"/>
            <rFont val="Tahoma"/>
            <family val="2"/>
          </rPr>
          <t>Data Entry Cell, Other Affordable #2 Housing Rent Limit, 
5 Bedroom</t>
        </r>
      </text>
    </comment>
    <comment ref="C77" authorId="0" shapeId="0" xr:uid="{00000000-0006-0000-0200-000043000000}">
      <text>
        <r>
          <rPr>
            <b/>
            <sz val="10"/>
            <color indexed="81"/>
            <rFont val="Tahoma"/>
            <family val="2"/>
          </rPr>
          <t>Data Entry Cell,
Other Affordable #1 HOME Utility Allowance, 
0 Bedroom</t>
        </r>
      </text>
    </comment>
    <comment ref="D77" authorId="0" shapeId="0" xr:uid="{00000000-0006-0000-0200-000044000000}">
      <text>
        <r>
          <rPr>
            <b/>
            <sz val="10"/>
            <color indexed="81"/>
            <rFont val="Tahoma"/>
            <family val="2"/>
          </rPr>
          <t>Data Entry Cell,
Other Affordable #2 HOME Utility Allowance, 
1 Bedroom</t>
        </r>
      </text>
    </comment>
    <comment ref="E77" authorId="0" shapeId="0" xr:uid="{00000000-0006-0000-0200-000045000000}">
      <text>
        <r>
          <rPr>
            <b/>
            <sz val="10"/>
            <color indexed="81"/>
            <rFont val="Tahoma"/>
            <family val="2"/>
          </rPr>
          <t>Data Entry Cell,
Other Affordable #2 HOME Utility Allowance, 
2 Bedroom</t>
        </r>
      </text>
    </comment>
    <comment ref="F77" authorId="0" shapeId="0" xr:uid="{00000000-0006-0000-0200-000046000000}">
      <text>
        <r>
          <rPr>
            <b/>
            <sz val="10"/>
            <color indexed="81"/>
            <rFont val="Tahoma"/>
            <family val="2"/>
          </rPr>
          <t>Data Entry Cell,
Other Affordable #2 HOME Utility Allowance, 
3 Bedroom</t>
        </r>
      </text>
    </comment>
    <comment ref="G77" authorId="0" shapeId="0" xr:uid="{00000000-0006-0000-0200-000047000000}">
      <text>
        <r>
          <rPr>
            <b/>
            <sz val="10"/>
            <color indexed="81"/>
            <rFont val="Tahoma"/>
            <family val="2"/>
          </rPr>
          <t>Data Entry Cell,
Other Afforable #2 HOME Utility Allowance, 
4 Bedroom</t>
        </r>
      </text>
    </comment>
    <comment ref="H77" authorId="0" shapeId="0" xr:uid="{00000000-0006-0000-0200-000048000000}">
      <text>
        <r>
          <rPr>
            <b/>
            <sz val="10"/>
            <color indexed="81"/>
            <rFont val="Tahoma"/>
            <family val="2"/>
          </rPr>
          <t>Data Entry Cell,
Other Affordable #2 HOME Utility Allowance, 
5 Bedroom</t>
        </r>
      </text>
    </comment>
    <comment ref="C79" authorId="0" shapeId="0" xr:uid="{00000000-0006-0000-0200-000049000000}">
      <text>
        <r>
          <rPr>
            <b/>
            <sz val="10"/>
            <color indexed="81"/>
            <rFont val="Tahoma"/>
            <family val="2"/>
          </rPr>
          <t>Data Entry Cell, Comment on Other Affordable Housing Program #2</t>
        </r>
      </text>
    </comment>
    <comment ref="F83" authorId="0" shapeId="0" xr:uid="{00000000-0006-0000-0200-00004A000000}">
      <text>
        <r>
          <rPr>
            <b/>
            <sz val="10"/>
            <color indexed="81"/>
            <rFont val="Tahoma"/>
            <family val="2"/>
          </rPr>
          <t>Data Entry Cell, Other Affordable Housing Program Name (#3)</t>
        </r>
      </text>
    </comment>
    <comment ref="C87" authorId="0" shapeId="0" xr:uid="{00000000-0006-0000-0200-00004B000000}">
      <text>
        <r>
          <rPr>
            <b/>
            <sz val="10"/>
            <color indexed="81"/>
            <rFont val="Tahoma"/>
            <family val="2"/>
          </rPr>
          <t>Data Entry Cell, Other Affordable #3 Housing Rent Limit, 0 Bedroom</t>
        </r>
      </text>
    </comment>
    <comment ref="D87" authorId="0" shapeId="0" xr:uid="{00000000-0006-0000-0200-00004C000000}">
      <text>
        <r>
          <rPr>
            <b/>
            <sz val="10"/>
            <color indexed="81"/>
            <rFont val="Tahoma"/>
            <family val="2"/>
          </rPr>
          <t>Data Entry Cell, Other Affordable #3 Housing Rent Limit, 1 Bedroom</t>
        </r>
      </text>
    </comment>
    <comment ref="E87" authorId="0" shapeId="0" xr:uid="{00000000-0006-0000-0200-00004D000000}">
      <text>
        <r>
          <rPr>
            <b/>
            <sz val="10"/>
            <color indexed="81"/>
            <rFont val="Tahoma"/>
            <family val="2"/>
          </rPr>
          <t>Data Entry Cell, Other Affordable #3 Housing Rent Limit, 2 Bedroom</t>
        </r>
      </text>
    </comment>
    <comment ref="F87" authorId="0" shapeId="0" xr:uid="{00000000-0006-0000-0200-00004E000000}">
      <text>
        <r>
          <rPr>
            <b/>
            <sz val="10"/>
            <color indexed="81"/>
            <rFont val="Tahoma"/>
            <family val="2"/>
          </rPr>
          <t>Data Entry Cell, Other Affordable #3 Housing Rent Limit, 3 Bedroom</t>
        </r>
      </text>
    </comment>
    <comment ref="G87" authorId="0" shapeId="0" xr:uid="{00000000-0006-0000-0200-00004F000000}">
      <text>
        <r>
          <rPr>
            <b/>
            <sz val="10"/>
            <color indexed="81"/>
            <rFont val="Tahoma"/>
            <family val="2"/>
          </rPr>
          <t>Data Entry Cell, Other Affordable #3 Housing Rent Limit, 4 Bedroom</t>
        </r>
      </text>
    </comment>
    <comment ref="H87" authorId="0" shapeId="0" xr:uid="{00000000-0006-0000-0200-000050000000}">
      <text>
        <r>
          <rPr>
            <b/>
            <sz val="10"/>
            <color indexed="81"/>
            <rFont val="Tahoma"/>
            <family val="2"/>
          </rPr>
          <t>Data Entry Cell, Other Affordable #3 Housing Rent Limit, 5 Bedroom</t>
        </r>
      </text>
    </comment>
    <comment ref="C91" authorId="0" shapeId="0" xr:uid="{00000000-0006-0000-0200-000051000000}">
      <text>
        <r>
          <rPr>
            <b/>
            <sz val="10"/>
            <color indexed="81"/>
            <rFont val="Tahoma"/>
            <family val="2"/>
          </rPr>
          <t>Data Entry Cell,
Other Affordable #3 HOME Utility Allowance, 
0 Bedroom</t>
        </r>
      </text>
    </comment>
    <comment ref="D91" authorId="0" shapeId="0" xr:uid="{00000000-0006-0000-0200-000052000000}">
      <text>
        <r>
          <rPr>
            <b/>
            <sz val="10"/>
            <color indexed="81"/>
            <rFont val="Tahoma"/>
            <family val="2"/>
          </rPr>
          <t>Data Entry Cell,
Other Affordable #3 HOME Utility Allowance, 
1 Bedroom</t>
        </r>
      </text>
    </comment>
    <comment ref="E91" authorId="0" shapeId="0" xr:uid="{00000000-0006-0000-0200-000053000000}">
      <text>
        <r>
          <rPr>
            <b/>
            <sz val="10"/>
            <color indexed="81"/>
            <rFont val="Tahoma"/>
            <family val="2"/>
          </rPr>
          <t>Data Entry Cell,
Other Affordable #3 HOME Utility Allowance, 
2 Bedroom</t>
        </r>
      </text>
    </comment>
    <comment ref="F91" authorId="0" shapeId="0" xr:uid="{00000000-0006-0000-0200-000054000000}">
      <text>
        <r>
          <rPr>
            <b/>
            <sz val="10"/>
            <color indexed="81"/>
            <rFont val="Tahoma"/>
            <family val="2"/>
          </rPr>
          <t>Data Entry Cell,
Other Affordable #3 HOME Utility Allowance, 
3 Bedroom</t>
        </r>
      </text>
    </comment>
    <comment ref="G91" authorId="0" shapeId="0" xr:uid="{00000000-0006-0000-0200-000055000000}">
      <text>
        <r>
          <rPr>
            <b/>
            <sz val="10"/>
            <color indexed="81"/>
            <rFont val="Tahoma"/>
            <family val="2"/>
          </rPr>
          <t>Data Entry Cell,
Other Afforable #3 HOME Utility Allowance, 
4 Bedroom</t>
        </r>
      </text>
    </comment>
    <comment ref="H91" authorId="0" shapeId="0" xr:uid="{00000000-0006-0000-0200-000056000000}">
      <text>
        <r>
          <rPr>
            <b/>
            <sz val="10"/>
            <color indexed="81"/>
            <rFont val="Tahoma"/>
            <family val="2"/>
          </rPr>
          <t>Data Entry Cell,
Other Affordable #3 HOME Utility Allowance, 
5 Bedroom</t>
        </r>
      </text>
    </comment>
    <comment ref="C93" authorId="0" shapeId="0" xr:uid="{00000000-0006-0000-0200-000057000000}">
      <text>
        <r>
          <rPr>
            <b/>
            <sz val="10"/>
            <color indexed="81"/>
            <rFont val="Tahoma"/>
            <family val="2"/>
          </rPr>
          <t>Data Entry Cell, Comment on Other Affordable Housing Program #3</t>
        </r>
      </text>
    </comment>
    <comment ref="F97" authorId="0" shapeId="0" xr:uid="{00000000-0006-0000-0200-000058000000}">
      <text>
        <r>
          <rPr>
            <b/>
            <sz val="10"/>
            <color indexed="81"/>
            <rFont val="Tahoma"/>
            <family val="2"/>
          </rPr>
          <t>Data Entry Cell, Other Affordable Housing Program Name (#4)</t>
        </r>
      </text>
    </comment>
    <comment ref="C101" authorId="0" shapeId="0" xr:uid="{00000000-0006-0000-0200-000059000000}">
      <text>
        <r>
          <rPr>
            <b/>
            <sz val="10"/>
            <color indexed="81"/>
            <rFont val="Tahoma"/>
            <family val="2"/>
          </rPr>
          <t>Data Entry Cell, Other Affordable #4 Housing Rent Limit, 0 Bedroom</t>
        </r>
      </text>
    </comment>
    <comment ref="D101" authorId="0" shapeId="0" xr:uid="{00000000-0006-0000-0200-00005A000000}">
      <text>
        <r>
          <rPr>
            <b/>
            <sz val="10"/>
            <color indexed="81"/>
            <rFont val="Tahoma"/>
            <family val="2"/>
          </rPr>
          <t>Data Entry Cell, Other Affordable #4 Housing Rent Limit, 1 Bedroom</t>
        </r>
      </text>
    </comment>
    <comment ref="E101" authorId="0" shapeId="0" xr:uid="{00000000-0006-0000-0200-00005B000000}">
      <text>
        <r>
          <rPr>
            <b/>
            <sz val="10"/>
            <color indexed="81"/>
            <rFont val="Tahoma"/>
            <family val="2"/>
          </rPr>
          <t>Data Entry Cell, Other Affordable #4 Housing Rent Limit, 2 Bedroom</t>
        </r>
      </text>
    </comment>
    <comment ref="F101" authorId="0" shapeId="0" xr:uid="{00000000-0006-0000-0200-00005C000000}">
      <text>
        <r>
          <rPr>
            <b/>
            <sz val="10"/>
            <color indexed="81"/>
            <rFont val="Tahoma"/>
            <family val="2"/>
          </rPr>
          <t>Data Entry Cell, Other Affordable #4 Housing Rent Limit, 3 Bedroom</t>
        </r>
      </text>
    </comment>
    <comment ref="G101" authorId="0" shapeId="0" xr:uid="{00000000-0006-0000-0200-00005D000000}">
      <text>
        <r>
          <rPr>
            <b/>
            <sz val="10"/>
            <color indexed="81"/>
            <rFont val="Tahoma"/>
            <family val="2"/>
          </rPr>
          <t>Data Entry Cell, Other Affordable #4 Housing Rent Limit, 4 Bedroom</t>
        </r>
      </text>
    </comment>
    <comment ref="H101" authorId="0" shapeId="0" xr:uid="{00000000-0006-0000-0200-00005E000000}">
      <text>
        <r>
          <rPr>
            <b/>
            <sz val="10"/>
            <color indexed="81"/>
            <rFont val="Tahoma"/>
            <family val="2"/>
          </rPr>
          <t>Data Entry Cell, Other Affordable #4 Housing Rent Limit, 5 Bedroom</t>
        </r>
      </text>
    </comment>
    <comment ref="C105" authorId="0" shapeId="0" xr:uid="{00000000-0006-0000-0200-00005F000000}">
      <text>
        <r>
          <rPr>
            <b/>
            <sz val="10"/>
            <color indexed="81"/>
            <rFont val="Tahoma"/>
            <family val="2"/>
          </rPr>
          <t>Data Entry Cell,
Other Affordable #4 HOME Utility Allowance, 
0 Bedroom</t>
        </r>
      </text>
    </comment>
    <comment ref="D105" authorId="0" shapeId="0" xr:uid="{00000000-0006-0000-0200-000060000000}">
      <text>
        <r>
          <rPr>
            <b/>
            <sz val="10"/>
            <color indexed="81"/>
            <rFont val="Tahoma"/>
            <family val="2"/>
          </rPr>
          <t>Data Entry Cell,
Other Affordable #4 HOME Utility Allowance, 
1 Bedroom</t>
        </r>
      </text>
    </comment>
    <comment ref="E105" authorId="0" shapeId="0" xr:uid="{00000000-0006-0000-0200-000061000000}">
      <text>
        <r>
          <rPr>
            <b/>
            <sz val="10"/>
            <color indexed="81"/>
            <rFont val="Tahoma"/>
            <family val="2"/>
          </rPr>
          <t>Data Entry Cell,
Other Affordable #4 HOME Utility Allowance, 
2 Bedroom</t>
        </r>
      </text>
    </comment>
    <comment ref="F105" authorId="0" shapeId="0" xr:uid="{00000000-0006-0000-0200-000062000000}">
      <text>
        <r>
          <rPr>
            <b/>
            <sz val="10"/>
            <color indexed="81"/>
            <rFont val="Tahoma"/>
            <family val="2"/>
          </rPr>
          <t>Data Entry Cell,
Other Affordable #4 HOME Utility Allowance, 
3 Bedroom</t>
        </r>
      </text>
    </comment>
    <comment ref="G105" authorId="0" shapeId="0" xr:uid="{00000000-0006-0000-0200-000063000000}">
      <text>
        <r>
          <rPr>
            <b/>
            <sz val="10"/>
            <color indexed="81"/>
            <rFont val="Tahoma"/>
            <family val="2"/>
          </rPr>
          <t>Data Entry Cell,
Other Afforable #4 HOME Utility Allowance, 
4 Bedroom</t>
        </r>
      </text>
    </comment>
    <comment ref="H105" authorId="0" shapeId="0" xr:uid="{00000000-0006-0000-0200-000064000000}">
      <text>
        <r>
          <rPr>
            <b/>
            <sz val="10"/>
            <color indexed="81"/>
            <rFont val="Tahoma"/>
            <family val="2"/>
          </rPr>
          <t>Data Entry Cell,
Other Affordable #4 HOME Utility Allowance, 
5 Bedroom</t>
        </r>
      </text>
    </comment>
    <comment ref="C107" authorId="0" shapeId="0" xr:uid="{00000000-0006-0000-0200-000065000000}">
      <text>
        <r>
          <rPr>
            <b/>
            <sz val="10"/>
            <color indexed="81"/>
            <rFont val="Tahoma"/>
            <family val="2"/>
          </rPr>
          <t>Data Entry Cell, Comment on Other Affordable Housing Program #4</t>
        </r>
      </text>
    </comment>
    <comment ref="F111" authorId="0" shapeId="0" xr:uid="{00000000-0006-0000-0200-000066000000}">
      <text>
        <r>
          <rPr>
            <b/>
            <sz val="10"/>
            <color indexed="81"/>
            <rFont val="Tahoma"/>
            <family val="2"/>
          </rPr>
          <t>Data Entry Cell, Other Affordable Housing Program Name (#4)</t>
        </r>
      </text>
    </comment>
    <comment ref="C115" authorId="0" shapeId="0" xr:uid="{00000000-0006-0000-0200-000067000000}">
      <text>
        <r>
          <rPr>
            <b/>
            <sz val="10"/>
            <color indexed="81"/>
            <rFont val="Tahoma"/>
            <family val="2"/>
          </rPr>
          <t>Data Entry Cell, Other Affordable #4 Housing Rent Limit, 0 Bedroom</t>
        </r>
      </text>
    </comment>
    <comment ref="D115" authorId="0" shapeId="0" xr:uid="{00000000-0006-0000-0200-000068000000}">
      <text>
        <r>
          <rPr>
            <b/>
            <sz val="10"/>
            <color indexed="81"/>
            <rFont val="Tahoma"/>
            <family val="2"/>
          </rPr>
          <t>Data Entry Cell, Other Affordable #4 Housing Rent Limit, 1 Bedroom</t>
        </r>
      </text>
    </comment>
    <comment ref="E115" authorId="0" shapeId="0" xr:uid="{00000000-0006-0000-0200-000069000000}">
      <text>
        <r>
          <rPr>
            <b/>
            <sz val="10"/>
            <color indexed="81"/>
            <rFont val="Tahoma"/>
            <family val="2"/>
          </rPr>
          <t>Data Entry Cell, Other Affordable #4 Housing Rent Limit, 2 Bedroom</t>
        </r>
      </text>
    </comment>
    <comment ref="F115" authorId="0" shapeId="0" xr:uid="{00000000-0006-0000-0200-00006A000000}">
      <text>
        <r>
          <rPr>
            <b/>
            <sz val="10"/>
            <color indexed="81"/>
            <rFont val="Tahoma"/>
            <family val="2"/>
          </rPr>
          <t>Data Entry Cell, Other Affordable #4 Housing Rent Limit, 3 Bedroom</t>
        </r>
      </text>
    </comment>
    <comment ref="G115" authorId="0" shapeId="0" xr:uid="{00000000-0006-0000-0200-00006B000000}">
      <text>
        <r>
          <rPr>
            <b/>
            <sz val="10"/>
            <color indexed="81"/>
            <rFont val="Tahoma"/>
            <family val="2"/>
          </rPr>
          <t>Data Entry Cell, Other Affordable #4 Housing Rent Limit, 4 Bedroom</t>
        </r>
      </text>
    </comment>
    <comment ref="H115" authorId="0" shapeId="0" xr:uid="{00000000-0006-0000-0200-00006C000000}">
      <text>
        <r>
          <rPr>
            <b/>
            <sz val="10"/>
            <color indexed="81"/>
            <rFont val="Tahoma"/>
            <family val="2"/>
          </rPr>
          <t>Data Entry Cell, Other Affordable #4 Housing Rent Limit, 5 Bedroom</t>
        </r>
      </text>
    </comment>
    <comment ref="C119" authorId="0" shapeId="0" xr:uid="{00000000-0006-0000-0200-00006D000000}">
      <text>
        <r>
          <rPr>
            <b/>
            <sz val="10"/>
            <color indexed="81"/>
            <rFont val="Tahoma"/>
            <family val="2"/>
          </rPr>
          <t>Data Entry Cell,
Other Affordable #4 HOME Utility Allowance, 
0 Bedroom</t>
        </r>
      </text>
    </comment>
    <comment ref="D119" authorId="0" shapeId="0" xr:uid="{00000000-0006-0000-0200-00006E000000}">
      <text>
        <r>
          <rPr>
            <b/>
            <sz val="10"/>
            <color indexed="81"/>
            <rFont val="Tahoma"/>
            <family val="2"/>
          </rPr>
          <t>Data Entry Cell,
Other Affordable #4 HOME Utility Allowance, 
1 Bedroom</t>
        </r>
      </text>
    </comment>
    <comment ref="E119" authorId="0" shapeId="0" xr:uid="{00000000-0006-0000-0200-00006F000000}">
      <text>
        <r>
          <rPr>
            <b/>
            <sz val="10"/>
            <color indexed="81"/>
            <rFont val="Tahoma"/>
            <family val="2"/>
          </rPr>
          <t>Data Entry Cell,
Other Affordable #4 HOME Utility Allowance, 
2 Bedroom</t>
        </r>
      </text>
    </comment>
    <comment ref="F119" authorId="0" shapeId="0" xr:uid="{00000000-0006-0000-0200-000070000000}">
      <text>
        <r>
          <rPr>
            <b/>
            <sz val="10"/>
            <color indexed="81"/>
            <rFont val="Tahoma"/>
            <family val="2"/>
          </rPr>
          <t>Data Entry Cell,
Other Affordable #4 HOME Utility Allowance, 
3 Bedroom</t>
        </r>
      </text>
    </comment>
    <comment ref="G119" authorId="0" shapeId="0" xr:uid="{00000000-0006-0000-0200-000071000000}">
      <text>
        <r>
          <rPr>
            <b/>
            <sz val="10"/>
            <color indexed="81"/>
            <rFont val="Tahoma"/>
            <family val="2"/>
          </rPr>
          <t>Data Entry Cell,
Other Afforable #4 HOME Utility Allowance, 
4 Bedroom</t>
        </r>
      </text>
    </comment>
    <comment ref="H119" authorId="0" shapeId="0" xr:uid="{00000000-0006-0000-0200-000072000000}">
      <text>
        <r>
          <rPr>
            <b/>
            <sz val="10"/>
            <color indexed="81"/>
            <rFont val="Tahoma"/>
            <family val="2"/>
          </rPr>
          <t>Data Entry Cell,
Other Affordable #4 HOME Utility Allowance, 
5 Bedroom</t>
        </r>
      </text>
    </comment>
    <comment ref="C121" authorId="0" shapeId="0" xr:uid="{00000000-0006-0000-0200-000073000000}">
      <text>
        <r>
          <rPr>
            <b/>
            <sz val="10"/>
            <color indexed="81"/>
            <rFont val="Tahoma"/>
            <family val="2"/>
          </rPr>
          <t>Data Entry Cell, Comment on Other Affordable Housing Program #4</t>
        </r>
      </text>
    </comment>
    <comment ref="F125" authorId="0" shapeId="0" xr:uid="{00000000-0006-0000-0200-000074000000}">
      <text>
        <r>
          <rPr>
            <b/>
            <sz val="10"/>
            <color indexed="81"/>
            <rFont val="Tahoma"/>
            <family val="2"/>
          </rPr>
          <t>Data Entry Cell, Other Affordable Housing Program Name (#4)</t>
        </r>
      </text>
    </comment>
    <comment ref="C129" authorId="0" shapeId="0" xr:uid="{00000000-0006-0000-0200-000075000000}">
      <text>
        <r>
          <rPr>
            <b/>
            <sz val="10"/>
            <color indexed="81"/>
            <rFont val="Tahoma"/>
            <family val="2"/>
          </rPr>
          <t>Data Entry Cell, Other Affordable #4 Housing Rent Limit, 0 Bedroom</t>
        </r>
      </text>
    </comment>
    <comment ref="D129" authorId="0" shapeId="0" xr:uid="{00000000-0006-0000-0200-000076000000}">
      <text>
        <r>
          <rPr>
            <b/>
            <sz val="10"/>
            <color indexed="81"/>
            <rFont val="Tahoma"/>
            <family val="2"/>
          </rPr>
          <t>Data Entry Cell, Other Affordable #4 Housing Rent Limit, 1 Bedroom</t>
        </r>
      </text>
    </comment>
    <comment ref="E129" authorId="0" shapeId="0" xr:uid="{00000000-0006-0000-0200-000077000000}">
      <text>
        <r>
          <rPr>
            <b/>
            <sz val="10"/>
            <color indexed="81"/>
            <rFont val="Tahoma"/>
            <family val="2"/>
          </rPr>
          <t>Data Entry Cell, Other Affordable #4 Housing Rent Limit, 2 Bedroom</t>
        </r>
      </text>
    </comment>
    <comment ref="F129" authorId="0" shapeId="0" xr:uid="{00000000-0006-0000-0200-000078000000}">
      <text>
        <r>
          <rPr>
            <b/>
            <sz val="10"/>
            <color indexed="81"/>
            <rFont val="Tahoma"/>
            <family val="2"/>
          </rPr>
          <t>Data Entry Cell, Other Affordable #4 Housing Rent Limit, 3 Bedroom</t>
        </r>
      </text>
    </comment>
    <comment ref="G129" authorId="0" shapeId="0" xr:uid="{00000000-0006-0000-0200-000079000000}">
      <text>
        <r>
          <rPr>
            <b/>
            <sz val="10"/>
            <color indexed="81"/>
            <rFont val="Tahoma"/>
            <family val="2"/>
          </rPr>
          <t>Data Entry Cell, Other Affordable #4 Housing Rent Limit, 4 Bedroom</t>
        </r>
      </text>
    </comment>
    <comment ref="H129" authorId="0" shapeId="0" xr:uid="{00000000-0006-0000-0200-00007A000000}">
      <text>
        <r>
          <rPr>
            <b/>
            <sz val="10"/>
            <color indexed="81"/>
            <rFont val="Tahoma"/>
            <family val="2"/>
          </rPr>
          <t>Data Entry Cell, Other Affordable #4 Housing Rent Limit, 5 Bedroom</t>
        </r>
      </text>
    </comment>
    <comment ref="C133" authorId="0" shapeId="0" xr:uid="{00000000-0006-0000-0200-00007B000000}">
      <text>
        <r>
          <rPr>
            <b/>
            <sz val="10"/>
            <color indexed="81"/>
            <rFont val="Tahoma"/>
            <family val="2"/>
          </rPr>
          <t>Data Entry Cell,
Other Affordable #4 HOME Utility Allowance, 
0 Bedroom</t>
        </r>
      </text>
    </comment>
    <comment ref="D133" authorId="0" shapeId="0" xr:uid="{00000000-0006-0000-0200-00007C000000}">
      <text>
        <r>
          <rPr>
            <b/>
            <sz val="10"/>
            <color indexed="81"/>
            <rFont val="Tahoma"/>
            <family val="2"/>
          </rPr>
          <t>Data Entry Cell,
Other Affordable #4 HOME Utility Allowance, 
1 Bedroom</t>
        </r>
      </text>
    </comment>
    <comment ref="E133" authorId="0" shapeId="0" xr:uid="{00000000-0006-0000-0200-00007D000000}">
      <text>
        <r>
          <rPr>
            <b/>
            <sz val="10"/>
            <color indexed="81"/>
            <rFont val="Tahoma"/>
            <family val="2"/>
          </rPr>
          <t>Data Entry Cell,
Other Affordable #4 HOME Utility Allowance, 
2 Bedroom</t>
        </r>
      </text>
    </comment>
    <comment ref="F133" authorId="0" shapeId="0" xr:uid="{00000000-0006-0000-0200-00007E000000}">
      <text>
        <r>
          <rPr>
            <b/>
            <sz val="10"/>
            <color indexed="81"/>
            <rFont val="Tahoma"/>
            <family val="2"/>
          </rPr>
          <t>Data Entry Cell,
Other Affordable #4 HOME Utility Allowance, 
3 Bedroom</t>
        </r>
      </text>
    </comment>
    <comment ref="G133" authorId="0" shapeId="0" xr:uid="{00000000-0006-0000-0200-00007F000000}">
      <text>
        <r>
          <rPr>
            <b/>
            <sz val="10"/>
            <color indexed="81"/>
            <rFont val="Tahoma"/>
            <family val="2"/>
          </rPr>
          <t>Data Entry Cell,
Other Afforable #4 HOME Utility Allowance, 
4 Bedroom</t>
        </r>
      </text>
    </comment>
    <comment ref="H133" authorId="0" shapeId="0" xr:uid="{00000000-0006-0000-0200-000080000000}">
      <text>
        <r>
          <rPr>
            <b/>
            <sz val="10"/>
            <color indexed="81"/>
            <rFont val="Tahoma"/>
            <family val="2"/>
          </rPr>
          <t>Data Entry Cell,
Other Affordable #4 HOME Utility Allowance, 
5 Bedroom</t>
        </r>
      </text>
    </comment>
    <comment ref="C135" authorId="0" shapeId="0" xr:uid="{00000000-0006-0000-0200-000081000000}">
      <text>
        <r>
          <rPr>
            <b/>
            <sz val="10"/>
            <color indexed="81"/>
            <rFont val="Tahoma"/>
            <family val="2"/>
          </rPr>
          <t>Data Entry Cell, Comment on Other Affordable Housing Program #4</t>
        </r>
      </text>
    </comment>
    <comment ref="F139" authorId="0" shapeId="0" xr:uid="{00000000-0006-0000-0200-000082000000}">
      <text>
        <r>
          <rPr>
            <b/>
            <sz val="10"/>
            <color indexed="81"/>
            <rFont val="Tahoma"/>
            <family val="2"/>
          </rPr>
          <t>Data Entry Cell, Other Affordable Housing Program Name (#4)</t>
        </r>
      </text>
    </comment>
    <comment ref="C143" authorId="0" shapeId="0" xr:uid="{00000000-0006-0000-0200-000083000000}">
      <text>
        <r>
          <rPr>
            <b/>
            <sz val="10"/>
            <color indexed="81"/>
            <rFont val="Tahoma"/>
            <family val="2"/>
          </rPr>
          <t>Data Entry Cell, Other Affordable #4 Housing Rent Limit, 0 Bedroom</t>
        </r>
      </text>
    </comment>
    <comment ref="D143" authorId="0" shapeId="0" xr:uid="{00000000-0006-0000-0200-000084000000}">
      <text>
        <r>
          <rPr>
            <b/>
            <sz val="10"/>
            <color indexed="81"/>
            <rFont val="Tahoma"/>
            <family val="2"/>
          </rPr>
          <t>Data Entry Cell, Other Affordable #4 Housing Rent Limit, 1 Bedroom</t>
        </r>
      </text>
    </comment>
    <comment ref="E143" authorId="0" shapeId="0" xr:uid="{00000000-0006-0000-0200-000085000000}">
      <text>
        <r>
          <rPr>
            <b/>
            <sz val="10"/>
            <color indexed="81"/>
            <rFont val="Tahoma"/>
            <family val="2"/>
          </rPr>
          <t>Data Entry Cell, Other Affordable #4 Housing Rent Limit, 2 Bedroom</t>
        </r>
      </text>
    </comment>
    <comment ref="F143" authorId="0" shapeId="0" xr:uid="{00000000-0006-0000-0200-000086000000}">
      <text>
        <r>
          <rPr>
            <b/>
            <sz val="10"/>
            <color indexed="81"/>
            <rFont val="Tahoma"/>
            <family val="2"/>
          </rPr>
          <t>Data Entry Cell, Other Affordable #4 Housing Rent Limit, 3 Bedroom</t>
        </r>
      </text>
    </comment>
    <comment ref="G143" authorId="0" shapeId="0" xr:uid="{00000000-0006-0000-0200-000087000000}">
      <text>
        <r>
          <rPr>
            <b/>
            <sz val="10"/>
            <color indexed="81"/>
            <rFont val="Tahoma"/>
            <family val="2"/>
          </rPr>
          <t>Data Entry Cell, Other Affordable #4 Housing Rent Limit, 4 Bedroom</t>
        </r>
      </text>
    </comment>
    <comment ref="H143" authorId="0" shapeId="0" xr:uid="{00000000-0006-0000-0200-000088000000}">
      <text>
        <r>
          <rPr>
            <b/>
            <sz val="10"/>
            <color indexed="81"/>
            <rFont val="Tahoma"/>
            <family val="2"/>
          </rPr>
          <t>Data Entry Cell, Other Affordable #4 Housing Rent Limit, 5 Bedroom</t>
        </r>
      </text>
    </comment>
    <comment ref="C147" authorId="0" shapeId="0" xr:uid="{00000000-0006-0000-0200-000089000000}">
      <text>
        <r>
          <rPr>
            <b/>
            <sz val="10"/>
            <color indexed="81"/>
            <rFont val="Tahoma"/>
            <family val="2"/>
          </rPr>
          <t>Data Entry Cell,
Other Affordable #4 HOME Utility Allowance, 
0 Bedroom</t>
        </r>
      </text>
    </comment>
    <comment ref="D147" authorId="0" shapeId="0" xr:uid="{00000000-0006-0000-0200-00008A000000}">
      <text>
        <r>
          <rPr>
            <b/>
            <sz val="10"/>
            <color indexed="81"/>
            <rFont val="Tahoma"/>
            <family val="2"/>
          </rPr>
          <t>Data Entry Cell,
Other Affordable #4 HOME Utility Allowance, 
1 Bedroom</t>
        </r>
      </text>
    </comment>
    <comment ref="E147" authorId="0" shapeId="0" xr:uid="{00000000-0006-0000-0200-00008B000000}">
      <text>
        <r>
          <rPr>
            <b/>
            <sz val="10"/>
            <color indexed="81"/>
            <rFont val="Tahoma"/>
            <family val="2"/>
          </rPr>
          <t>Data Entry Cell,
Other Affordable #4 HOME Utility Allowance, 
2 Bedroom</t>
        </r>
      </text>
    </comment>
    <comment ref="F147" authorId="0" shapeId="0" xr:uid="{00000000-0006-0000-0200-00008C000000}">
      <text>
        <r>
          <rPr>
            <b/>
            <sz val="10"/>
            <color indexed="81"/>
            <rFont val="Tahoma"/>
            <family val="2"/>
          </rPr>
          <t>Data Entry Cell,
Other Affordable #4 HOME Utility Allowance, 
3 Bedroom</t>
        </r>
      </text>
    </comment>
    <comment ref="G147" authorId="0" shapeId="0" xr:uid="{00000000-0006-0000-0200-00008D000000}">
      <text>
        <r>
          <rPr>
            <b/>
            <sz val="10"/>
            <color indexed="81"/>
            <rFont val="Tahoma"/>
            <family val="2"/>
          </rPr>
          <t>Data Entry Cell,
Other Afforable #4 HOME Utility Allowance, 
4 Bedroom</t>
        </r>
      </text>
    </comment>
    <comment ref="H147" authorId="0" shapeId="0" xr:uid="{00000000-0006-0000-0200-00008E000000}">
      <text>
        <r>
          <rPr>
            <b/>
            <sz val="10"/>
            <color indexed="81"/>
            <rFont val="Tahoma"/>
            <family val="2"/>
          </rPr>
          <t>Data Entry Cell,
Other Affordable #4 HOME Utility Allowance, 
5 Bedroom</t>
        </r>
      </text>
    </comment>
    <comment ref="C149" authorId="0" shapeId="0" xr:uid="{00000000-0006-0000-0200-00008F000000}">
      <text>
        <r>
          <rPr>
            <b/>
            <sz val="10"/>
            <color indexed="81"/>
            <rFont val="Tahoma"/>
            <family val="2"/>
          </rPr>
          <t>Data Entry Cell, Comment on Other Affordable Housing Program #4</t>
        </r>
      </text>
    </comment>
    <comment ref="F153" authorId="0" shapeId="0" xr:uid="{00000000-0006-0000-0200-000090000000}">
      <text>
        <r>
          <rPr>
            <b/>
            <sz val="10"/>
            <color indexed="81"/>
            <rFont val="Tahoma"/>
            <family val="2"/>
          </rPr>
          <t>Data Entry Cell, Other Affordable Housing Program Name (#4)</t>
        </r>
      </text>
    </comment>
    <comment ref="C157" authorId="0" shapeId="0" xr:uid="{00000000-0006-0000-0200-000091000000}">
      <text>
        <r>
          <rPr>
            <b/>
            <sz val="10"/>
            <color indexed="81"/>
            <rFont val="Tahoma"/>
            <family val="2"/>
          </rPr>
          <t>Data Entry Cell, Other Affordable #4 Housing Rent Limit, 0 Bedroom</t>
        </r>
      </text>
    </comment>
    <comment ref="D157" authorId="0" shapeId="0" xr:uid="{00000000-0006-0000-0200-000092000000}">
      <text>
        <r>
          <rPr>
            <b/>
            <sz val="10"/>
            <color indexed="81"/>
            <rFont val="Tahoma"/>
            <family val="2"/>
          </rPr>
          <t>Data Entry Cell, Other Affordable #4 Housing Rent Limit, 1 Bedroom</t>
        </r>
      </text>
    </comment>
    <comment ref="E157" authorId="0" shapeId="0" xr:uid="{00000000-0006-0000-0200-000093000000}">
      <text>
        <r>
          <rPr>
            <b/>
            <sz val="10"/>
            <color indexed="81"/>
            <rFont val="Tahoma"/>
            <family val="2"/>
          </rPr>
          <t>Data Entry Cell, Other Affordable #4 Housing Rent Limit, 2 Bedroom</t>
        </r>
      </text>
    </comment>
    <comment ref="F157" authorId="0" shapeId="0" xr:uid="{00000000-0006-0000-0200-000094000000}">
      <text>
        <r>
          <rPr>
            <b/>
            <sz val="10"/>
            <color indexed="81"/>
            <rFont val="Tahoma"/>
            <family val="2"/>
          </rPr>
          <t>Data Entry Cell, Other Affordable #4 Housing Rent Limit, 3 Bedroom</t>
        </r>
      </text>
    </comment>
    <comment ref="G157" authorId="0" shapeId="0" xr:uid="{00000000-0006-0000-0200-000095000000}">
      <text>
        <r>
          <rPr>
            <b/>
            <sz val="10"/>
            <color indexed="81"/>
            <rFont val="Tahoma"/>
            <family val="2"/>
          </rPr>
          <t>Data Entry Cell, Other Affordable #4 Housing Rent Limit, 4 Bedroom</t>
        </r>
      </text>
    </comment>
    <comment ref="H157" authorId="0" shapeId="0" xr:uid="{00000000-0006-0000-0200-000096000000}">
      <text>
        <r>
          <rPr>
            <b/>
            <sz val="10"/>
            <color indexed="81"/>
            <rFont val="Tahoma"/>
            <family val="2"/>
          </rPr>
          <t>Data Entry Cell, Other Affordable #4 Housing Rent Limit, 5 Bedroom</t>
        </r>
      </text>
    </comment>
    <comment ref="C161" authorId="0" shapeId="0" xr:uid="{00000000-0006-0000-0200-000097000000}">
      <text>
        <r>
          <rPr>
            <b/>
            <sz val="10"/>
            <color indexed="81"/>
            <rFont val="Tahoma"/>
            <family val="2"/>
          </rPr>
          <t>Data Entry Cell,
Other Affordable #4 HOME Utility Allowance, 
0 Bedroom</t>
        </r>
      </text>
    </comment>
    <comment ref="D161" authorId="0" shapeId="0" xr:uid="{00000000-0006-0000-0200-000098000000}">
      <text>
        <r>
          <rPr>
            <b/>
            <sz val="10"/>
            <color indexed="81"/>
            <rFont val="Tahoma"/>
            <family val="2"/>
          </rPr>
          <t>Data Entry Cell,
Other Affordable #4 HOME Utility Allowance, 
1 Bedroom</t>
        </r>
      </text>
    </comment>
    <comment ref="E161" authorId="0" shapeId="0" xr:uid="{00000000-0006-0000-0200-000099000000}">
      <text>
        <r>
          <rPr>
            <b/>
            <sz val="10"/>
            <color indexed="81"/>
            <rFont val="Tahoma"/>
            <family val="2"/>
          </rPr>
          <t>Data Entry Cell,
Other Affordable #4 HOME Utility Allowance, 
2 Bedroom</t>
        </r>
      </text>
    </comment>
    <comment ref="F161" authorId="0" shapeId="0" xr:uid="{00000000-0006-0000-0200-00009A000000}">
      <text>
        <r>
          <rPr>
            <b/>
            <sz val="10"/>
            <color indexed="81"/>
            <rFont val="Tahoma"/>
            <family val="2"/>
          </rPr>
          <t>Data Entry Cell,
Other Affordable #4 HOME Utility Allowance, 
3 Bedroom</t>
        </r>
      </text>
    </comment>
    <comment ref="G161" authorId="0" shapeId="0" xr:uid="{00000000-0006-0000-0200-00009B000000}">
      <text>
        <r>
          <rPr>
            <b/>
            <sz val="10"/>
            <color indexed="81"/>
            <rFont val="Tahoma"/>
            <family val="2"/>
          </rPr>
          <t>Data Entry Cell,
Other Afforable #4 HOME Utility Allowance, 
4 Bedroom</t>
        </r>
      </text>
    </comment>
    <comment ref="H161" authorId="0" shapeId="0" xr:uid="{00000000-0006-0000-0200-00009C000000}">
      <text>
        <r>
          <rPr>
            <b/>
            <sz val="10"/>
            <color indexed="81"/>
            <rFont val="Tahoma"/>
            <family val="2"/>
          </rPr>
          <t>Data Entry Cell,
Other Affordable #4 HOME Utility Allowance, 
5 Bedroom</t>
        </r>
      </text>
    </comment>
    <comment ref="C163" authorId="0" shapeId="0" xr:uid="{00000000-0006-0000-0200-00009D000000}">
      <text>
        <r>
          <rPr>
            <b/>
            <sz val="10"/>
            <color indexed="81"/>
            <rFont val="Tahoma"/>
            <family val="2"/>
          </rPr>
          <t>Data Entry Cell, Comment on Other Affordable Housing Program #4</t>
        </r>
      </text>
    </comment>
    <comment ref="C167" authorId="0" shapeId="0" xr:uid="{00000000-0006-0000-0200-00009E000000}">
      <text>
        <r>
          <rPr>
            <b/>
            <sz val="10"/>
            <color indexed="81"/>
            <rFont val="Tahoma"/>
            <family val="2"/>
          </rPr>
          <t>Data Entry Cell, Comment on WHAT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Charlie Wilkins</author>
    <author>ICF</author>
  </authors>
  <commentList>
    <comment ref="A1" authorId="0" shapeId="0" xr:uid="{00000000-0006-0000-0300-000001000000}">
      <text>
        <r>
          <rPr>
            <b/>
            <sz val="8"/>
            <color indexed="81"/>
            <rFont val="Tahoma"/>
            <family val="2"/>
          </rPr>
          <t>The income of a project depends primarily on the rents it collects.  The Rents and Income tab of the Template requires information regarding unit characteristics, unit mix, and rents in order to calculate project revenues.  The information you supply in the Rents and Income tab is also used to calculate project income and other important information in subsequent tabs of the Template, so it is necessary to complete Rents and Income before moving forward.</t>
        </r>
        <r>
          <rPr>
            <sz val="8"/>
            <color indexed="81"/>
            <rFont val="Tahoma"/>
            <family val="2"/>
          </rPr>
          <t xml:space="preserve">
</t>
        </r>
      </text>
    </comment>
    <comment ref="C5" authorId="0" shapeId="0" xr:uid="{00000000-0006-0000-0300-000002000000}">
      <text>
        <r>
          <rPr>
            <b/>
            <sz val="8"/>
            <color indexed="81"/>
            <rFont val="Tahoma"/>
            <family val="2"/>
          </rPr>
          <t>The unit description below will populate once you have entered information in that row, in columns L through Q.</t>
        </r>
      </text>
    </comment>
    <comment ref="D5" authorId="0" shapeId="0" xr:uid="{00000000-0006-0000-0300-000003000000}">
      <text>
        <r>
          <rPr>
            <b/>
            <sz val="8"/>
            <color indexed="81"/>
            <rFont val="Tahoma"/>
            <family val="2"/>
          </rPr>
          <t>The description below will populate once you have entered information in that row, in columns L through Q.</t>
        </r>
      </text>
    </comment>
    <comment ref="E5" authorId="0" shapeId="0" xr:uid="{00000000-0006-0000-0300-000004000000}">
      <text>
        <r>
          <rPr>
            <b/>
            <sz val="8"/>
            <color indexed="81"/>
            <rFont val="Tahoma"/>
            <family val="2"/>
          </rPr>
          <t xml:space="preserve">Enter the number of units for each unit type in this column.  </t>
        </r>
        <r>
          <rPr>
            <sz val="8"/>
            <color indexed="81"/>
            <rFont val="Tahoma"/>
            <family val="2"/>
          </rPr>
          <t xml:space="preserve">
</t>
        </r>
      </text>
    </comment>
    <comment ref="F5" authorId="0" shapeId="0" xr:uid="{00000000-0006-0000-0300-000005000000}">
      <text>
        <r>
          <rPr>
            <b/>
            <sz val="8"/>
            <color indexed="81"/>
            <rFont val="Tahoma"/>
            <family val="2"/>
          </rPr>
          <t xml:space="preserve">Enter the average number of square feet for each unit type in this column.  </t>
        </r>
        <r>
          <rPr>
            <sz val="8"/>
            <color indexed="81"/>
            <rFont val="Tahoma"/>
            <family val="2"/>
          </rPr>
          <t xml:space="preserve">
</t>
        </r>
      </text>
    </comment>
    <comment ref="G5" authorId="0" shapeId="0" xr:uid="{00000000-0006-0000-0300-000006000000}">
      <text>
        <r>
          <rPr>
            <b/>
            <sz val="8"/>
            <color indexed="81"/>
            <rFont val="Tahoma"/>
            <family val="2"/>
          </rPr>
          <t>This column displays the gross rent (rent plus tenant-paid utilities) that you chose to underwrite (see columns Q and R),  multiplied by the percentage you selected in Column S.</t>
        </r>
        <r>
          <rPr>
            <sz val="8"/>
            <color indexed="81"/>
            <rFont val="Tahoma"/>
            <family val="2"/>
          </rPr>
          <t xml:space="preserve">
</t>
        </r>
      </text>
    </comment>
    <comment ref="H5" authorId="0" shapeId="0" xr:uid="{00000000-0006-0000-0300-000007000000}">
      <text>
        <r>
          <rPr>
            <b/>
            <sz val="8"/>
            <color indexed="81"/>
            <rFont val="Tahoma"/>
            <family val="2"/>
          </rPr>
          <t>This column displays the utility allowance that you chose to underwrite (see columns T and U).</t>
        </r>
        <r>
          <rPr>
            <sz val="8"/>
            <color indexed="81"/>
            <rFont val="Tahoma"/>
            <family val="2"/>
          </rPr>
          <t xml:space="preserve">
</t>
        </r>
      </text>
    </comment>
    <comment ref="J5" authorId="0" shapeId="0" xr:uid="{00000000-0006-0000-0300-000008000000}">
      <text>
        <r>
          <rPr>
            <b/>
            <sz val="8"/>
            <color indexed="81"/>
            <rFont val="Tahoma"/>
            <family val="2"/>
          </rPr>
          <t xml:space="preserve">This column checks whether the Gross Rent is within the rent limits you provided for HOME-assisted and Other Affordable units.    </t>
        </r>
        <r>
          <rPr>
            <sz val="8"/>
            <color indexed="81"/>
            <rFont val="Tahoma"/>
            <family val="2"/>
          </rPr>
          <t xml:space="preserve">
</t>
        </r>
      </text>
    </comment>
    <comment ref="R5" authorId="0" shapeId="0" xr:uid="{00000000-0006-0000-0300-000009000000}">
      <text>
        <r>
          <rPr>
            <b/>
            <sz val="8"/>
            <color indexed="81"/>
            <rFont val="Tahoma"/>
            <family val="2"/>
          </rPr>
          <t>Use this column to indicate which rent should be underwritten.  Generally this will be the most restrictive rent (the lowest of the subsidy program rents and market rents).  An exception is units with project-based Section 8, which the HOME program allows to collect the full Section 8 rent even if that rent is above the HOME limits.</t>
        </r>
        <r>
          <rPr>
            <sz val="8"/>
            <color indexed="81"/>
            <rFont val="Tahoma"/>
            <family val="2"/>
          </rPr>
          <t xml:space="preserve">
</t>
        </r>
      </text>
    </comment>
    <comment ref="T5" authorId="0" shapeId="0" xr:uid="{00000000-0006-0000-0300-00000A000000}">
      <text>
        <r>
          <rPr>
            <b/>
            <sz val="8"/>
            <color indexed="81"/>
            <rFont val="Tahoma"/>
            <family val="2"/>
          </rPr>
          <t>Use this column if you want to be more conservative (safer) in your underwriting and underwrite a rent that is below the maximum.  If so, enter a percentage below 100% in the first row, and this percentage will repeat in the remaining rows.  You may also enter different percentages in each row.</t>
        </r>
      </text>
    </comment>
    <comment ref="U5" authorId="0" shapeId="0" xr:uid="{00000000-0006-0000-0300-00000B000000}">
      <text>
        <r>
          <rPr>
            <b/>
            <sz val="8"/>
            <color indexed="81"/>
            <rFont val="Tahoma"/>
            <family val="2"/>
          </rPr>
          <t>Use this column to indicate which utility allowance is applicable to each unit type.  
For units that will be underwritten at market rents, select 'Market'.</t>
        </r>
        <r>
          <rPr>
            <sz val="8"/>
            <color indexed="81"/>
            <rFont val="Tahoma"/>
            <family val="2"/>
          </rPr>
          <t xml:space="preserve">
</t>
        </r>
      </text>
    </comment>
    <comment ref="A6" authorId="0" shapeId="0" xr:uid="{00000000-0006-0000-0300-00000C000000}">
      <text>
        <r>
          <rPr>
            <b/>
            <sz val="8"/>
            <color indexed="81"/>
            <rFont val="Tahoma"/>
            <family val="2"/>
          </rPr>
          <t xml:space="preserve">Use this section to indicate the various types of units in the project, and to associate each unit type with its affordability characteristics, its maximum rents, and its utility allowance.
Column L is the number of bedrooms for this unit type.  If, for example, there are multiple types of one-bedroom units, use one row for each.
Use "Yes" in columns M or N to indicate HOME-assisted units.  If a unit type has multiple subsidies </t>
        </r>
        <r>
          <rPr>
            <b/>
            <u/>
            <sz val="8"/>
            <color indexed="81"/>
            <rFont val="Tahoma"/>
            <family val="2"/>
          </rPr>
          <t>including</t>
        </r>
        <r>
          <rPr>
            <b/>
            <sz val="8"/>
            <color indexed="81"/>
            <rFont val="Tahoma"/>
            <family val="2"/>
          </rPr>
          <t xml:space="preserve"> HOME, select Yes in the appropriate column (Low HOME or High HOME) so that the units are counted toward total HOME-assisted units, and enter "Yes" also in column O and/or P as appropriate.
Use "Yes" in column O to indicate a unit type whose rents are not restricted.</t>
        </r>
        <r>
          <rPr>
            <sz val="8"/>
            <color indexed="81"/>
            <rFont val="Tahoma"/>
            <family val="2"/>
          </rPr>
          <t xml:space="preserve">
</t>
        </r>
        <r>
          <rPr>
            <b/>
            <sz val="8"/>
            <color indexed="81"/>
            <rFont val="Tahoma"/>
            <family val="2"/>
          </rPr>
          <t xml:space="preserve">Use "Yes" in column P to indicate a unit type that has Low Income Housing Tax Credits (LIHTCs).  If the unit type has both HOME and LIHTC subsidies, enter "Yes" in column P </t>
        </r>
        <r>
          <rPr>
            <b/>
            <u/>
            <sz val="8"/>
            <color indexed="81"/>
            <rFont val="Tahoma"/>
            <family val="2"/>
          </rPr>
          <t>and</t>
        </r>
        <r>
          <rPr>
            <b/>
            <sz val="8"/>
            <color indexed="81"/>
            <rFont val="Tahoma"/>
            <family val="2"/>
          </rPr>
          <t xml:space="preserve"> in column M or N.
Use "Yes" in column Q to indicate a unit type that is subject to CDBG rent and income limits.  If the unit type has some combination of HOME, CDBG, and/or LIHTC subsidies, enter "Yes" in column Q and in columns M or N and/or P, as appropriate.</t>
        </r>
      </text>
    </comment>
    <comment ref="E7" authorId="1" shapeId="0" xr:uid="{00000000-0006-0000-0300-00000D000000}">
      <text>
        <r>
          <rPr>
            <b/>
            <sz val="10"/>
            <color indexed="81"/>
            <rFont val="Tahoma"/>
            <family val="2"/>
          </rPr>
          <t>Data Entry Cell, Number of Units for type described in column C (at left)</t>
        </r>
      </text>
    </comment>
    <comment ref="F7" authorId="1" shapeId="0" xr:uid="{00000000-0006-0000-0300-00000E000000}">
      <text>
        <r>
          <rPr>
            <b/>
            <sz val="10"/>
            <color indexed="81"/>
            <rFont val="Tahoma"/>
            <family val="2"/>
          </rPr>
          <t>Data Entry Cell, Sq. Footage per Unit type described in column C (at left)</t>
        </r>
      </text>
    </comment>
    <comment ref="L7" authorId="0" shapeId="0" xr:uid="{00000000-0006-0000-0300-00000F000000}">
      <text>
        <r>
          <rPr>
            <b/>
            <sz val="10"/>
            <color indexed="81"/>
            <rFont val="Verdana"/>
            <family val="2"/>
          </rPr>
          <t>Data Entry Cell, Number of Bedrooms for type identified in column C</t>
        </r>
      </text>
    </comment>
    <comment ref="M7" authorId="0" shapeId="0" xr:uid="{00000000-0006-0000-0300-000010000000}">
      <text>
        <r>
          <rPr>
            <b/>
            <sz val="10"/>
            <color indexed="81"/>
            <rFont val="Verdana"/>
            <family val="2"/>
          </rPr>
          <t>Data Entry Cell, Low HOME? Yes/No for unit type identified in column C</t>
        </r>
      </text>
    </comment>
    <comment ref="N7" authorId="0" shapeId="0" xr:uid="{00000000-0006-0000-0300-000011000000}">
      <text>
        <r>
          <rPr>
            <b/>
            <sz val="10"/>
            <color indexed="81"/>
            <rFont val="Verdana"/>
            <family val="2"/>
          </rPr>
          <t>Data Entry Cell, High HOME? Yes/No for unit type identified in column C</t>
        </r>
      </text>
    </comment>
    <comment ref="O7" authorId="0" shapeId="0" xr:uid="{00000000-0006-0000-0300-000012000000}">
      <text>
        <r>
          <rPr>
            <b/>
            <sz val="10"/>
            <color indexed="81"/>
            <rFont val="Verdana"/>
            <family val="2"/>
          </rPr>
          <t>Data Entry Cell, Market Rate? Yes/No for unit type identified in column C</t>
        </r>
      </text>
    </comment>
    <comment ref="P7" authorId="0" shapeId="0" xr:uid="{00000000-0006-0000-0300-000013000000}">
      <text>
        <r>
          <rPr>
            <b/>
            <sz val="10"/>
            <color indexed="81"/>
            <rFont val="Verdana"/>
            <family val="2"/>
          </rPr>
          <t>Data Entry Cell, LIHTC? Yes/No for unit type identified in column C</t>
        </r>
      </text>
    </comment>
    <comment ref="Q7" authorId="0" shapeId="0" xr:uid="{00000000-0006-0000-0300-000014000000}">
      <text>
        <r>
          <rPr>
            <b/>
            <sz val="10"/>
            <color indexed="81"/>
            <rFont val="Verdana"/>
            <family val="2"/>
          </rPr>
          <t>Data Entry Cell, CDBG? Yes/No for unit type identified in column C</t>
        </r>
      </text>
    </comment>
    <comment ref="R7" authorId="0" shapeId="0" xr:uid="{00000000-0006-0000-0300-000015000000}">
      <text>
        <r>
          <rPr>
            <b/>
            <sz val="10"/>
            <color indexed="81"/>
            <rFont val="Verdana"/>
            <family val="2"/>
          </rPr>
          <t>Data Entry Cell, Which Rent Should be Underwritten? for unit type identified in column C</t>
        </r>
      </text>
    </comment>
    <comment ref="T7" authorId="0" shapeId="0" xr:uid="{00000000-0006-0000-0300-000016000000}">
      <text>
        <r>
          <rPr>
            <b/>
            <sz val="10"/>
            <color indexed="81"/>
            <rFont val="Verdana"/>
            <family val="2"/>
          </rPr>
          <t>Data Entry Cell, Which % of Max Rents is to be Underwritten? for unit type identified in column C</t>
        </r>
      </text>
    </comment>
    <comment ref="U7" authorId="0" shapeId="0" xr:uid="{00000000-0006-0000-0300-000017000000}">
      <text>
        <r>
          <rPr>
            <b/>
            <sz val="10"/>
            <color indexed="81"/>
            <rFont val="Verdana"/>
            <family val="2"/>
          </rPr>
          <t>Data Entry Cell, Which Utility Allowance is to be Underwritten? for unit type identified in column C</t>
        </r>
      </text>
    </comment>
    <comment ref="E8" authorId="1" shapeId="0" xr:uid="{00000000-0006-0000-0300-000018000000}">
      <text>
        <r>
          <rPr>
            <b/>
            <sz val="10"/>
            <color indexed="81"/>
            <rFont val="Tahoma"/>
            <family val="2"/>
          </rPr>
          <t>Data Entry Cell, Number of Units for type described in column C (at left)</t>
        </r>
      </text>
    </comment>
    <comment ref="F8" authorId="1" shapeId="0" xr:uid="{00000000-0006-0000-0300-000019000000}">
      <text>
        <r>
          <rPr>
            <b/>
            <sz val="10"/>
            <color indexed="81"/>
            <rFont val="Tahoma"/>
            <family val="2"/>
          </rPr>
          <t>Data Entry Cell, Sq. Footage per Unit type described in column C (at left)</t>
        </r>
      </text>
    </comment>
    <comment ref="L8" authorId="0" shapeId="0" xr:uid="{00000000-0006-0000-0300-00001A000000}">
      <text>
        <r>
          <rPr>
            <b/>
            <sz val="10"/>
            <color indexed="81"/>
            <rFont val="Verdana"/>
            <family val="2"/>
          </rPr>
          <t>Data Entry Cell, Number of Bedrooms for type identified in column C</t>
        </r>
      </text>
    </comment>
    <comment ref="M8" authorId="0" shapeId="0" xr:uid="{00000000-0006-0000-0300-00001B000000}">
      <text>
        <r>
          <rPr>
            <b/>
            <sz val="10"/>
            <color indexed="81"/>
            <rFont val="Verdana"/>
            <family val="2"/>
          </rPr>
          <t>Data Entry Cell, Low HOME? Yes/No for unit type identified in column C</t>
        </r>
      </text>
    </comment>
    <comment ref="N8" authorId="0" shapeId="0" xr:uid="{00000000-0006-0000-0300-00001C000000}">
      <text>
        <r>
          <rPr>
            <b/>
            <sz val="10"/>
            <color indexed="81"/>
            <rFont val="Verdana"/>
            <family val="2"/>
          </rPr>
          <t>Data Entry Cell, High HOME? Yes/No for unit type identified in column C</t>
        </r>
      </text>
    </comment>
    <comment ref="O8" authorId="0" shapeId="0" xr:uid="{00000000-0006-0000-0300-00001D000000}">
      <text>
        <r>
          <rPr>
            <b/>
            <sz val="10"/>
            <color indexed="81"/>
            <rFont val="Verdana"/>
            <family val="2"/>
          </rPr>
          <t>Data Entry Cell, Market Rate? Yes/No for unit type identified in column C</t>
        </r>
      </text>
    </comment>
    <comment ref="P8" authorId="0" shapeId="0" xr:uid="{00000000-0006-0000-0300-00001E000000}">
      <text>
        <r>
          <rPr>
            <b/>
            <sz val="10"/>
            <color indexed="81"/>
            <rFont val="Verdana"/>
            <family val="2"/>
          </rPr>
          <t>Data Entry Cell, LIHTC? Yes/No for unit type identified in column C</t>
        </r>
      </text>
    </comment>
    <comment ref="Q8" authorId="0" shapeId="0" xr:uid="{00000000-0006-0000-0300-00001F000000}">
      <text>
        <r>
          <rPr>
            <b/>
            <sz val="10"/>
            <color indexed="81"/>
            <rFont val="Verdana"/>
            <family val="2"/>
          </rPr>
          <t>Data Entry Cell, CDBG? Yes/No for unit type identified in column C</t>
        </r>
      </text>
    </comment>
    <comment ref="R8" authorId="0" shapeId="0" xr:uid="{00000000-0006-0000-0300-000020000000}">
      <text>
        <r>
          <rPr>
            <b/>
            <sz val="10"/>
            <color indexed="81"/>
            <rFont val="Verdana"/>
            <family val="2"/>
          </rPr>
          <t>Data Entry Cell, Which Rent Should be Underwritten? for unit type identified in column C</t>
        </r>
      </text>
    </comment>
    <comment ref="T8" authorId="0" shapeId="0" xr:uid="{00000000-0006-0000-0300-000021000000}">
      <text>
        <r>
          <rPr>
            <b/>
            <sz val="10"/>
            <color indexed="81"/>
            <rFont val="Verdana"/>
            <family val="2"/>
          </rPr>
          <t>Data Entry Cell, Which % of Max Rents is to be Underwritten? for unit type identified in column C</t>
        </r>
      </text>
    </comment>
    <comment ref="U8" authorId="0" shapeId="0" xr:uid="{00000000-0006-0000-0300-000022000000}">
      <text>
        <r>
          <rPr>
            <b/>
            <sz val="10"/>
            <color indexed="81"/>
            <rFont val="Verdana"/>
            <family val="2"/>
          </rPr>
          <t>Data Entry Cell, Which Utility Allowance is to be Underwritten? for unit type identified in column C</t>
        </r>
      </text>
    </comment>
    <comment ref="E9" authorId="1" shapeId="0" xr:uid="{00000000-0006-0000-0300-000023000000}">
      <text>
        <r>
          <rPr>
            <b/>
            <sz val="10"/>
            <color indexed="81"/>
            <rFont val="Tahoma"/>
            <family val="2"/>
          </rPr>
          <t>Data Entry Cell, Number of Units for type described in column C (at left)</t>
        </r>
      </text>
    </comment>
    <comment ref="F9" authorId="1" shapeId="0" xr:uid="{00000000-0006-0000-0300-000024000000}">
      <text>
        <r>
          <rPr>
            <b/>
            <sz val="10"/>
            <color indexed="81"/>
            <rFont val="Tahoma"/>
            <family val="2"/>
          </rPr>
          <t>Data Entry Cell, Sq. Footage per Unit type described in column C (at left)</t>
        </r>
      </text>
    </comment>
    <comment ref="L9" authorId="0" shapeId="0" xr:uid="{00000000-0006-0000-0300-000025000000}">
      <text>
        <r>
          <rPr>
            <b/>
            <sz val="10"/>
            <color indexed="81"/>
            <rFont val="Verdana"/>
            <family val="2"/>
          </rPr>
          <t>Data Entry Cell, Number of Bedrooms for type identified in column C</t>
        </r>
      </text>
    </comment>
    <comment ref="M9" authorId="0" shapeId="0" xr:uid="{00000000-0006-0000-0300-000026000000}">
      <text>
        <r>
          <rPr>
            <b/>
            <sz val="10"/>
            <color indexed="81"/>
            <rFont val="Verdana"/>
            <family val="2"/>
          </rPr>
          <t>Data Entry Cell, Low HOME? Yes/No for unit type identified in column C</t>
        </r>
      </text>
    </comment>
    <comment ref="N9" authorId="0" shapeId="0" xr:uid="{00000000-0006-0000-0300-000027000000}">
      <text>
        <r>
          <rPr>
            <b/>
            <sz val="10"/>
            <color indexed="81"/>
            <rFont val="Verdana"/>
            <family val="2"/>
          </rPr>
          <t>Data Entry Cell, High HOME? Yes/No for unit type identified in column C</t>
        </r>
      </text>
    </comment>
    <comment ref="O9" authorId="0" shapeId="0" xr:uid="{00000000-0006-0000-0300-000028000000}">
      <text>
        <r>
          <rPr>
            <b/>
            <sz val="10"/>
            <color indexed="81"/>
            <rFont val="Verdana"/>
            <family val="2"/>
          </rPr>
          <t>Data Entry Cell, Market Rate? Yes/No for unit type identified in column C</t>
        </r>
      </text>
    </comment>
    <comment ref="P9" authorId="0" shapeId="0" xr:uid="{00000000-0006-0000-0300-000029000000}">
      <text>
        <r>
          <rPr>
            <b/>
            <sz val="10"/>
            <color indexed="81"/>
            <rFont val="Verdana"/>
            <family val="2"/>
          </rPr>
          <t>Data Entry Cell, LIHTC? Yes/No for unit type identified in column C</t>
        </r>
      </text>
    </comment>
    <comment ref="Q9" authorId="0" shapeId="0" xr:uid="{00000000-0006-0000-0300-00002A000000}">
      <text>
        <r>
          <rPr>
            <b/>
            <sz val="10"/>
            <color indexed="81"/>
            <rFont val="Verdana"/>
            <family val="2"/>
          </rPr>
          <t>Data Entry Cell, CDBG? Yes/No for unit type identified in column C</t>
        </r>
      </text>
    </comment>
    <comment ref="R9" authorId="0" shapeId="0" xr:uid="{00000000-0006-0000-0300-00002B000000}">
      <text>
        <r>
          <rPr>
            <b/>
            <sz val="10"/>
            <color indexed="81"/>
            <rFont val="Verdana"/>
            <family val="2"/>
          </rPr>
          <t>Data Entry Cell, Which Rent Should be Underwritten? for unit type identified in column C</t>
        </r>
      </text>
    </comment>
    <comment ref="T9" authorId="0" shapeId="0" xr:uid="{00000000-0006-0000-0300-00002C000000}">
      <text>
        <r>
          <rPr>
            <b/>
            <sz val="10"/>
            <color indexed="81"/>
            <rFont val="Verdana"/>
            <family val="2"/>
          </rPr>
          <t>Data Entry Cell, Which % of Max Rents is to be Underwritten? for unit type identified in column C</t>
        </r>
      </text>
    </comment>
    <comment ref="U9" authorId="0" shapeId="0" xr:uid="{00000000-0006-0000-0300-00002D000000}">
      <text>
        <r>
          <rPr>
            <b/>
            <sz val="10"/>
            <color indexed="81"/>
            <rFont val="Verdana"/>
            <family val="2"/>
          </rPr>
          <t>Data Entry Cell, Which Utility Allowance is to be Underwritten? for unit type identified in column C</t>
        </r>
      </text>
    </comment>
    <comment ref="E10" authorId="1" shapeId="0" xr:uid="{00000000-0006-0000-0300-00002E000000}">
      <text>
        <r>
          <rPr>
            <b/>
            <sz val="10"/>
            <color indexed="81"/>
            <rFont val="Tahoma"/>
            <family val="2"/>
          </rPr>
          <t>Data Entry Cell, Number of Units for type described in column C (at left)</t>
        </r>
      </text>
    </comment>
    <comment ref="F10" authorId="1" shapeId="0" xr:uid="{00000000-0006-0000-0300-00002F000000}">
      <text>
        <r>
          <rPr>
            <b/>
            <sz val="10"/>
            <color indexed="81"/>
            <rFont val="Tahoma"/>
            <family val="2"/>
          </rPr>
          <t>Data Entry Cell, Sq. Footage per Unit type described in column C (at left)</t>
        </r>
      </text>
    </comment>
    <comment ref="L10" authorId="0" shapeId="0" xr:uid="{00000000-0006-0000-0300-000030000000}">
      <text>
        <r>
          <rPr>
            <b/>
            <sz val="10"/>
            <color indexed="81"/>
            <rFont val="Verdana"/>
            <family val="2"/>
          </rPr>
          <t>Data Entry Cell, Number of Bedrooms for type identified in column C</t>
        </r>
      </text>
    </comment>
    <comment ref="M10" authorId="0" shapeId="0" xr:uid="{00000000-0006-0000-0300-000031000000}">
      <text>
        <r>
          <rPr>
            <b/>
            <sz val="10"/>
            <color indexed="81"/>
            <rFont val="Verdana"/>
            <family val="2"/>
          </rPr>
          <t>Data Entry Cell, Low HOME? Yes/No for unit type identified in column C</t>
        </r>
      </text>
    </comment>
    <comment ref="N10" authorId="0" shapeId="0" xr:uid="{00000000-0006-0000-0300-000032000000}">
      <text>
        <r>
          <rPr>
            <b/>
            <sz val="10"/>
            <color indexed="81"/>
            <rFont val="Verdana"/>
            <family val="2"/>
          </rPr>
          <t>Data Entry Cell, High HOME? Yes/No for unit type identified in column C</t>
        </r>
      </text>
    </comment>
    <comment ref="O10" authorId="0" shapeId="0" xr:uid="{00000000-0006-0000-0300-000033000000}">
      <text>
        <r>
          <rPr>
            <b/>
            <sz val="10"/>
            <color indexed="81"/>
            <rFont val="Verdana"/>
            <family val="2"/>
          </rPr>
          <t>Data Entry Cell, Market Rate? Yes/No for unit type identified in column C</t>
        </r>
      </text>
    </comment>
    <comment ref="P10" authorId="0" shapeId="0" xr:uid="{00000000-0006-0000-0300-000034000000}">
      <text>
        <r>
          <rPr>
            <b/>
            <sz val="10"/>
            <color indexed="81"/>
            <rFont val="Verdana"/>
            <family val="2"/>
          </rPr>
          <t>Data Entry Cell, LIHTC? Yes/No for unit type identified in column C</t>
        </r>
      </text>
    </comment>
    <comment ref="Q10" authorId="0" shapeId="0" xr:uid="{00000000-0006-0000-0300-000035000000}">
      <text>
        <r>
          <rPr>
            <b/>
            <sz val="10"/>
            <color indexed="81"/>
            <rFont val="Verdana"/>
            <family val="2"/>
          </rPr>
          <t>Data Entry Cell, CDBG? Yes/No for unit type identified in column C</t>
        </r>
      </text>
    </comment>
    <comment ref="R10" authorId="0" shapeId="0" xr:uid="{00000000-0006-0000-0300-000036000000}">
      <text>
        <r>
          <rPr>
            <b/>
            <sz val="10"/>
            <color indexed="81"/>
            <rFont val="Verdana"/>
            <family val="2"/>
          </rPr>
          <t>Data Entry Cell, Which Rent Should be Underwritten? for unit type identified in column C</t>
        </r>
      </text>
    </comment>
    <comment ref="T10" authorId="0" shapeId="0" xr:uid="{00000000-0006-0000-0300-000037000000}">
      <text>
        <r>
          <rPr>
            <b/>
            <sz val="10"/>
            <color indexed="81"/>
            <rFont val="Verdana"/>
            <family val="2"/>
          </rPr>
          <t>Data Entry Cell, Which % of Max Rents is to be Underwritten? for unit type identified in column C</t>
        </r>
      </text>
    </comment>
    <comment ref="U10" authorId="0" shapeId="0" xr:uid="{00000000-0006-0000-0300-000038000000}">
      <text>
        <r>
          <rPr>
            <b/>
            <sz val="10"/>
            <color indexed="81"/>
            <rFont val="Verdana"/>
            <family val="2"/>
          </rPr>
          <t>Data Entry Cell, Which Utility Allowance is to be Underwritten? for unit type identified in column C</t>
        </r>
      </text>
    </comment>
    <comment ref="E11" authorId="1" shapeId="0" xr:uid="{00000000-0006-0000-0300-000039000000}">
      <text>
        <r>
          <rPr>
            <b/>
            <sz val="10"/>
            <color indexed="81"/>
            <rFont val="Tahoma"/>
            <family val="2"/>
          </rPr>
          <t>Data Entry Cell, Number of Units for type described in column C (at left)</t>
        </r>
      </text>
    </comment>
    <comment ref="F11" authorId="1" shapeId="0" xr:uid="{00000000-0006-0000-0300-00003A000000}">
      <text>
        <r>
          <rPr>
            <b/>
            <sz val="10"/>
            <color indexed="81"/>
            <rFont val="Tahoma"/>
            <family val="2"/>
          </rPr>
          <t>Data Entry Cell, Sq. Footage per Unit type described in column C (at left)</t>
        </r>
      </text>
    </comment>
    <comment ref="L11" authorId="0" shapeId="0" xr:uid="{00000000-0006-0000-0300-00003B000000}">
      <text>
        <r>
          <rPr>
            <b/>
            <sz val="10"/>
            <color indexed="81"/>
            <rFont val="Verdana"/>
            <family val="2"/>
          </rPr>
          <t>Data Entry Cell, Number of Bedrooms for type identified in column C</t>
        </r>
      </text>
    </comment>
    <comment ref="M11" authorId="0" shapeId="0" xr:uid="{00000000-0006-0000-0300-00003C000000}">
      <text>
        <r>
          <rPr>
            <b/>
            <sz val="10"/>
            <color indexed="81"/>
            <rFont val="Verdana"/>
            <family val="2"/>
          </rPr>
          <t>Data Entry Cell, Low HOME? Yes/No for unit type identified in column C</t>
        </r>
      </text>
    </comment>
    <comment ref="N11" authorId="0" shapeId="0" xr:uid="{00000000-0006-0000-0300-00003D000000}">
      <text>
        <r>
          <rPr>
            <b/>
            <sz val="10"/>
            <color indexed="81"/>
            <rFont val="Verdana"/>
            <family val="2"/>
          </rPr>
          <t>Data Entry Cell, High HOME? Yes/No for unit type identified in column C</t>
        </r>
      </text>
    </comment>
    <comment ref="O11" authorId="0" shapeId="0" xr:uid="{00000000-0006-0000-0300-00003E000000}">
      <text>
        <r>
          <rPr>
            <b/>
            <sz val="10"/>
            <color indexed="81"/>
            <rFont val="Verdana"/>
            <family val="2"/>
          </rPr>
          <t>Data Entry Cell, Market Rate? Yes/No for unit type identified in column C</t>
        </r>
      </text>
    </comment>
    <comment ref="P11" authorId="0" shapeId="0" xr:uid="{00000000-0006-0000-0300-00003F000000}">
      <text>
        <r>
          <rPr>
            <b/>
            <sz val="10"/>
            <color indexed="81"/>
            <rFont val="Verdana"/>
            <family val="2"/>
          </rPr>
          <t>Data Entry Cell, LIHTC? Yes/No for unit type identified in column C</t>
        </r>
      </text>
    </comment>
    <comment ref="Q11" authorId="0" shapeId="0" xr:uid="{00000000-0006-0000-0300-000040000000}">
      <text>
        <r>
          <rPr>
            <b/>
            <sz val="10"/>
            <color indexed="81"/>
            <rFont val="Verdana"/>
            <family val="2"/>
          </rPr>
          <t>Data Entry Cell, CDBG? Yes/No for unit type identified in column C</t>
        </r>
      </text>
    </comment>
    <comment ref="R11" authorId="0" shapeId="0" xr:uid="{00000000-0006-0000-0300-000041000000}">
      <text>
        <r>
          <rPr>
            <b/>
            <sz val="10"/>
            <color indexed="81"/>
            <rFont val="Verdana"/>
            <family val="2"/>
          </rPr>
          <t>Data Entry Cell, Which Rent Should be Underwritten? for unit type identified in column C</t>
        </r>
      </text>
    </comment>
    <comment ref="T11" authorId="0" shapeId="0" xr:uid="{00000000-0006-0000-0300-000042000000}">
      <text>
        <r>
          <rPr>
            <b/>
            <sz val="10"/>
            <color indexed="81"/>
            <rFont val="Verdana"/>
            <family val="2"/>
          </rPr>
          <t>Data Entry Cell, Which % of Max Rents is to be Underwritten? for unit type identified in column C</t>
        </r>
      </text>
    </comment>
    <comment ref="U11" authorId="0" shapeId="0" xr:uid="{00000000-0006-0000-0300-000043000000}">
      <text>
        <r>
          <rPr>
            <b/>
            <sz val="10"/>
            <color indexed="81"/>
            <rFont val="Verdana"/>
            <family val="2"/>
          </rPr>
          <t>Data Entry Cell, Which Utility Allowance is to be Underwritten? for unit type identified in column C</t>
        </r>
      </text>
    </comment>
    <comment ref="E12" authorId="1" shapeId="0" xr:uid="{00000000-0006-0000-0300-000044000000}">
      <text>
        <r>
          <rPr>
            <b/>
            <sz val="10"/>
            <color indexed="81"/>
            <rFont val="Tahoma"/>
            <family val="2"/>
          </rPr>
          <t>Data Entry Cell, Number of Units for type described in column C (at left)</t>
        </r>
      </text>
    </comment>
    <comment ref="F12" authorId="1" shapeId="0" xr:uid="{00000000-0006-0000-0300-000045000000}">
      <text>
        <r>
          <rPr>
            <b/>
            <sz val="10"/>
            <color indexed="81"/>
            <rFont val="Tahoma"/>
            <family val="2"/>
          </rPr>
          <t>Data Entry Cell, Sq. Footage per Unit type described in column C (at left)</t>
        </r>
      </text>
    </comment>
    <comment ref="L12" authorId="0" shapeId="0" xr:uid="{00000000-0006-0000-0300-000046000000}">
      <text>
        <r>
          <rPr>
            <b/>
            <sz val="10"/>
            <color indexed="81"/>
            <rFont val="Verdana"/>
            <family val="2"/>
          </rPr>
          <t>Data Entry Cell, Number of Bedrooms for type identified in column C</t>
        </r>
      </text>
    </comment>
    <comment ref="M12" authorId="0" shapeId="0" xr:uid="{00000000-0006-0000-0300-000047000000}">
      <text>
        <r>
          <rPr>
            <b/>
            <sz val="10"/>
            <color indexed="81"/>
            <rFont val="Verdana"/>
            <family val="2"/>
          </rPr>
          <t>Data Entry Cell, Low HOME? Yes/No for unit type identified in column C</t>
        </r>
      </text>
    </comment>
    <comment ref="N12" authorId="0" shapeId="0" xr:uid="{00000000-0006-0000-0300-000048000000}">
      <text>
        <r>
          <rPr>
            <b/>
            <sz val="10"/>
            <color indexed="81"/>
            <rFont val="Verdana"/>
            <family val="2"/>
          </rPr>
          <t>Data Entry Cell, High HOME? Yes/No for unit type identified in column C</t>
        </r>
      </text>
    </comment>
    <comment ref="O12" authorId="0" shapeId="0" xr:uid="{00000000-0006-0000-0300-000049000000}">
      <text>
        <r>
          <rPr>
            <b/>
            <sz val="10"/>
            <color indexed="81"/>
            <rFont val="Verdana"/>
            <family val="2"/>
          </rPr>
          <t>Data Entry Cell, Market Rate? Yes/No for unit type identified in column C</t>
        </r>
      </text>
    </comment>
    <comment ref="P12" authorId="0" shapeId="0" xr:uid="{00000000-0006-0000-0300-00004A000000}">
      <text>
        <r>
          <rPr>
            <b/>
            <sz val="10"/>
            <color indexed="81"/>
            <rFont val="Verdana"/>
            <family val="2"/>
          </rPr>
          <t>Data Entry Cell, LIHTC? Yes/No for unit type identified in column C</t>
        </r>
      </text>
    </comment>
    <comment ref="Q12" authorId="0" shapeId="0" xr:uid="{00000000-0006-0000-0300-00004B000000}">
      <text>
        <r>
          <rPr>
            <b/>
            <sz val="10"/>
            <color indexed="81"/>
            <rFont val="Verdana"/>
            <family val="2"/>
          </rPr>
          <t>Data Entry Cell, CDBG? Yes/No for unit type identified in column C</t>
        </r>
      </text>
    </comment>
    <comment ref="R12" authorId="0" shapeId="0" xr:uid="{00000000-0006-0000-0300-00004C000000}">
      <text>
        <r>
          <rPr>
            <b/>
            <sz val="10"/>
            <color indexed="81"/>
            <rFont val="Verdana"/>
            <family val="2"/>
          </rPr>
          <t>Data Entry Cell, Which Rent Should be Underwritten? for unit type identified in column C</t>
        </r>
      </text>
    </comment>
    <comment ref="T12" authorId="0" shapeId="0" xr:uid="{00000000-0006-0000-0300-00004D000000}">
      <text>
        <r>
          <rPr>
            <b/>
            <sz val="10"/>
            <color indexed="81"/>
            <rFont val="Verdana"/>
            <family val="2"/>
          </rPr>
          <t>Data Entry Cell, Which % of Max Rents is to be Underwritten? for unit type identified in column C</t>
        </r>
      </text>
    </comment>
    <comment ref="U12" authorId="0" shapeId="0" xr:uid="{00000000-0006-0000-0300-00004E000000}">
      <text>
        <r>
          <rPr>
            <b/>
            <sz val="10"/>
            <color indexed="81"/>
            <rFont val="Verdana"/>
            <family val="2"/>
          </rPr>
          <t>Data Entry Cell, Which Utility Allowance is to be Underwritten? for unit type identified in column C</t>
        </r>
      </text>
    </comment>
    <comment ref="E13" authorId="1" shapeId="0" xr:uid="{00000000-0006-0000-0300-00004F000000}">
      <text>
        <r>
          <rPr>
            <b/>
            <sz val="10"/>
            <color indexed="81"/>
            <rFont val="Tahoma"/>
            <family val="2"/>
          </rPr>
          <t>Data Entry Cell, Number of Units for type described in column C (at left)</t>
        </r>
      </text>
    </comment>
    <comment ref="F13" authorId="1" shapeId="0" xr:uid="{00000000-0006-0000-0300-000050000000}">
      <text>
        <r>
          <rPr>
            <b/>
            <sz val="10"/>
            <color indexed="81"/>
            <rFont val="Tahoma"/>
            <family val="2"/>
          </rPr>
          <t>Data Entry Cell, Sq. Footage per Unit type described in column C (at left)</t>
        </r>
      </text>
    </comment>
    <comment ref="L13" authorId="0" shapeId="0" xr:uid="{00000000-0006-0000-0300-000051000000}">
      <text>
        <r>
          <rPr>
            <b/>
            <sz val="10"/>
            <color indexed="81"/>
            <rFont val="Verdana"/>
            <family val="2"/>
          </rPr>
          <t>Data Entry Cell, Number of Bedrooms for type identified in column C</t>
        </r>
      </text>
    </comment>
    <comment ref="M13" authorId="0" shapeId="0" xr:uid="{00000000-0006-0000-0300-000052000000}">
      <text>
        <r>
          <rPr>
            <b/>
            <sz val="10"/>
            <color indexed="81"/>
            <rFont val="Verdana"/>
            <family val="2"/>
          </rPr>
          <t>Data Entry Cell, Low HOME? Yes/No for unit type identified in column C</t>
        </r>
      </text>
    </comment>
    <comment ref="N13" authorId="0" shapeId="0" xr:uid="{00000000-0006-0000-0300-000053000000}">
      <text>
        <r>
          <rPr>
            <b/>
            <sz val="10"/>
            <color indexed="81"/>
            <rFont val="Verdana"/>
            <family val="2"/>
          </rPr>
          <t>Data Entry Cell, High HOME? Yes/No for unit type identified in column C</t>
        </r>
      </text>
    </comment>
    <comment ref="O13" authorId="0" shapeId="0" xr:uid="{00000000-0006-0000-0300-000054000000}">
      <text>
        <r>
          <rPr>
            <b/>
            <sz val="10"/>
            <color indexed="81"/>
            <rFont val="Verdana"/>
            <family val="2"/>
          </rPr>
          <t>Data Entry Cell, Market Rate? Yes/No for unit type identified in column C</t>
        </r>
      </text>
    </comment>
    <comment ref="P13" authorId="0" shapeId="0" xr:uid="{00000000-0006-0000-0300-000055000000}">
      <text>
        <r>
          <rPr>
            <b/>
            <sz val="10"/>
            <color indexed="81"/>
            <rFont val="Verdana"/>
            <family val="2"/>
          </rPr>
          <t>Data Entry Cell, LIHTC? Yes/No for unit type identified in column C</t>
        </r>
      </text>
    </comment>
    <comment ref="Q13" authorId="0" shapeId="0" xr:uid="{00000000-0006-0000-0300-000056000000}">
      <text>
        <r>
          <rPr>
            <b/>
            <sz val="10"/>
            <color indexed="81"/>
            <rFont val="Verdana"/>
            <family val="2"/>
          </rPr>
          <t>Data Entry Cell, CDBG? Yes/No for unit type identified in column C</t>
        </r>
      </text>
    </comment>
    <comment ref="R13" authorId="0" shapeId="0" xr:uid="{00000000-0006-0000-0300-000057000000}">
      <text>
        <r>
          <rPr>
            <b/>
            <sz val="10"/>
            <color indexed="81"/>
            <rFont val="Verdana"/>
            <family val="2"/>
          </rPr>
          <t>Data Entry Cell, Which Rent Should be Underwritten? for unit type identified in column C</t>
        </r>
      </text>
    </comment>
    <comment ref="T13" authorId="0" shapeId="0" xr:uid="{00000000-0006-0000-0300-000058000000}">
      <text>
        <r>
          <rPr>
            <b/>
            <sz val="10"/>
            <color indexed="81"/>
            <rFont val="Verdana"/>
            <family val="2"/>
          </rPr>
          <t>Data Entry Cell, Which % of Max Rents is to be Underwritten? for unit type identified in column C</t>
        </r>
      </text>
    </comment>
    <comment ref="U13" authorId="0" shapeId="0" xr:uid="{00000000-0006-0000-0300-000059000000}">
      <text>
        <r>
          <rPr>
            <b/>
            <sz val="10"/>
            <color indexed="81"/>
            <rFont val="Verdana"/>
            <family val="2"/>
          </rPr>
          <t>Data Entry Cell, Which Utility Allowance is to be Underwritten? for unit type identified in column C</t>
        </r>
      </text>
    </comment>
    <comment ref="E14" authorId="1" shapeId="0" xr:uid="{00000000-0006-0000-0300-00005A000000}">
      <text>
        <r>
          <rPr>
            <b/>
            <sz val="10"/>
            <color indexed="81"/>
            <rFont val="Tahoma"/>
            <family val="2"/>
          </rPr>
          <t>Data Entry Cell, Number of Units for type described in column C (at left)</t>
        </r>
      </text>
    </comment>
    <comment ref="F14" authorId="1" shapeId="0" xr:uid="{00000000-0006-0000-0300-00005B000000}">
      <text>
        <r>
          <rPr>
            <b/>
            <sz val="10"/>
            <color indexed="81"/>
            <rFont val="Tahoma"/>
            <family val="2"/>
          </rPr>
          <t>Data Entry Cell, Sq. Footage per Unit type described in column C (at left)</t>
        </r>
      </text>
    </comment>
    <comment ref="L14" authorId="0" shapeId="0" xr:uid="{00000000-0006-0000-0300-00005C000000}">
      <text>
        <r>
          <rPr>
            <b/>
            <sz val="10"/>
            <color indexed="81"/>
            <rFont val="Verdana"/>
            <family val="2"/>
          </rPr>
          <t>Data Entry Cell, Number of Bedrooms for type identified in column C</t>
        </r>
      </text>
    </comment>
    <comment ref="M14" authorId="0" shapeId="0" xr:uid="{00000000-0006-0000-0300-00005D000000}">
      <text>
        <r>
          <rPr>
            <b/>
            <sz val="10"/>
            <color indexed="81"/>
            <rFont val="Verdana"/>
            <family val="2"/>
          </rPr>
          <t>Data Entry Cell, Low HOME? Yes/No for unit type identified in column C</t>
        </r>
      </text>
    </comment>
    <comment ref="N14" authorId="0" shapeId="0" xr:uid="{00000000-0006-0000-0300-00005E000000}">
      <text>
        <r>
          <rPr>
            <b/>
            <sz val="10"/>
            <color indexed="81"/>
            <rFont val="Verdana"/>
            <family val="2"/>
          </rPr>
          <t>Data Entry Cell, High HOME? Yes/No for unit type identified in column C</t>
        </r>
      </text>
    </comment>
    <comment ref="O14" authorId="0" shapeId="0" xr:uid="{00000000-0006-0000-0300-00005F000000}">
      <text>
        <r>
          <rPr>
            <b/>
            <sz val="10"/>
            <color indexed="81"/>
            <rFont val="Verdana"/>
            <family val="2"/>
          </rPr>
          <t>Data Entry Cell, Market Rate? Yes/No for unit type identified in column C</t>
        </r>
      </text>
    </comment>
    <comment ref="P14" authorId="0" shapeId="0" xr:uid="{00000000-0006-0000-0300-000060000000}">
      <text>
        <r>
          <rPr>
            <b/>
            <sz val="10"/>
            <color indexed="81"/>
            <rFont val="Verdana"/>
            <family val="2"/>
          </rPr>
          <t>Data Entry Cell, LIHTC? Yes/No for unit type identified in column C</t>
        </r>
      </text>
    </comment>
    <comment ref="Q14" authorId="0" shapeId="0" xr:uid="{00000000-0006-0000-0300-000061000000}">
      <text>
        <r>
          <rPr>
            <b/>
            <sz val="10"/>
            <color indexed="81"/>
            <rFont val="Verdana"/>
            <family val="2"/>
          </rPr>
          <t>Data Entry Cell, CDBG? Yes/No for unit type identified in column C</t>
        </r>
      </text>
    </comment>
    <comment ref="R14" authorId="0" shapeId="0" xr:uid="{00000000-0006-0000-0300-000062000000}">
      <text>
        <r>
          <rPr>
            <b/>
            <sz val="10"/>
            <color indexed="81"/>
            <rFont val="Verdana"/>
            <family val="2"/>
          </rPr>
          <t>Data Entry Cell, Which Rent Should be Underwritten? for unit type identified in column C</t>
        </r>
      </text>
    </comment>
    <comment ref="T14" authorId="0" shapeId="0" xr:uid="{00000000-0006-0000-0300-000063000000}">
      <text>
        <r>
          <rPr>
            <b/>
            <sz val="10"/>
            <color indexed="81"/>
            <rFont val="Verdana"/>
            <family val="2"/>
          </rPr>
          <t>Data Entry Cell, Which % of Max Rents is to be Underwritten? for unit type identified in column C</t>
        </r>
      </text>
    </comment>
    <comment ref="U14" authorId="0" shapeId="0" xr:uid="{00000000-0006-0000-0300-000064000000}">
      <text>
        <r>
          <rPr>
            <b/>
            <sz val="10"/>
            <color indexed="81"/>
            <rFont val="Verdana"/>
            <family val="2"/>
          </rPr>
          <t>Data Entry Cell, Which Utility Allowance is to be Underwritten? for unit type identified in column C</t>
        </r>
      </text>
    </comment>
    <comment ref="E15" authorId="1" shapeId="0" xr:uid="{00000000-0006-0000-0300-000065000000}">
      <text>
        <r>
          <rPr>
            <b/>
            <sz val="10"/>
            <color indexed="81"/>
            <rFont val="Tahoma"/>
            <family val="2"/>
          </rPr>
          <t>Data Entry Cell, Number of Units for type described in column C (at left)</t>
        </r>
      </text>
    </comment>
    <comment ref="F15" authorId="1" shapeId="0" xr:uid="{00000000-0006-0000-0300-000066000000}">
      <text>
        <r>
          <rPr>
            <b/>
            <sz val="10"/>
            <color indexed="81"/>
            <rFont val="Tahoma"/>
            <family val="2"/>
          </rPr>
          <t>Data Entry Cell, Sq. Footage per Unit type described in column C (at left)</t>
        </r>
      </text>
    </comment>
    <comment ref="L15" authorId="0" shapeId="0" xr:uid="{00000000-0006-0000-0300-000067000000}">
      <text>
        <r>
          <rPr>
            <b/>
            <sz val="10"/>
            <color indexed="81"/>
            <rFont val="Verdana"/>
            <family val="2"/>
          </rPr>
          <t>Data Entry Cell, Number of Bedrooms for type identified in column C</t>
        </r>
      </text>
    </comment>
    <comment ref="M15" authorId="0" shapeId="0" xr:uid="{00000000-0006-0000-0300-000068000000}">
      <text>
        <r>
          <rPr>
            <b/>
            <sz val="10"/>
            <color indexed="81"/>
            <rFont val="Verdana"/>
            <family val="2"/>
          </rPr>
          <t>Data Entry Cell, Low HOME? Yes/No for unit type identified in column C</t>
        </r>
      </text>
    </comment>
    <comment ref="N15" authorId="0" shapeId="0" xr:uid="{00000000-0006-0000-0300-000069000000}">
      <text>
        <r>
          <rPr>
            <b/>
            <sz val="10"/>
            <color indexed="81"/>
            <rFont val="Verdana"/>
            <family val="2"/>
          </rPr>
          <t>Data Entry Cell, High HOME? Yes/No for unit type identified in column C</t>
        </r>
      </text>
    </comment>
    <comment ref="O15" authorId="0" shapeId="0" xr:uid="{00000000-0006-0000-0300-00006A000000}">
      <text>
        <r>
          <rPr>
            <b/>
            <sz val="10"/>
            <color indexed="81"/>
            <rFont val="Verdana"/>
            <family val="2"/>
          </rPr>
          <t>Data Entry Cell, Market Rate? Yes/No for unit type identified in column C</t>
        </r>
      </text>
    </comment>
    <comment ref="P15" authorId="0" shapeId="0" xr:uid="{00000000-0006-0000-0300-00006B000000}">
      <text>
        <r>
          <rPr>
            <b/>
            <sz val="10"/>
            <color indexed="81"/>
            <rFont val="Verdana"/>
            <family val="2"/>
          </rPr>
          <t>Data Entry Cell, LIHTC? Yes/No for unit type identified in column C</t>
        </r>
      </text>
    </comment>
    <comment ref="Q15" authorId="0" shapeId="0" xr:uid="{00000000-0006-0000-0300-00006C000000}">
      <text>
        <r>
          <rPr>
            <b/>
            <sz val="10"/>
            <color indexed="81"/>
            <rFont val="Verdana"/>
            <family val="2"/>
          </rPr>
          <t>Data Entry Cell, CDBG? Yes/No for unit type identified in column C</t>
        </r>
      </text>
    </comment>
    <comment ref="R15" authorId="0" shapeId="0" xr:uid="{00000000-0006-0000-0300-00006D000000}">
      <text>
        <r>
          <rPr>
            <b/>
            <sz val="10"/>
            <color indexed="81"/>
            <rFont val="Verdana"/>
            <family val="2"/>
          </rPr>
          <t>Data Entry Cell, Which Rent Should be Underwritten? for unit type identified in column C</t>
        </r>
      </text>
    </comment>
    <comment ref="T15" authorId="0" shapeId="0" xr:uid="{00000000-0006-0000-0300-00006E000000}">
      <text>
        <r>
          <rPr>
            <b/>
            <sz val="10"/>
            <color indexed="81"/>
            <rFont val="Verdana"/>
            <family val="2"/>
          </rPr>
          <t>Data Entry Cell, Which % of Max Rents is to be Underwritten? for unit type identified in column C</t>
        </r>
      </text>
    </comment>
    <comment ref="U15" authorId="0" shapeId="0" xr:uid="{00000000-0006-0000-0300-00006F000000}">
      <text>
        <r>
          <rPr>
            <b/>
            <sz val="10"/>
            <color indexed="81"/>
            <rFont val="Verdana"/>
            <family val="2"/>
          </rPr>
          <t>Data Entry Cell, Which Utility Allowance is to be Underwritten? for unit type identified in column C</t>
        </r>
      </text>
    </comment>
    <comment ref="E16" authorId="1" shapeId="0" xr:uid="{00000000-0006-0000-0300-000070000000}">
      <text>
        <r>
          <rPr>
            <b/>
            <sz val="10"/>
            <color indexed="81"/>
            <rFont val="Tahoma"/>
            <family val="2"/>
          </rPr>
          <t>Data Entry Cell, Number of Units for type described in column C (at left)</t>
        </r>
      </text>
    </comment>
    <comment ref="F16" authorId="1" shapeId="0" xr:uid="{00000000-0006-0000-0300-000071000000}">
      <text>
        <r>
          <rPr>
            <b/>
            <sz val="10"/>
            <color indexed="81"/>
            <rFont val="Tahoma"/>
            <family val="2"/>
          </rPr>
          <t>Data Entry Cell, Sq. Footage per Unit type described in column C (at left)</t>
        </r>
      </text>
    </comment>
    <comment ref="L16" authorId="0" shapeId="0" xr:uid="{00000000-0006-0000-0300-000072000000}">
      <text>
        <r>
          <rPr>
            <b/>
            <sz val="10"/>
            <color indexed="81"/>
            <rFont val="Verdana"/>
            <family val="2"/>
          </rPr>
          <t>Data Entry Cell, Number of Bedrooms for type identified in column C</t>
        </r>
      </text>
    </comment>
    <comment ref="M16" authorId="0" shapeId="0" xr:uid="{00000000-0006-0000-0300-000073000000}">
      <text>
        <r>
          <rPr>
            <b/>
            <sz val="10"/>
            <color indexed="81"/>
            <rFont val="Verdana"/>
            <family val="2"/>
          </rPr>
          <t>Data Entry Cell, Low HOME? Yes/No for unit type identified in column C</t>
        </r>
      </text>
    </comment>
    <comment ref="N16" authorId="0" shapeId="0" xr:uid="{00000000-0006-0000-0300-000074000000}">
      <text>
        <r>
          <rPr>
            <b/>
            <sz val="10"/>
            <color indexed="81"/>
            <rFont val="Verdana"/>
            <family val="2"/>
          </rPr>
          <t>Data Entry Cell, High HOME? Yes/No for unit type identified in column C</t>
        </r>
      </text>
    </comment>
    <comment ref="O16" authorId="0" shapeId="0" xr:uid="{00000000-0006-0000-0300-000075000000}">
      <text>
        <r>
          <rPr>
            <b/>
            <sz val="10"/>
            <color indexed="81"/>
            <rFont val="Verdana"/>
            <family val="2"/>
          </rPr>
          <t>Data Entry Cell, Market Rate? Yes/No for unit type identified in column C</t>
        </r>
      </text>
    </comment>
    <comment ref="P16" authorId="0" shapeId="0" xr:uid="{00000000-0006-0000-0300-000076000000}">
      <text>
        <r>
          <rPr>
            <b/>
            <sz val="10"/>
            <color indexed="81"/>
            <rFont val="Verdana"/>
            <family val="2"/>
          </rPr>
          <t>Data Entry Cell, LIHTC? Yes/No for unit type identified in column C</t>
        </r>
      </text>
    </comment>
    <comment ref="Q16" authorId="0" shapeId="0" xr:uid="{00000000-0006-0000-0300-000077000000}">
      <text>
        <r>
          <rPr>
            <b/>
            <sz val="10"/>
            <color indexed="81"/>
            <rFont val="Verdana"/>
            <family val="2"/>
          </rPr>
          <t>Data Entry Cell, CDBG? Yes/No for unit type identified in column C</t>
        </r>
      </text>
    </comment>
    <comment ref="R16" authorId="0" shapeId="0" xr:uid="{00000000-0006-0000-0300-000078000000}">
      <text>
        <r>
          <rPr>
            <b/>
            <sz val="10"/>
            <color indexed="81"/>
            <rFont val="Verdana"/>
            <family val="2"/>
          </rPr>
          <t>Data Entry Cell, Which Rent Should be Underwritten? for unit type identified in column C</t>
        </r>
      </text>
    </comment>
    <comment ref="T16" authorId="0" shapeId="0" xr:uid="{00000000-0006-0000-0300-000079000000}">
      <text>
        <r>
          <rPr>
            <b/>
            <sz val="10"/>
            <color indexed="81"/>
            <rFont val="Verdana"/>
            <family val="2"/>
          </rPr>
          <t>Data Entry Cell, Which % of Max Rents is to be Underwritten? for unit type identified in column C</t>
        </r>
      </text>
    </comment>
    <comment ref="U16" authorId="0" shapeId="0" xr:uid="{00000000-0006-0000-0300-00007A000000}">
      <text>
        <r>
          <rPr>
            <b/>
            <sz val="10"/>
            <color indexed="81"/>
            <rFont val="Verdana"/>
            <family val="2"/>
          </rPr>
          <t>Data Entry Cell, Which Utility Allowance is to be Underwritten? for unit type identified in column C</t>
        </r>
      </text>
    </comment>
    <comment ref="E17" authorId="1" shapeId="0" xr:uid="{00000000-0006-0000-0300-00007B000000}">
      <text>
        <r>
          <rPr>
            <b/>
            <sz val="10"/>
            <color indexed="81"/>
            <rFont val="Tahoma"/>
            <family val="2"/>
          </rPr>
          <t>Data Entry Cell, Number of Units for type described in column C (at left)</t>
        </r>
      </text>
    </comment>
    <comment ref="F17" authorId="1" shapeId="0" xr:uid="{00000000-0006-0000-0300-00007C000000}">
      <text>
        <r>
          <rPr>
            <b/>
            <sz val="10"/>
            <color indexed="81"/>
            <rFont val="Tahoma"/>
            <family val="2"/>
          </rPr>
          <t>Data Entry Cell, Sq. Footage per Unit type described in column C (at left)</t>
        </r>
      </text>
    </comment>
    <comment ref="L17" authorId="0" shapeId="0" xr:uid="{00000000-0006-0000-0300-00007D000000}">
      <text>
        <r>
          <rPr>
            <b/>
            <sz val="10"/>
            <color indexed="81"/>
            <rFont val="Verdana"/>
            <family val="2"/>
          </rPr>
          <t>Data Entry Cell, Number of Bedrooms for type identified in column C</t>
        </r>
      </text>
    </comment>
    <comment ref="M17" authorId="0" shapeId="0" xr:uid="{00000000-0006-0000-0300-00007E000000}">
      <text>
        <r>
          <rPr>
            <b/>
            <sz val="10"/>
            <color indexed="81"/>
            <rFont val="Verdana"/>
            <family val="2"/>
          </rPr>
          <t>Data Entry Cell, Low HOME? Yes/No for unit type identified in column C</t>
        </r>
      </text>
    </comment>
    <comment ref="N17" authorId="0" shapeId="0" xr:uid="{00000000-0006-0000-0300-00007F000000}">
      <text>
        <r>
          <rPr>
            <b/>
            <sz val="10"/>
            <color indexed="81"/>
            <rFont val="Verdana"/>
            <family val="2"/>
          </rPr>
          <t>Data Entry Cell, High HOME? Yes/No for unit type identified in column C</t>
        </r>
      </text>
    </comment>
    <comment ref="O17" authorId="0" shapeId="0" xr:uid="{00000000-0006-0000-0300-000080000000}">
      <text>
        <r>
          <rPr>
            <b/>
            <sz val="10"/>
            <color indexed="81"/>
            <rFont val="Verdana"/>
            <family val="2"/>
          </rPr>
          <t>Data Entry Cell, Market Rate? Yes/No for unit type identified in column C</t>
        </r>
      </text>
    </comment>
    <comment ref="P17" authorId="0" shapeId="0" xr:uid="{00000000-0006-0000-0300-000081000000}">
      <text>
        <r>
          <rPr>
            <b/>
            <sz val="10"/>
            <color indexed="81"/>
            <rFont val="Verdana"/>
            <family val="2"/>
          </rPr>
          <t>Data Entry Cell, LIHTC? Yes/No for unit type identified in column C</t>
        </r>
      </text>
    </comment>
    <comment ref="Q17" authorId="0" shapeId="0" xr:uid="{00000000-0006-0000-0300-000082000000}">
      <text>
        <r>
          <rPr>
            <b/>
            <sz val="10"/>
            <color indexed="81"/>
            <rFont val="Verdana"/>
            <family val="2"/>
          </rPr>
          <t>Data Entry Cell, CDBG? Yes/No for unit type identified in column C</t>
        </r>
      </text>
    </comment>
    <comment ref="R17" authorId="0" shapeId="0" xr:uid="{00000000-0006-0000-0300-000083000000}">
      <text>
        <r>
          <rPr>
            <b/>
            <sz val="10"/>
            <color indexed="81"/>
            <rFont val="Verdana"/>
            <family val="2"/>
          </rPr>
          <t>Data Entry Cell, Which Rent Should be Underwritten? for unit type identified in column C</t>
        </r>
      </text>
    </comment>
    <comment ref="T17" authorId="0" shapeId="0" xr:uid="{00000000-0006-0000-0300-000084000000}">
      <text>
        <r>
          <rPr>
            <b/>
            <sz val="10"/>
            <color indexed="81"/>
            <rFont val="Verdana"/>
            <family val="2"/>
          </rPr>
          <t>Data Entry Cell, Which % of Max Rents is to be Underwritten? for unit type identified in column C</t>
        </r>
      </text>
    </comment>
    <comment ref="U17" authorId="0" shapeId="0" xr:uid="{00000000-0006-0000-0300-000085000000}">
      <text>
        <r>
          <rPr>
            <b/>
            <sz val="10"/>
            <color indexed="81"/>
            <rFont val="Verdana"/>
            <family val="2"/>
          </rPr>
          <t>Data Entry Cell, Which Utility Allowance is to be Underwritten? for unit type identified in column C</t>
        </r>
      </text>
    </comment>
    <comment ref="E18" authorId="1" shapeId="0" xr:uid="{00000000-0006-0000-0300-000086000000}">
      <text>
        <r>
          <rPr>
            <b/>
            <sz val="10"/>
            <color indexed="81"/>
            <rFont val="Tahoma"/>
            <family val="2"/>
          </rPr>
          <t>Data Entry Cell, Number of Units for type described in column C (at left)</t>
        </r>
      </text>
    </comment>
    <comment ref="F18" authorId="1" shapeId="0" xr:uid="{00000000-0006-0000-0300-000087000000}">
      <text>
        <r>
          <rPr>
            <b/>
            <sz val="10"/>
            <color indexed="81"/>
            <rFont val="Tahoma"/>
            <family val="2"/>
          </rPr>
          <t>Data Entry Cell, Sq. Footage per Unit type described in column C (at left)</t>
        </r>
      </text>
    </comment>
    <comment ref="L18" authorId="0" shapeId="0" xr:uid="{00000000-0006-0000-0300-000088000000}">
      <text>
        <r>
          <rPr>
            <b/>
            <sz val="10"/>
            <color indexed="81"/>
            <rFont val="Verdana"/>
            <family val="2"/>
          </rPr>
          <t>Data Entry Cell, Number of Bedrooms for type identified in column C</t>
        </r>
      </text>
    </comment>
    <comment ref="M18" authorId="0" shapeId="0" xr:uid="{00000000-0006-0000-0300-000089000000}">
      <text>
        <r>
          <rPr>
            <b/>
            <sz val="10"/>
            <color indexed="81"/>
            <rFont val="Verdana"/>
            <family val="2"/>
          </rPr>
          <t>Data Entry Cell, Low HOME? Yes/No for unit type identified in column C</t>
        </r>
      </text>
    </comment>
    <comment ref="N18" authorId="0" shapeId="0" xr:uid="{00000000-0006-0000-0300-00008A000000}">
      <text>
        <r>
          <rPr>
            <b/>
            <sz val="10"/>
            <color indexed="81"/>
            <rFont val="Verdana"/>
            <family val="2"/>
          </rPr>
          <t>Data Entry Cell, High HOME? Yes/No for unit type identified in column C</t>
        </r>
      </text>
    </comment>
    <comment ref="O18" authorId="0" shapeId="0" xr:uid="{00000000-0006-0000-0300-00008B000000}">
      <text>
        <r>
          <rPr>
            <b/>
            <sz val="10"/>
            <color indexed="81"/>
            <rFont val="Verdana"/>
            <family val="2"/>
          </rPr>
          <t>Data Entry Cell, Market Rate? Yes/No for unit type identified in column C</t>
        </r>
      </text>
    </comment>
    <comment ref="P18" authorId="0" shapeId="0" xr:uid="{00000000-0006-0000-0300-00008C000000}">
      <text>
        <r>
          <rPr>
            <b/>
            <sz val="10"/>
            <color indexed="81"/>
            <rFont val="Verdana"/>
            <family val="2"/>
          </rPr>
          <t>Data Entry Cell, LIHTC? Yes/No for unit type identified in column C</t>
        </r>
      </text>
    </comment>
    <comment ref="Q18" authorId="0" shapeId="0" xr:uid="{00000000-0006-0000-0300-00008D000000}">
      <text>
        <r>
          <rPr>
            <b/>
            <sz val="10"/>
            <color indexed="81"/>
            <rFont val="Verdana"/>
            <family val="2"/>
          </rPr>
          <t>Data Entry Cell, CDBG? Yes/No for unit type identified in column C</t>
        </r>
      </text>
    </comment>
    <comment ref="R18" authorId="0" shapeId="0" xr:uid="{00000000-0006-0000-0300-00008E000000}">
      <text>
        <r>
          <rPr>
            <b/>
            <sz val="10"/>
            <color indexed="81"/>
            <rFont val="Verdana"/>
            <family val="2"/>
          </rPr>
          <t>Data Entry Cell, Which Rent Should be Underwritten? for unit type identified in column C</t>
        </r>
      </text>
    </comment>
    <comment ref="T18" authorId="0" shapeId="0" xr:uid="{00000000-0006-0000-0300-00008F000000}">
      <text>
        <r>
          <rPr>
            <b/>
            <sz val="10"/>
            <color indexed="81"/>
            <rFont val="Verdana"/>
            <family val="2"/>
          </rPr>
          <t>Data Entry Cell, Which % of Max Rents is to be Underwritten? for unit type identified in column C</t>
        </r>
      </text>
    </comment>
    <comment ref="U18" authorId="0" shapeId="0" xr:uid="{00000000-0006-0000-0300-000090000000}">
      <text>
        <r>
          <rPr>
            <b/>
            <sz val="10"/>
            <color indexed="81"/>
            <rFont val="Verdana"/>
            <family val="2"/>
          </rPr>
          <t>Data Entry Cell, Which Utility Allowance is to be Underwritten? for unit type identified in column C</t>
        </r>
      </text>
    </comment>
    <comment ref="E19" authorId="1" shapeId="0" xr:uid="{00000000-0006-0000-0300-000091000000}">
      <text>
        <r>
          <rPr>
            <b/>
            <sz val="10"/>
            <color indexed="81"/>
            <rFont val="Tahoma"/>
            <family val="2"/>
          </rPr>
          <t>Data Entry Cell, Number of Units for type described in column C (at left)</t>
        </r>
      </text>
    </comment>
    <comment ref="F19" authorId="1" shapeId="0" xr:uid="{00000000-0006-0000-0300-000092000000}">
      <text>
        <r>
          <rPr>
            <b/>
            <sz val="10"/>
            <color indexed="81"/>
            <rFont val="Tahoma"/>
            <family val="2"/>
          </rPr>
          <t>Data Entry Cell, Sq. Footage per Unit type described in column C (at left)</t>
        </r>
      </text>
    </comment>
    <comment ref="L19" authorId="0" shapeId="0" xr:uid="{00000000-0006-0000-0300-000093000000}">
      <text>
        <r>
          <rPr>
            <b/>
            <sz val="10"/>
            <color indexed="81"/>
            <rFont val="Verdana"/>
            <family val="2"/>
          </rPr>
          <t>Data Entry Cell, Number of Bedrooms for type identified in column C</t>
        </r>
      </text>
    </comment>
    <comment ref="M19" authorId="0" shapeId="0" xr:uid="{00000000-0006-0000-0300-000094000000}">
      <text>
        <r>
          <rPr>
            <b/>
            <sz val="10"/>
            <color indexed="81"/>
            <rFont val="Verdana"/>
            <family val="2"/>
          </rPr>
          <t>Data Entry Cell, Low HOME? Yes/No for unit type identified in column C</t>
        </r>
      </text>
    </comment>
    <comment ref="N19" authorId="0" shapeId="0" xr:uid="{00000000-0006-0000-0300-000095000000}">
      <text>
        <r>
          <rPr>
            <b/>
            <sz val="10"/>
            <color indexed="81"/>
            <rFont val="Verdana"/>
            <family val="2"/>
          </rPr>
          <t>Data Entry Cell, High HOME? Yes/No for unit type identified in column C</t>
        </r>
      </text>
    </comment>
    <comment ref="O19" authorId="0" shapeId="0" xr:uid="{00000000-0006-0000-0300-000096000000}">
      <text>
        <r>
          <rPr>
            <b/>
            <sz val="10"/>
            <color indexed="81"/>
            <rFont val="Verdana"/>
            <family val="2"/>
          </rPr>
          <t>Data Entry Cell, Market Rate? Yes/No for unit type identified in column C</t>
        </r>
      </text>
    </comment>
    <comment ref="P19" authorId="0" shapeId="0" xr:uid="{00000000-0006-0000-0300-000097000000}">
      <text>
        <r>
          <rPr>
            <b/>
            <sz val="10"/>
            <color indexed="81"/>
            <rFont val="Verdana"/>
            <family val="2"/>
          </rPr>
          <t>Data Entry Cell, LIHTC? Yes/No for unit type identified in column C</t>
        </r>
      </text>
    </comment>
    <comment ref="Q19" authorId="0" shapeId="0" xr:uid="{00000000-0006-0000-0300-000098000000}">
      <text>
        <r>
          <rPr>
            <b/>
            <sz val="10"/>
            <color indexed="81"/>
            <rFont val="Verdana"/>
            <family val="2"/>
          </rPr>
          <t>Data Entry Cell, CDBG? Yes/No for unit type identified in column C</t>
        </r>
      </text>
    </comment>
    <comment ref="R19" authorId="0" shapeId="0" xr:uid="{00000000-0006-0000-0300-000099000000}">
      <text>
        <r>
          <rPr>
            <b/>
            <sz val="10"/>
            <color indexed="81"/>
            <rFont val="Verdana"/>
            <family val="2"/>
          </rPr>
          <t>Data Entry Cell, Which Rent Should be Underwritten? for unit type identified in column C</t>
        </r>
      </text>
    </comment>
    <comment ref="T19" authorId="0" shapeId="0" xr:uid="{00000000-0006-0000-0300-00009A000000}">
      <text>
        <r>
          <rPr>
            <b/>
            <sz val="10"/>
            <color indexed="81"/>
            <rFont val="Verdana"/>
            <family val="2"/>
          </rPr>
          <t>Data Entry Cell, Which % of Max Rents is to be Underwritten? for unit type identified in column C</t>
        </r>
      </text>
    </comment>
    <comment ref="U19" authorId="0" shapeId="0" xr:uid="{00000000-0006-0000-0300-00009B000000}">
      <text>
        <r>
          <rPr>
            <b/>
            <sz val="10"/>
            <color indexed="81"/>
            <rFont val="Verdana"/>
            <family val="2"/>
          </rPr>
          <t>Data Entry Cell, Which Utility Allowance is to be Underwritten? for unit type identified in column C</t>
        </r>
      </text>
    </comment>
    <comment ref="E20" authorId="1" shapeId="0" xr:uid="{00000000-0006-0000-0300-00009C000000}">
      <text>
        <r>
          <rPr>
            <b/>
            <sz val="10"/>
            <color indexed="81"/>
            <rFont val="Tahoma"/>
            <family val="2"/>
          </rPr>
          <t>Data Entry Cell, Number of Units for type described in column C (at left)</t>
        </r>
      </text>
    </comment>
    <comment ref="F20" authorId="1" shapeId="0" xr:uid="{00000000-0006-0000-0300-00009D000000}">
      <text>
        <r>
          <rPr>
            <b/>
            <sz val="10"/>
            <color indexed="81"/>
            <rFont val="Tahoma"/>
            <family val="2"/>
          </rPr>
          <t>Data Entry Cell, Sq. Footage per Unit type described in column C (at left)</t>
        </r>
      </text>
    </comment>
    <comment ref="L20" authorId="0" shapeId="0" xr:uid="{00000000-0006-0000-0300-00009E000000}">
      <text>
        <r>
          <rPr>
            <b/>
            <sz val="10"/>
            <color indexed="81"/>
            <rFont val="Verdana"/>
            <family val="2"/>
          </rPr>
          <t>Data Entry Cell, Number of Bedrooms for type identified in column C</t>
        </r>
      </text>
    </comment>
    <comment ref="M20" authorId="0" shapeId="0" xr:uid="{00000000-0006-0000-0300-00009F000000}">
      <text>
        <r>
          <rPr>
            <b/>
            <sz val="10"/>
            <color indexed="81"/>
            <rFont val="Verdana"/>
            <family val="2"/>
          </rPr>
          <t>Data Entry Cell, Low HOME? Yes/No for unit type identified in column C</t>
        </r>
      </text>
    </comment>
    <comment ref="N20" authorId="0" shapeId="0" xr:uid="{00000000-0006-0000-0300-0000A0000000}">
      <text>
        <r>
          <rPr>
            <b/>
            <sz val="10"/>
            <color indexed="81"/>
            <rFont val="Verdana"/>
            <family val="2"/>
          </rPr>
          <t>Data Entry Cell, High HOME? Yes/No for unit type identified in column C</t>
        </r>
      </text>
    </comment>
    <comment ref="O20" authorId="0" shapeId="0" xr:uid="{00000000-0006-0000-0300-0000A1000000}">
      <text>
        <r>
          <rPr>
            <b/>
            <sz val="10"/>
            <color indexed="81"/>
            <rFont val="Verdana"/>
            <family val="2"/>
          </rPr>
          <t>Data Entry Cell, Market Rate? Yes/No for unit type identified in column C</t>
        </r>
      </text>
    </comment>
    <comment ref="P20" authorId="0" shapeId="0" xr:uid="{00000000-0006-0000-0300-0000A2000000}">
      <text>
        <r>
          <rPr>
            <b/>
            <sz val="10"/>
            <color indexed="81"/>
            <rFont val="Verdana"/>
            <family val="2"/>
          </rPr>
          <t>Data Entry Cell, LIHTC? Yes/No for unit type identified in column C</t>
        </r>
      </text>
    </comment>
    <comment ref="Q20" authorId="0" shapeId="0" xr:uid="{00000000-0006-0000-0300-0000A3000000}">
      <text>
        <r>
          <rPr>
            <b/>
            <sz val="10"/>
            <color indexed="81"/>
            <rFont val="Verdana"/>
            <family val="2"/>
          </rPr>
          <t>Data Entry Cell, CDBG? Yes/No for unit type identified in column C</t>
        </r>
      </text>
    </comment>
    <comment ref="R20" authorId="0" shapeId="0" xr:uid="{00000000-0006-0000-0300-0000A4000000}">
      <text>
        <r>
          <rPr>
            <b/>
            <sz val="10"/>
            <color indexed="81"/>
            <rFont val="Verdana"/>
            <family val="2"/>
          </rPr>
          <t>Data Entry Cell, Which Rent Should be Underwritten? for unit type identified in column C</t>
        </r>
      </text>
    </comment>
    <comment ref="T20" authorId="0" shapeId="0" xr:uid="{00000000-0006-0000-0300-0000A5000000}">
      <text>
        <r>
          <rPr>
            <b/>
            <sz val="10"/>
            <color indexed="81"/>
            <rFont val="Verdana"/>
            <family val="2"/>
          </rPr>
          <t>Data Entry Cell, Which % of Max Rents is to be Underwritten? for unit type identified in column C</t>
        </r>
      </text>
    </comment>
    <comment ref="U20" authorId="0" shapeId="0" xr:uid="{00000000-0006-0000-0300-0000A6000000}">
      <text>
        <r>
          <rPr>
            <b/>
            <sz val="10"/>
            <color indexed="81"/>
            <rFont val="Verdana"/>
            <family val="2"/>
          </rPr>
          <t>Data Entry Cell, Which Utility Allowance is to be Underwritten? for unit type identified in column C</t>
        </r>
      </text>
    </comment>
    <comment ref="E21" authorId="1" shapeId="0" xr:uid="{00000000-0006-0000-0300-0000A7000000}">
      <text>
        <r>
          <rPr>
            <b/>
            <sz val="10"/>
            <color indexed="81"/>
            <rFont val="Tahoma"/>
            <family val="2"/>
          </rPr>
          <t>Data Entry Cell, Number of Units for type described in column C (at left)</t>
        </r>
      </text>
    </comment>
    <comment ref="F21" authorId="1" shapeId="0" xr:uid="{00000000-0006-0000-0300-0000A8000000}">
      <text>
        <r>
          <rPr>
            <b/>
            <sz val="10"/>
            <color indexed="81"/>
            <rFont val="Tahoma"/>
            <family val="2"/>
          </rPr>
          <t>Data Entry Cell, Sq. Footage per Unit type described in column C (at left)</t>
        </r>
      </text>
    </comment>
    <comment ref="L21" authorId="0" shapeId="0" xr:uid="{00000000-0006-0000-0300-0000A9000000}">
      <text>
        <r>
          <rPr>
            <b/>
            <sz val="10"/>
            <color indexed="81"/>
            <rFont val="Verdana"/>
            <family val="2"/>
          </rPr>
          <t>Data Entry Cell, Number of Bedrooms for type identified in column C</t>
        </r>
      </text>
    </comment>
    <comment ref="M21" authorId="0" shapeId="0" xr:uid="{00000000-0006-0000-0300-0000AA000000}">
      <text>
        <r>
          <rPr>
            <b/>
            <sz val="10"/>
            <color indexed="81"/>
            <rFont val="Verdana"/>
            <family val="2"/>
          </rPr>
          <t>Data Entry Cell, Low HOME? Yes/No for unit type identified in column C</t>
        </r>
      </text>
    </comment>
    <comment ref="N21" authorId="0" shapeId="0" xr:uid="{00000000-0006-0000-0300-0000AB000000}">
      <text>
        <r>
          <rPr>
            <b/>
            <sz val="10"/>
            <color indexed="81"/>
            <rFont val="Verdana"/>
            <family val="2"/>
          </rPr>
          <t>Data Entry Cell, High HOME? Yes/No for unit type identified in column C</t>
        </r>
      </text>
    </comment>
    <comment ref="O21" authorId="0" shapeId="0" xr:uid="{00000000-0006-0000-0300-0000AC000000}">
      <text>
        <r>
          <rPr>
            <b/>
            <sz val="10"/>
            <color indexed="81"/>
            <rFont val="Verdana"/>
            <family val="2"/>
          </rPr>
          <t>Data Entry Cell, Market Rate? Yes/No for unit type identified in column C</t>
        </r>
      </text>
    </comment>
    <comment ref="P21" authorId="0" shapeId="0" xr:uid="{00000000-0006-0000-0300-0000AD000000}">
      <text>
        <r>
          <rPr>
            <b/>
            <sz val="10"/>
            <color indexed="81"/>
            <rFont val="Verdana"/>
            <family val="2"/>
          </rPr>
          <t>Data Entry Cell, LIHTC? Yes/No for unit type identified in column C</t>
        </r>
      </text>
    </comment>
    <comment ref="Q21" authorId="0" shapeId="0" xr:uid="{00000000-0006-0000-0300-0000AE000000}">
      <text>
        <r>
          <rPr>
            <b/>
            <sz val="10"/>
            <color indexed="81"/>
            <rFont val="Verdana"/>
            <family val="2"/>
          </rPr>
          <t>Data Entry Cell, CDBG? Yes/No for unit type identified in column C</t>
        </r>
      </text>
    </comment>
    <comment ref="R21" authorId="0" shapeId="0" xr:uid="{00000000-0006-0000-0300-0000AF000000}">
      <text>
        <r>
          <rPr>
            <b/>
            <sz val="10"/>
            <color indexed="81"/>
            <rFont val="Verdana"/>
            <family val="2"/>
          </rPr>
          <t>Data Entry Cell, Which Rent Should be Underwritten? for unit type identified in column C</t>
        </r>
      </text>
    </comment>
    <comment ref="T21" authorId="0" shapeId="0" xr:uid="{00000000-0006-0000-0300-0000B0000000}">
      <text>
        <r>
          <rPr>
            <b/>
            <sz val="10"/>
            <color indexed="81"/>
            <rFont val="Verdana"/>
            <family val="2"/>
          </rPr>
          <t>Data Entry Cell, Which % of Max Rents is to be Underwritten? for unit type identified in column C</t>
        </r>
      </text>
    </comment>
    <comment ref="U21" authorId="0" shapeId="0" xr:uid="{00000000-0006-0000-0300-0000B1000000}">
      <text>
        <r>
          <rPr>
            <b/>
            <sz val="10"/>
            <color indexed="81"/>
            <rFont val="Verdana"/>
            <family val="2"/>
          </rPr>
          <t>Data Entry Cell, Which Utility Allowance is to be Underwritten? for unit type identified in column C</t>
        </r>
      </text>
    </comment>
    <comment ref="E22" authorId="1" shapeId="0" xr:uid="{00000000-0006-0000-0300-0000B2000000}">
      <text>
        <r>
          <rPr>
            <b/>
            <sz val="10"/>
            <color indexed="81"/>
            <rFont val="Tahoma"/>
            <family val="2"/>
          </rPr>
          <t>Data Entry Cell, Number of Units for type described in column C (at left)</t>
        </r>
      </text>
    </comment>
    <comment ref="F22" authorId="1" shapeId="0" xr:uid="{00000000-0006-0000-0300-0000B3000000}">
      <text>
        <r>
          <rPr>
            <b/>
            <sz val="10"/>
            <color indexed="81"/>
            <rFont val="Tahoma"/>
            <family val="2"/>
          </rPr>
          <t>Data Entry Cell, Sq. Footage per Unit type described in column C (at left)</t>
        </r>
      </text>
    </comment>
    <comment ref="L22" authorId="0" shapeId="0" xr:uid="{00000000-0006-0000-0300-0000B4000000}">
      <text>
        <r>
          <rPr>
            <b/>
            <sz val="10"/>
            <color indexed="81"/>
            <rFont val="Verdana"/>
            <family val="2"/>
          </rPr>
          <t>Data Entry Cell, Number of Bedrooms for type identified in column C</t>
        </r>
      </text>
    </comment>
    <comment ref="M22" authorId="0" shapeId="0" xr:uid="{00000000-0006-0000-0300-0000B5000000}">
      <text>
        <r>
          <rPr>
            <b/>
            <sz val="10"/>
            <color indexed="81"/>
            <rFont val="Verdana"/>
            <family val="2"/>
          </rPr>
          <t>Data Entry Cell, Low HOME? Yes/No for unit type identified in column C</t>
        </r>
      </text>
    </comment>
    <comment ref="N22" authorId="0" shapeId="0" xr:uid="{00000000-0006-0000-0300-0000B6000000}">
      <text>
        <r>
          <rPr>
            <b/>
            <sz val="10"/>
            <color indexed="81"/>
            <rFont val="Verdana"/>
            <family val="2"/>
          </rPr>
          <t>Data Entry Cell, High HOME? Yes/No for unit type identified in column C</t>
        </r>
      </text>
    </comment>
    <comment ref="O22" authorId="0" shapeId="0" xr:uid="{00000000-0006-0000-0300-0000B7000000}">
      <text>
        <r>
          <rPr>
            <b/>
            <sz val="10"/>
            <color indexed="81"/>
            <rFont val="Verdana"/>
            <family val="2"/>
          </rPr>
          <t>Data Entry Cell, Market Rate? Yes/No for unit type identified in column C</t>
        </r>
      </text>
    </comment>
    <comment ref="P22" authorId="0" shapeId="0" xr:uid="{00000000-0006-0000-0300-0000B8000000}">
      <text>
        <r>
          <rPr>
            <b/>
            <sz val="10"/>
            <color indexed="81"/>
            <rFont val="Verdana"/>
            <family val="2"/>
          </rPr>
          <t>Data Entry Cell, LIHTC? Yes/No for unit type identified in column C</t>
        </r>
      </text>
    </comment>
    <comment ref="Q22" authorId="0" shapeId="0" xr:uid="{00000000-0006-0000-0300-0000B9000000}">
      <text>
        <r>
          <rPr>
            <b/>
            <sz val="10"/>
            <color indexed="81"/>
            <rFont val="Verdana"/>
            <family val="2"/>
          </rPr>
          <t>Data Entry Cell, CDBG? Yes/No for unit type identified in column C</t>
        </r>
      </text>
    </comment>
    <comment ref="R22" authorId="0" shapeId="0" xr:uid="{00000000-0006-0000-0300-0000BA000000}">
      <text>
        <r>
          <rPr>
            <b/>
            <sz val="10"/>
            <color indexed="81"/>
            <rFont val="Verdana"/>
            <family val="2"/>
          </rPr>
          <t>Data Entry Cell, Which Rent Should be Underwritten? for unit type identified in column C</t>
        </r>
      </text>
    </comment>
    <comment ref="T22" authorId="0" shapeId="0" xr:uid="{00000000-0006-0000-0300-0000BB000000}">
      <text>
        <r>
          <rPr>
            <b/>
            <sz val="10"/>
            <color indexed="81"/>
            <rFont val="Verdana"/>
            <family val="2"/>
          </rPr>
          <t>Data Entry Cell, Which % of Max Rents is to be Underwritten? for unit type identified in column C</t>
        </r>
      </text>
    </comment>
    <comment ref="U22" authorId="0" shapeId="0" xr:uid="{00000000-0006-0000-0300-0000BC000000}">
      <text>
        <r>
          <rPr>
            <b/>
            <sz val="10"/>
            <color indexed="81"/>
            <rFont val="Verdana"/>
            <family val="2"/>
          </rPr>
          <t>Data Entry Cell, Which Utility Allowance is to be Underwritten? for unit type identified in column C</t>
        </r>
      </text>
    </comment>
    <comment ref="E23" authorId="1" shapeId="0" xr:uid="{00000000-0006-0000-0300-0000BD000000}">
      <text>
        <r>
          <rPr>
            <b/>
            <sz val="10"/>
            <color indexed="81"/>
            <rFont val="Tahoma"/>
            <family val="2"/>
          </rPr>
          <t>Data Entry Cell, Number of Units for type described in column C (at left)</t>
        </r>
      </text>
    </comment>
    <comment ref="F23" authorId="1" shapeId="0" xr:uid="{00000000-0006-0000-0300-0000BE000000}">
      <text>
        <r>
          <rPr>
            <b/>
            <sz val="10"/>
            <color indexed="81"/>
            <rFont val="Tahoma"/>
            <family val="2"/>
          </rPr>
          <t>Data Entry Cell, Sq. Footage per Unit type described in column C (at left)</t>
        </r>
      </text>
    </comment>
    <comment ref="L23" authorId="0" shapeId="0" xr:uid="{00000000-0006-0000-0300-0000BF000000}">
      <text>
        <r>
          <rPr>
            <b/>
            <sz val="10"/>
            <color indexed="81"/>
            <rFont val="Verdana"/>
            <family val="2"/>
          </rPr>
          <t>Data Entry Cell, Number of Bedrooms for type identified in column C</t>
        </r>
      </text>
    </comment>
    <comment ref="M23" authorId="0" shapeId="0" xr:uid="{00000000-0006-0000-0300-0000C0000000}">
      <text>
        <r>
          <rPr>
            <b/>
            <sz val="10"/>
            <color indexed="81"/>
            <rFont val="Verdana"/>
            <family val="2"/>
          </rPr>
          <t>Data Entry Cell, Low HOME? Yes/No for unit type identified in column C</t>
        </r>
      </text>
    </comment>
    <comment ref="N23" authorId="0" shapeId="0" xr:uid="{00000000-0006-0000-0300-0000C1000000}">
      <text>
        <r>
          <rPr>
            <b/>
            <sz val="10"/>
            <color indexed="81"/>
            <rFont val="Verdana"/>
            <family val="2"/>
          </rPr>
          <t>Data Entry Cell, High HOME? Yes/No for unit type identified in column C</t>
        </r>
      </text>
    </comment>
    <comment ref="O23" authorId="0" shapeId="0" xr:uid="{00000000-0006-0000-0300-0000C2000000}">
      <text>
        <r>
          <rPr>
            <b/>
            <sz val="10"/>
            <color indexed="81"/>
            <rFont val="Verdana"/>
            <family val="2"/>
          </rPr>
          <t>Data Entry Cell, Market Rate? Yes/No for unit type identified in column C</t>
        </r>
      </text>
    </comment>
    <comment ref="P23" authorId="0" shapeId="0" xr:uid="{00000000-0006-0000-0300-0000C3000000}">
      <text>
        <r>
          <rPr>
            <b/>
            <sz val="10"/>
            <color indexed="81"/>
            <rFont val="Verdana"/>
            <family val="2"/>
          </rPr>
          <t>Data Entry Cell, LIHTC? Yes/No for unit type identified in column C</t>
        </r>
      </text>
    </comment>
    <comment ref="Q23" authorId="0" shapeId="0" xr:uid="{00000000-0006-0000-0300-0000C4000000}">
      <text>
        <r>
          <rPr>
            <b/>
            <sz val="10"/>
            <color indexed="81"/>
            <rFont val="Verdana"/>
            <family val="2"/>
          </rPr>
          <t>Data Entry Cell, CDBG? Yes/No for unit type identified in column C</t>
        </r>
      </text>
    </comment>
    <comment ref="R23" authorId="0" shapeId="0" xr:uid="{00000000-0006-0000-0300-0000C5000000}">
      <text>
        <r>
          <rPr>
            <b/>
            <sz val="10"/>
            <color indexed="81"/>
            <rFont val="Verdana"/>
            <family val="2"/>
          </rPr>
          <t>Data Entry Cell, Which Rent Should be Underwritten? for unit type identified in column C</t>
        </r>
      </text>
    </comment>
    <comment ref="T23" authorId="0" shapeId="0" xr:uid="{00000000-0006-0000-0300-0000C6000000}">
      <text>
        <r>
          <rPr>
            <b/>
            <sz val="10"/>
            <color indexed="81"/>
            <rFont val="Verdana"/>
            <family val="2"/>
          </rPr>
          <t>Data Entry Cell, Which % of Max Rents is to be Underwritten? for unit type identified in column C</t>
        </r>
      </text>
    </comment>
    <comment ref="U23" authorId="0" shapeId="0" xr:uid="{00000000-0006-0000-0300-0000C7000000}">
      <text>
        <r>
          <rPr>
            <b/>
            <sz val="10"/>
            <color indexed="81"/>
            <rFont val="Verdana"/>
            <family val="2"/>
          </rPr>
          <t>Data Entry Cell, Which Utility Allowance is to be Underwritten? for unit type identified in column C</t>
        </r>
      </text>
    </comment>
    <comment ref="E24" authorId="1" shapeId="0" xr:uid="{00000000-0006-0000-0300-0000C8000000}">
      <text>
        <r>
          <rPr>
            <b/>
            <sz val="10"/>
            <color indexed="81"/>
            <rFont val="Tahoma"/>
            <family val="2"/>
          </rPr>
          <t>Data Entry Cell, Number of Units for type described in column C (at left)</t>
        </r>
      </text>
    </comment>
    <comment ref="F24" authorId="1" shapeId="0" xr:uid="{00000000-0006-0000-0300-0000C9000000}">
      <text>
        <r>
          <rPr>
            <b/>
            <sz val="10"/>
            <color indexed="81"/>
            <rFont val="Tahoma"/>
            <family val="2"/>
          </rPr>
          <t>Data Entry Cell, Sq. Footage per Unit type described in column C (at left)</t>
        </r>
      </text>
    </comment>
    <comment ref="L24" authorId="0" shapeId="0" xr:uid="{00000000-0006-0000-0300-0000CA000000}">
      <text>
        <r>
          <rPr>
            <b/>
            <sz val="10"/>
            <color indexed="81"/>
            <rFont val="Verdana"/>
            <family val="2"/>
          </rPr>
          <t>Data Entry Cell, Number of Bedrooms for type identified in column C</t>
        </r>
      </text>
    </comment>
    <comment ref="M24" authorId="0" shapeId="0" xr:uid="{00000000-0006-0000-0300-0000CB000000}">
      <text>
        <r>
          <rPr>
            <b/>
            <sz val="10"/>
            <color indexed="81"/>
            <rFont val="Verdana"/>
            <family val="2"/>
          </rPr>
          <t>Data Entry Cell, Low HOME? Yes/No for unit type identified in column C</t>
        </r>
      </text>
    </comment>
    <comment ref="N24" authorId="0" shapeId="0" xr:uid="{00000000-0006-0000-0300-0000CC000000}">
      <text>
        <r>
          <rPr>
            <b/>
            <sz val="10"/>
            <color indexed="81"/>
            <rFont val="Verdana"/>
            <family val="2"/>
          </rPr>
          <t>Data Entry Cell, High HOME? Yes/No for unit type identified in column C</t>
        </r>
      </text>
    </comment>
    <comment ref="O24" authorId="0" shapeId="0" xr:uid="{00000000-0006-0000-0300-0000CD000000}">
      <text>
        <r>
          <rPr>
            <b/>
            <sz val="10"/>
            <color indexed="81"/>
            <rFont val="Verdana"/>
            <family val="2"/>
          </rPr>
          <t>Data Entry Cell, Market Rate? Yes/No for unit type identified in column C</t>
        </r>
      </text>
    </comment>
    <comment ref="P24" authorId="0" shapeId="0" xr:uid="{00000000-0006-0000-0300-0000CE000000}">
      <text>
        <r>
          <rPr>
            <b/>
            <sz val="10"/>
            <color indexed="81"/>
            <rFont val="Verdana"/>
            <family val="2"/>
          </rPr>
          <t>Data Entry Cell, LIHTC? Yes/No for unit type identified in column C</t>
        </r>
      </text>
    </comment>
    <comment ref="Q24" authorId="0" shapeId="0" xr:uid="{00000000-0006-0000-0300-0000CF000000}">
      <text>
        <r>
          <rPr>
            <b/>
            <sz val="10"/>
            <color indexed="81"/>
            <rFont val="Verdana"/>
            <family val="2"/>
          </rPr>
          <t>Data Entry Cell, CDBG? Yes/No for unit type identified in column C</t>
        </r>
      </text>
    </comment>
    <comment ref="R24" authorId="0" shapeId="0" xr:uid="{00000000-0006-0000-0300-0000D0000000}">
      <text>
        <r>
          <rPr>
            <b/>
            <sz val="10"/>
            <color indexed="81"/>
            <rFont val="Verdana"/>
            <family val="2"/>
          </rPr>
          <t>Data Entry Cell, Which Rent Should be Underwritten? for unit type identified in column C</t>
        </r>
      </text>
    </comment>
    <comment ref="T24" authorId="0" shapeId="0" xr:uid="{00000000-0006-0000-0300-0000D1000000}">
      <text>
        <r>
          <rPr>
            <b/>
            <sz val="10"/>
            <color indexed="81"/>
            <rFont val="Verdana"/>
            <family val="2"/>
          </rPr>
          <t>Data Entry Cell, Which % of Max Rents is to be Underwritten? for unit type identified in column C</t>
        </r>
      </text>
    </comment>
    <comment ref="U24" authorId="0" shapeId="0" xr:uid="{00000000-0006-0000-0300-0000D2000000}">
      <text>
        <r>
          <rPr>
            <b/>
            <sz val="10"/>
            <color indexed="81"/>
            <rFont val="Verdana"/>
            <family val="2"/>
          </rPr>
          <t>Data Entry Cell, Which Utility Allowance is to be Underwritten? for unit type identified in column C</t>
        </r>
      </text>
    </comment>
    <comment ref="E25" authorId="1" shapeId="0" xr:uid="{00000000-0006-0000-0300-0000D3000000}">
      <text>
        <r>
          <rPr>
            <b/>
            <sz val="10"/>
            <color indexed="81"/>
            <rFont val="Tahoma"/>
            <family val="2"/>
          </rPr>
          <t>Data Entry Cell, Number of Units for type described in column C (at left)</t>
        </r>
      </text>
    </comment>
    <comment ref="F25" authorId="1" shapeId="0" xr:uid="{00000000-0006-0000-0300-0000D4000000}">
      <text>
        <r>
          <rPr>
            <b/>
            <sz val="10"/>
            <color indexed="81"/>
            <rFont val="Tahoma"/>
            <family val="2"/>
          </rPr>
          <t>Data Entry Cell, Sq. Footage per Unit type described in column C (at left)</t>
        </r>
      </text>
    </comment>
    <comment ref="L25" authorId="0" shapeId="0" xr:uid="{00000000-0006-0000-0300-0000D5000000}">
      <text>
        <r>
          <rPr>
            <b/>
            <sz val="10"/>
            <color indexed="81"/>
            <rFont val="Verdana"/>
            <family val="2"/>
          </rPr>
          <t>Data Entry Cell, Number of Bedrooms for type identified in column C</t>
        </r>
      </text>
    </comment>
    <comment ref="M25" authorId="0" shapeId="0" xr:uid="{00000000-0006-0000-0300-0000D6000000}">
      <text>
        <r>
          <rPr>
            <b/>
            <sz val="10"/>
            <color indexed="81"/>
            <rFont val="Verdana"/>
            <family val="2"/>
          </rPr>
          <t>Data Entry Cell, Low HOME? Yes/No for unit type identified in column C</t>
        </r>
      </text>
    </comment>
    <comment ref="N25" authorId="0" shapeId="0" xr:uid="{00000000-0006-0000-0300-0000D7000000}">
      <text>
        <r>
          <rPr>
            <b/>
            <sz val="10"/>
            <color indexed="81"/>
            <rFont val="Verdana"/>
            <family val="2"/>
          </rPr>
          <t>Data Entry Cell, High HOME? Yes/No for unit type identified in column C</t>
        </r>
      </text>
    </comment>
    <comment ref="O25" authorId="0" shapeId="0" xr:uid="{00000000-0006-0000-0300-0000D8000000}">
      <text>
        <r>
          <rPr>
            <b/>
            <sz val="10"/>
            <color indexed="81"/>
            <rFont val="Verdana"/>
            <family val="2"/>
          </rPr>
          <t>Data Entry Cell, Market Rate? Yes/No for unit type identified in column C</t>
        </r>
      </text>
    </comment>
    <comment ref="P25" authorId="0" shapeId="0" xr:uid="{00000000-0006-0000-0300-0000D9000000}">
      <text>
        <r>
          <rPr>
            <b/>
            <sz val="10"/>
            <color indexed="81"/>
            <rFont val="Verdana"/>
            <family val="2"/>
          </rPr>
          <t>Data Entry Cell, LIHTC? Yes/No for unit type identified in column C</t>
        </r>
      </text>
    </comment>
    <comment ref="Q25" authorId="0" shapeId="0" xr:uid="{00000000-0006-0000-0300-0000DA000000}">
      <text>
        <r>
          <rPr>
            <b/>
            <sz val="10"/>
            <color indexed="81"/>
            <rFont val="Verdana"/>
            <family val="2"/>
          </rPr>
          <t>Data Entry Cell, CDBG? Yes/No for unit type identified in column C</t>
        </r>
      </text>
    </comment>
    <comment ref="R25" authorId="0" shapeId="0" xr:uid="{00000000-0006-0000-0300-0000DB000000}">
      <text>
        <r>
          <rPr>
            <b/>
            <sz val="10"/>
            <color indexed="81"/>
            <rFont val="Verdana"/>
            <family val="2"/>
          </rPr>
          <t>Data Entry Cell, Which Rent Should be Underwritten? for unit type identified in column C</t>
        </r>
      </text>
    </comment>
    <comment ref="T25" authorId="0" shapeId="0" xr:uid="{00000000-0006-0000-0300-0000DC000000}">
      <text>
        <r>
          <rPr>
            <b/>
            <sz val="10"/>
            <color indexed="81"/>
            <rFont val="Verdana"/>
            <family val="2"/>
          </rPr>
          <t>Data Entry Cell, Which % of Max Rents is to be Underwritten? for unit type identified in column C</t>
        </r>
      </text>
    </comment>
    <comment ref="U25" authorId="0" shapeId="0" xr:uid="{00000000-0006-0000-0300-0000DD000000}">
      <text>
        <r>
          <rPr>
            <b/>
            <sz val="10"/>
            <color indexed="81"/>
            <rFont val="Verdana"/>
            <family val="2"/>
          </rPr>
          <t>Data Entry Cell, Which Utility Allowance is to be Underwritten? for unit type identified in column C</t>
        </r>
      </text>
    </comment>
    <comment ref="E26" authorId="1" shapeId="0" xr:uid="{00000000-0006-0000-0300-0000DE000000}">
      <text>
        <r>
          <rPr>
            <b/>
            <sz val="10"/>
            <color indexed="81"/>
            <rFont val="Tahoma"/>
            <family val="2"/>
          </rPr>
          <t>Data Entry Cell, Number of Units for type described in column C (at left)</t>
        </r>
      </text>
    </comment>
    <comment ref="F26" authorId="1" shapeId="0" xr:uid="{00000000-0006-0000-0300-0000DF000000}">
      <text>
        <r>
          <rPr>
            <b/>
            <sz val="10"/>
            <color indexed="81"/>
            <rFont val="Tahoma"/>
            <family val="2"/>
          </rPr>
          <t>Data Entry Cell, Sq. Footage per Unit type described in column C (at left)</t>
        </r>
      </text>
    </comment>
    <comment ref="L26" authorId="0" shapeId="0" xr:uid="{00000000-0006-0000-0300-0000E0000000}">
      <text>
        <r>
          <rPr>
            <b/>
            <sz val="10"/>
            <color indexed="81"/>
            <rFont val="Verdana"/>
            <family val="2"/>
          </rPr>
          <t>Data Entry Cell, Number of Bedrooms for type identified in column C</t>
        </r>
      </text>
    </comment>
    <comment ref="M26" authorId="0" shapeId="0" xr:uid="{00000000-0006-0000-0300-0000E1000000}">
      <text>
        <r>
          <rPr>
            <b/>
            <sz val="10"/>
            <color indexed="81"/>
            <rFont val="Verdana"/>
            <family val="2"/>
          </rPr>
          <t>Data Entry Cell, Low HOME? Yes/No for unit type identified in column C</t>
        </r>
      </text>
    </comment>
    <comment ref="N26" authorId="0" shapeId="0" xr:uid="{00000000-0006-0000-0300-0000E2000000}">
      <text>
        <r>
          <rPr>
            <b/>
            <sz val="10"/>
            <color indexed="81"/>
            <rFont val="Verdana"/>
            <family val="2"/>
          </rPr>
          <t>Data Entry Cell, High HOME? Yes/No for unit type identified in column C</t>
        </r>
      </text>
    </comment>
    <comment ref="O26" authorId="0" shapeId="0" xr:uid="{00000000-0006-0000-0300-0000E3000000}">
      <text>
        <r>
          <rPr>
            <b/>
            <sz val="10"/>
            <color indexed="81"/>
            <rFont val="Verdana"/>
            <family val="2"/>
          </rPr>
          <t>Data Entry Cell, Market Rate? Yes/No for unit type identified in column C</t>
        </r>
      </text>
    </comment>
    <comment ref="P26" authorId="0" shapeId="0" xr:uid="{00000000-0006-0000-0300-0000E4000000}">
      <text>
        <r>
          <rPr>
            <b/>
            <sz val="10"/>
            <color indexed="81"/>
            <rFont val="Verdana"/>
            <family val="2"/>
          </rPr>
          <t>Data Entry Cell, LIHTC? Yes/No for unit type identified in column C</t>
        </r>
      </text>
    </comment>
    <comment ref="Q26" authorId="0" shapeId="0" xr:uid="{00000000-0006-0000-0300-0000E5000000}">
      <text>
        <r>
          <rPr>
            <b/>
            <sz val="10"/>
            <color indexed="81"/>
            <rFont val="Verdana"/>
            <family val="2"/>
          </rPr>
          <t>Data Entry Cell, CDBG? Yes/No for unit type identified in column C</t>
        </r>
      </text>
    </comment>
    <comment ref="R26" authorId="0" shapeId="0" xr:uid="{00000000-0006-0000-0300-0000E6000000}">
      <text>
        <r>
          <rPr>
            <b/>
            <sz val="10"/>
            <color indexed="81"/>
            <rFont val="Verdana"/>
            <family val="2"/>
          </rPr>
          <t>Data Entry Cell, Which Rent Should be Underwritten? for unit type identified in column C</t>
        </r>
      </text>
    </comment>
    <comment ref="T26" authorId="0" shapeId="0" xr:uid="{00000000-0006-0000-0300-0000E7000000}">
      <text>
        <r>
          <rPr>
            <b/>
            <sz val="10"/>
            <color indexed="81"/>
            <rFont val="Verdana"/>
            <family val="2"/>
          </rPr>
          <t>Data Entry Cell, Which % of Max Rents is to be Underwritten? for unit type identified in column C</t>
        </r>
      </text>
    </comment>
    <comment ref="U26" authorId="0" shapeId="0" xr:uid="{00000000-0006-0000-0300-0000E8000000}">
      <text>
        <r>
          <rPr>
            <b/>
            <sz val="10"/>
            <color indexed="81"/>
            <rFont val="Verdana"/>
            <family val="2"/>
          </rPr>
          <t>Data Entry Cell, Which Utility Allowance is to be Underwritten? for unit type identified in column C</t>
        </r>
      </text>
    </comment>
    <comment ref="E27" authorId="1" shapeId="0" xr:uid="{00000000-0006-0000-0300-0000E9000000}">
      <text>
        <r>
          <rPr>
            <b/>
            <sz val="10"/>
            <color indexed="81"/>
            <rFont val="Tahoma"/>
            <family val="2"/>
          </rPr>
          <t>Data Entry Cell, Number of Units for type described in column C (at left)</t>
        </r>
      </text>
    </comment>
    <comment ref="F27" authorId="1" shapeId="0" xr:uid="{00000000-0006-0000-0300-0000EA000000}">
      <text>
        <r>
          <rPr>
            <b/>
            <sz val="10"/>
            <color indexed="81"/>
            <rFont val="Tahoma"/>
            <family val="2"/>
          </rPr>
          <t>Data Entry Cell, Sq. Footage per Unit type described in column C (at left)</t>
        </r>
      </text>
    </comment>
    <comment ref="L27" authorId="0" shapeId="0" xr:uid="{00000000-0006-0000-0300-0000EB000000}">
      <text>
        <r>
          <rPr>
            <b/>
            <sz val="10"/>
            <color indexed="81"/>
            <rFont val="Verdana"/>
            <family val="2"/>
          </rPr>
          <t>Data Entry Cell, Number of Bedrooms for type identified in column C</t>
        </r>
      </text>
    </comment>
    <comment ref="M27" authorId="0" shapeId="0" xr:uid="{00000000-0006-0000-0300-0000EC000000}">
      <text>
        <r>
          <rPr>
            <b/>
            <sz val="10"/>
            <color indexed="81"/>
            <rFont val="Verdana"/>
            <family val="2"/>
          </rPr>
          <t>Data Entry Cell, Low HOME? Yes/No for unit type identified in column C</t>
        </r>
      </text>
    </comment>
    <comment ref="N27" authorId="0" shapeId="0" xr:uid="{00000000-0006-0000-0300-0000ED000000}">
      <text>
        <r>
          <rPr>
            <b/>
            <sz val="10"/>
            <color indexed="81"/>
            <rFont val="Verdana"/>
            <family val="2"/>
          </rPr>
          <t>Data Entry Cell, High HOME? Yes/No for unit type identified in column C</t>
        </r>
      </text>
    </comment>
    <comment ref="O27" authorId="0" shapeId="0" xr:uid="{00000000-0006-0000-0300-0000EE000000}">
      <text>
        <r>
          <rPr>
            <b/>
            <sz val="10"/>
            <color indexed="81"/>
            <rFont val="Verdana"/>
            <family val="2"/>
          </rPr>
          <t>Data Entry Cell, Market Rate? Yes/No for unit type identified in column C</t>
        </r>
      </text>
    </comment>
    <comment ref="P27" authorId="0" shapeId="0" xr:uid="{00000000-0006-0000-0300-0000EF000000}">
      <text>
        <r>
          <rPr>
            <b/>
            <sz val="10"/>
            <color indexed="81"/>
            <rFont val="Verdana"/>
            <family val="2"/>
          </rPr>
          <t>Data Entry Cell, LIHTC? Yes/No for unit type identified in column C</t>
        </r>
      </text>
    </comment>
    <comment ref="Q27" authorId="0" shapeId="0" xr:uid="{00000000-0006-0000-0300-0000F0000000}">
      <text>
        <r>
          <rPr>
            <b/>
            <sz val="10"/>
            <color indexed="81"/>
            <rFont val="Verdana"/>
            <family val="2"/>
          </rPr>
          <t>Data Entry Cell, CDBG? Yes/No for unit type identified in column C</t>
        </r>
      </text>
    </comment>
    <comment ref="R27" authorId="0" shapeId="0" xr:uid="{00000000-0006-0000-0300-0000F1000000}">
      <text>
        <r>
          <rPr>
            <b/>
            <sz val="10"/>
            <color indexed="81"/>
            <rFont val="Verdana"/>
            <family val="2"/>
          </rPr>
          <t>Data Entry Cell, Which Rent Should be Underwritten? for unit type identified in column C</t>
        </r>
      </text>
    </comment>
    <comment ref="T27" authorId="0" shapeId="0" xr:uid="{00000000-0006-0000-0300-0000F2000000}">
      <text>
        <r>
          <rPr>
            <b/>
            <sz val="10"/>
            <color indexed="81"/>
            <rFont val="Verdana"/>
            <family val="2"/>
          </rPr>
          <t>Data Entry Cell, Which % of Max Rents is to be Underwritten? for unit type identified in column C</t>
        </r>
      </text>
    </comment>
    <comment ref="U27" authorId="0" shapeId="0" xr:uid="{00000000-0006-0000-0300-0000F3000000}">
      <text>
        <r>
          <rPr>
            <b/>
            <sz val="10"/>
            <color indexed="81"/>
            <rFont val="Verdana"/>
            <family val="2"/>
          </rPr>
          <t>Data Entry Cell, Which Utility Allowance is to be Underwritten? for unit type identified in column C</t>
        </r>
      </text>
    </comment>
    <comment ref="E28" authorId="1" shapeId="0" xr:uid="{00000000-0006-0000-0300-0000F4000000}">
      <text>
        <r>
          <rPr>
            <b/>
            <sz val="10"/>
            <color indexed="81"/>
            <rFont val="Tahoma"/>
            <family val="2"/>
          </rPr>
          <t>Data Entry Cell, Number of Units for type described in column C (at left)</t>
        </r>
      </text>
    </comment>
    <comment ref="F28" authorId="1" shapeId="0" xr:uid="{00000000-0006-0000-0300-0000F5000000}">
      <text>
        <r>
          <rPr>
            <b/>
            <sz val="10"/>
            <color indexed="81"/>
            <rFont val="Tahoma"/>
            <family val="2"/>
          </rPr>
          <t>Data Entry Cell, Sq. Footage per Unit type described in column C (at left)</t>
        </r>
      </text>
    </comment>
    <comment ref="L28" authorId="0" shapeId="0" xr:uid="{00000000-0006-0000-0300-0000F6000000}">
      <text>
        <r>
          <rPr>
            <b/>
            <sz val="10"/>
            <color indexed="81"/>
            <rFont val="Verdana"/>
            <family val="2"/>
          </rPr>
          <t>Data Entry Cell, Number of Bedrooms for type identified in column C</t>
        </r>
      </text>
    </comment>
    <comment ref="M28" authorId="0" shapeId="0" xr:uid="{00000000-0006-0000-0300-0000F7000000}">
      <text>
        <r>
          <rPr>
            <b/>
            <sz val="10"/>
            <color indexed="81"/>
            <rFont val="Verdana"/>
            <family val="2"/>
          </rPr>
          <t>Data Entry Cell, Low HOME? Yes/No for unit type identified in column C</t>
        </r>
      </text>
    </comment>
    <comment ref="N28" authorId="0" shapeId="0" xr:uid="{00000000-0006-0000-0300-0000F8000000}">
      <text>
        <r>
          <rPr>
            <b/>
            <sz val="10"/>
            <color indexed="81"/>
            <rFont val="Verdana"/>
            <family val="2"/>
          </rPr>
          <t>Data Entry Cell, High HOME? Yes/No for unit type identified in column C</t>
        </r>
      </text>
    </comment>
    <comment ref="O28" authorId="0" shapeId="0" xr:uid="{00000000-0006-0000-0300-0000F9000000}">
      <text>
        <r>
          <rPr>
            <b/>
            <sz val="10"/>
            <color indexed="81"/>
            <rFont val="Verdana"/>
            <family val="2"/>
          </rPr>
          <t>Data Entry Cell, Market Rate? Yes/No for unit type identified in column C</t>
        </r>
      </text>
    </comment>
    <comment ref="P28" authorId="0" shapeId="0" xr:uid="{00000000-0006-0000-0300-0000FA000000}">
      <text>
        <r>
          <rPr>
            <b/>
            <sz val="10"/>
            <color indexed="81"/>
            <rFont val="Verdana"/>
            <family val="2"/>
          </rPr>
          <t>Data Entry Cell, LIHTC? Yes/No for unit type identified in column C</t>
        </r>
      </text>
    </comment>
    <comment ref="Q28" authorId="0" shapeId="0" xr:uid="{00000000-0006-0000-0300-0000FB000000}">
      <text>
        <r>
          <rPr>
            <b/>
            <sz val="10"/>
            <color indexed="81"/>
            <rFont val="Verdana"/>
            <family val="2"/>
          </rPr>
          <t>Data Entry Cell, CDBG? Yes/No for unit type identified in column C</t>
        </r>
      </text>
    </comment>
    <comment ref="R28" authorId="0" shapeId="0" xr:uid="{00000000-0006-0000-0300-0000FC000000}">
      <text>
        <r>
          <rPr>
            <b/>
            <sz val="10"/>
            <color indexed="81"/>
            <rFont val="Verdana"/>
            <family val="2"/>
          </rPr>
          <t>Data Entry Cell, Which Rent Should be Underwritten? for unit type identified in column C</t>
        </r>
      </text>
    </comment>
    <comment ref="T28" authorId="0" shapeId="0" xr:uid="{00000000-0006-0000-0300-0000FD000000}">
      <text>
        <r>
          <rPr>
            <b/>
            <sz val="10"/>
            <color indexed="81"/>
            <rFont val="Verdana"/>
            <family val="2"/>
          </rPr>
          <t>Data Entry Cell, Which % of Max Rents is to be Underwritten? for unit type identified in column C</t>
        </r>
      </text>
    </comment>
    <comment ref="U28" authorId="0" shapeId="0" xr:uid="{00000000-0006-0000-0300-0000FE000000}">
      <text>
        <r>
          <rPr>
            <b/>
            <sz val="10"/>
            <color indexed="81"/>
            <rFont val="Verdana"/>
            <family val="2"/>
          </rPr>
          <t>Data Entry Cell, Which Utility Allowance is to be Underwritten? for unit type identified in column C</t>
        </r>
      </text>
    </comment>
    <comment ref="E29" authorId="1" shapeId="0" xr:uid="{00000000-0006-0000-0300-0000FF000000}">
      <text>
        <r>
          <rPr>
            <b/>
            <sz val="10"/>
            <color indexed="81"/>
            <rFont val="Tahoma"/>
            <family val="2"/>
          </rPr>
          <t>Data Entry Cell, Number of Units for type described in column C (at left)</t>
        </r>
      </text>
    </comment>
    <comment ref="F29" authorId="1" shapeId="0" xr:uid="{00000000-0006-0000-0300-000000010000}">
      <text>
        <r>
          <rPr>
            <b/>
            <sz val="10"/>
            <color indexed="81"/>
            <rFont val="Tahoma"/>
            <family val="2"/>
          </rPr>
          <t>Data Entry Cell, Sq. Footage per Unit type described in column C (at left)</t>
        </r>
      </text>
    </comment>
    <comment ref="L29" authorId="0" shapeId="0" xr:uid="{00000000-0006-0000-0300-000001010000}">
      <text>
        <r>
          <rPr>
            <b/>
            <sz val="10"/>
            <color indexed="81"/>
            <rFont val="Verdana"/>
            <family val="2"/>
          </rPr>
          <t>Data Entry Cell, Number of Bedrooms for type identified in column C</t>
        </r>
      </text>
    </comment>
    <comment ref="M29" authorId="0" shapeId="0" xr:uid="{00000000-0006-0000-0300-000002010000}">
      <text>
        <r>
          <rPr>
            <b/>
            <sz val="10"/>
            <color indexed="81"/>
            <rFont val="Verdana"/>
            <family val="2"/>
          </rPr>
          <t>Data Entry Cell, Low HOME? Yes/No for unit type identified in column C</t>
        </r>
      </text>
    </comment>
    <comment ref="N29" authorId="0" shapeId="0" xr:uid="{00000000-0006-0000-0300-000003010000}">
      <text>
        <r>
          <rPr>
            <b/>
            <sz val="10"/>
            <color indexed="81"/>
            <rFont val="Verdana"/>
            <family val="2"/>
          </rPr>
          <t>Data Entry Cell, High HOME? Yes/No for unit type identified in column C</t>
        </r>
      </text>
    </comment>
    <comment ref="O29" authorId="0" shapeId="0" xr:uid="{00000000-0006-0000-0300-000004010000}">
      <text>
        <r>
          <rPr>
            <b/>
            <sz val="10"/>
            <color indexed="81"/>
            <rFont val="Verdana"/>
            <family val="2"/>
          </rPr>
          <t>Data Entry Cell, Market Rate? Yes/No for unit type identified in column C</t>
        </r>
      </text>
    </comment>
    <comment ref="P29" authorId="0" shapeId="0" xr:uid="{00000000-0006-0000-0300-000005010000}">
      <text>
        <r>
          <rPr>
            <b/>
            <sz val="10"/>
            <color indexed="81"/>
            <rFont val="Verdana"/>
            <family val="2"/>
          </rPr>
          <t>Data Entry Cell, LIHTC? Yes/No for unit type identified in column C</t>
        </r>
      </text>
    </comment>
    <comment ref="Q29" authorId="0" shapeId="0" xr:uid="{00000000-0006-0000-0300-000006010000}">
      <text>
        <r>
          <rPr>
            <b/>
            <sz val="10"/>
            <color indexed="81"/>
            <rFont val="Verdana"/>
            <family val="2"/>
          </rPr>
          <t>Data Entry Cell, CDBG? Yes/No for unit type identified in column C</t>
        </r>
      </text>
    </comment>
    <comment ref="R29" authorId="0" shapeId="0" xr:uid="{00000000-0006-0000-0300-000007010000}">
      <text>
        <r>
          <rPr>
            <b/>
            <sz val="10"/>
            <color indexed="81"/>
            <rFont val="Verdana"/>
            <family val="2"/>
          </rPr>
          <t>Data Entry Cell, Which Rent Should be Underwritten? for unit type identified in column C</t>
        </r>
      </text>
    </comment>
    <comment ref="T29" authorId="0" shapeId="0" xr:uid="{00000000-0006-0000-0300-000008010000}">
      <text>
        <r>
          <rPr>
            <b/>
            <sz val="10"/>
            <color indexed="81"/>
            <rFont val="Verdana"/>
            <family val="2"/>
          </rPr>
          <t>Data Entry Cell, Which % of Max Rents is to be Underwritten? for unit type identified in column C</t>
        </r>
      </text>
    </comment>
    <comment ref="U29" authorId="0" shapeId="0" xr:uid="{00000000-0006-0000-0300-000009010000}">
      <text>
        <r>
          <rPr>
            <b/>
            <sz val="10"/>
            <color indexed="81"/>
            <rFont val="Verdana"/>
            <family val="2"/>
          </rPr>
          <t>Data Entry Cell, Which Utility Allowance is to be Underwritten? for unit type identified in column C</t>
        </r>
      </text>
    </comment>
    <comment ref="E30" authorId="1" shapeId="0" xr:uid="{00000000-0006-0000-0300-00000A010000}">
      <text>
        <r>
          <rPr>
            <b/>
            <sz val="10"/>
            <color indexed="81"/>
            <rFont val="Tahoma"/>
            <family val="2"/>
          </rPr>
          <t>Data Entry Cell, Number of Units for type described in column C (at left)</t>
        </r>
      </text>
    </comment>
    <comment ref="F30" authorId="1" shapeId="0" xr:uid="{00000000-0006-0000-0300-00000B010000}">
      <text>
        <r>
          <rPr>
            <b/>
            <sz val="10"/>
            <color indexed="81"/>
            <rFont val="Tahoma"/>
            <family val="2"/>
          </rPr>
          <t>Data Entry Cell, Sq. Footage per Unit type described in column C (at left)</t>
        </r>
      </text>
    </comment>
    <comment ref="L30" authorId="0" shapeId="0" xr:uid="{00000000-0006-0000-0300-00000C010000}">
      <text>
        <r>
          <rPr>
            <b/>
            <sz val="10"/>
            <color indexed="81"/>
            <rFont val="Verdana"/>
            <family val="2"/>
          </rPr>
          <t>Data Entry Cell, Number of Bedrooms for type identified in column C</t>
        </r>
      </text>
    </comment>
    <comment ref="M30" authorId="0" shapeId="0" xr:uid="{00000000-0006-0000-0300-00000D010000}">
      <text>
        <r>
          <rPr>
            <b/>
            <sz val="10"/>
            <color indexed="81"/>
            <rFont val="Verdana"/>
            <family val="2"/>
          </rPr>
          <t>Data Entry Cell, Low HOME? Yes/No for unit type identified in column C</t>
        </r>
      </text>
    </comment>
    <comment ref="N30" authorId="0" shapeId="0" xr:uid="{00000000-0006-0000-0300-00000E010000}">
      <text>
        <r>
          <rPr>
            <b/>
            <sz val="10"/>
            <color indexed="81"/>
            <rFont val="Verdana"/>
            <family val="2"/>
          </rPr>
          <t>Data Entry Cell, High HOME? Yes/No for unit type identified in column C</t>
        </r>
      </text>
    </comment>
    <comment ref="O30" authorId="0" shapeId="0" xr:uid="{00000000-0006-0000-0300-00000F010000}">
      <text>
        <r>
          <rPr>
            <b/>
            <sz val="10"/>
            <color indexed="81"/>
            <rFont val="Verdana"/>
            <family val="2"/>
          </rPr>
          <t>Data Entry Cell, Market Rate? Yes/No for unit type identified in column C</t>
        </r>
      </text>
    </comment>
    <comment ref="P30" authorId="0" shapeId="0" xr:uid="{00000000-0006-0000-0300-000010010000}">
      <text>
        <r>
          <rPr>
            <b/>
            <sz val="10"/>
            <color indexed="81"/>
            <rFont val="Verdana"/>
            <family val="2"/>
          </rPr>
          <t>Data Entry Cell, LIHTC? Yes/No for unit type identified in column C</t>
        </r>
      </text>
    </comment>
    <comment ref="Q30" authorId="0" shapeId="0" xr:uid="{00000000-0006-0000-0300-000011010000}">
      <text>
        <r>
          <rPr>
            <b/>
            <sz val="10"/>
            <color indexed="81"/>
            <rFont val="Verdana"/>
            <family val="2"/>
          </rPr>
          <t>Data Entry Cell, CDBG? Yes/No for unit type identified in column C</t>
        </r>
      </text>
    </comment>
    <comment ref="R30" authorId="0" shapeId="0" xr:uid="{00000000-0006-0000-0300-000012010000}">
      <text>
        <r>
          <rPr>
            <b/>
            <sz val="10"/>
            <color indexed="81"/>
            <rFont val="Verdana"/>
            <family val="2"/>
          </rPr>
          <t>Data Entry Cell, Which Rent Should be Underwritten? for unit type identified in column C</t>
        </r>
      </text>
    </comment>
    <comment ref="T30" authorId="0" shapeId="0" xr:uid="{00000000-0006-0000-0300-000013010000}">
      <text>
        <r>
          <rPr>
            <b/>
            <sz val="10"/>
            <color indexed="81"/>
            <rFont val="Verdana"/>
            <family val="2"/>
          </rPr>
          <t>Data Entry Cell, Which % of Max Rents is to be Underwritten? for unit type identified in column C</t>
        </r>
      </text>
    </comment>
    <comment ref="U30" authorId="0" shapeId="0" xr:uid="{00000000-0006-0000-0300-000014010000}">
      <text>
        <r>
          <rPr>
            <b/>
            <sz val="10"/>
            <color indexed="81"/>
            <rFont val="Verdana"/>
            <family val="2"/>
          </rPr>
          <t>Data Entry Cell, Which Utility Allowance is to be Underwritten? for unit type identified in column C</t>
        </r>
      </text>
    </comment>
    <comment ref="M32" authorId="0" shapeId="0" xr:uid="{00000000-0006-0000-0300-000015010000}">
      <text>
        <r>
          <rPr>
            <b/>
            <sz val="8"/>
            <color indexed="81"/>
            <rFont val="Tahoma"/>
            <family val="2"/>
          </rPr>
          <t>This total is used later in this Template to calculate HOME assistance per unit and to help determine the minimum number of HOME-assisted units.</t>
        </r>
        <r>
          <rPr>
            <sz val="8"/>
            <color indexed="81"/>
            <rFont val="Tahoma"/>
            <family val="2"/>
          </rPr>
          <t xml:space="preserve">
</t>
        </r>
      </text>
    </comment>
    <comment ref="N32" authorId="0" shapeId="0" xr:uid="{00000000-0006-0000-0300-000016010000}">
      <text/>
    </comment>
    <comment ref="P32" authorId="0" shapeId="0" xr:uid="{00000000-0006-0000-0300-000017010000}">
      <text>
        <r>
          <rPr>
            <b/>
            <sz val="8"/>
            <color indexed="81"/>
            <rFont val="Tahoma"/>
            <family val="2"/>
          </rPr>
          <t>This total is used on the LIHTC Basis table to calculate the LIHTC 'applicable fraction'.</t>
        </r>
        <r>
          <rPr>
            <sz val="8"/>
            <color indexed="81"/>
            <rFont val="Tahoma"/>
            <family val="2"/>
          </rPr>
          <t xml:space="preserve">
</t>
        </r>
      </text>
    </comment>
    <comment ref="C34" authorId="2" shapeId="0" xr:uid="{00000000-0006-0000-0300-000018010000}">
      <text>
        <r>
          <rPr>
            <b/>
            <sz val="9"/>
            <color indexed="81"/>
            <rFont val="Tahoma"/>
            <family val="2"/>
          </rPr>
          <t>Data Entry Cell, comment on unit characteristics / rents / etc.</t>
        </r>
        <r>
          <rPr>
            <sz val="9"/>
            <color indexed="81"/>
            <rFont val="Tahoma"/>
            <family val="2"/>
          </rPr>
          <t xml:space="preserve">
</t>
        </r>
      </text>
    </comment>
    <comment ref="A38" authorId="0" shapeId="0" xr:uid="{00000000-0006-0000-0300-000019010000}">
      <text>
        <r>
          <rPr>
            <b/>
            <sz val="8"/>
            <color indexed="81"/>
            <rFont val="Tahoma"/>
            <family val="2"/>
          </rPr>
          <t>Typically rent loss will be higher in the first year, while the property is in lease-up. 
Enter the estimated rent loss (vacancy plus bad debt plus concessions) that is expected in Year 1 of the property's operation.  Many projects have a higher rent loss rate during their first year, due to the time needed to find tenants for the newly available units (a period known as “lease-up”).  PJs can consult with property managers in the area to get a sense of typical lease-up timeframes and rent loss rates.  The market study for the project is another good source of information.</t>
        </r>
        <r>
          <rPr>
            <sz val="8"/>
            <color indexed="81"/>
            <rFont val="Tahoma"/>
            <family val="2"/>
          </rPr>
          <t xml:space="preserve">
</t>
        </r>
      </text>
    </comment>
    <comment ref="E38" authorId="3" shapeId="0" xr:uid="{00000000-0006-0000-0300-00001A010000}">
      <text>
        <r>
          <rPr>
            <b/>
            <sz val="10"/>
            <color indexed="81"/>
            <rFont val="Tahoma"/>
            <family val="2"/>
          </rPr>
          <t>Data Entry Cell, Vacancy Year 1, HOME Units</t>
        </r>
      </text>
    </comment>
    <comment ref="F38" authorId="3" shapeId="0" xr:uid="{00000000-0006-0000-0300-00001B010000}">
      <text>
        <r>
          <rPr>
            <b/>
            <sz val="10"/>
            <color indexed="81"/>
            <rFont val="Tahoma"/>
            <family val="2"/>
          </rPr>
          <t>Data Entry Cell, Vacancy Year 1, Market Rate Units</t>
        </r>
      </text>
    </comment>
    <comment ref="G38" authorId="3" shapeId="0" xr:uid="{00000000-0006-0000-0300-00001C010000}">
      <text>
        <r>
          <rPr>
            <b/>
            <sz val="10"/>
            <color indexed="81"/>
            <rFont val="Tahoma"/>
            <family val="2"/>
          </rPr>
          <t>Data Entry Cell, Vacancy Year 1, Other Affordable Units</t>
        </r>
      </text>
    </comment>
    <comment ref="A39" authorId="0" shapeId="0" xr:uid="{00000000-0006-0000-0300-00001D010000}">
      <text>
        <r>
          <rPr>
            <b/>
            <sz val="8"/>
            <color indexed="81"/>
            <rFont val="Tahoma"/>
            <family val="2"/>
          </rPr>
          <t>Remember to include vacancy loss, bad debt loss, and concession loss.</t>
        </r>
        <r>
          <rPr>
            <sz val="8"/>
            <color indexed="81"/>
            <rFont val="Tahoma"/>
            <family val="2"/>
          </rPr>
          <t xml:space="preserve">
</t>
        </r>
        <r>
          <rPr>
            <b/>
            <sz val="8"/>
            <color indexed="81"/>
            <rFont val="Tahoma"/>
            <family val="2"/>
          </rPr>
          <t xml:space="preserve">Enter the estimated rent loss that is expected, on average, for Year 2 and afterward.  Every project is different, so it is important to carefully estimate the correct rent loss rate rather than using a rule of thumb.  The market study for the project is a good source of information. </t>
        </r>
      </text>
    </comment>
    <comment ref="E39" authorId="3" shapeId="0" xr:uid="{00000000-0006-0000-0300-00001E010000}">
      <text>
        <r>
          <rPr>
            <b/>
            <sz val="10"/>
            <color indexed="81"/>
            <rFont val="Tahoma"/>
            <family val="2"/>
          </rPr>
          <t>Data Entry Cell, Stabilized Vacancy Rate, HOME Units</t>
        </r>
      </text>
    </comment>
    <comment ref="F39" authorId="3" shapeId="0" xr:uid="{00000000-0006-0000-0300-00001F010000}">
      <text>
        <r>
          <rPr>
            <b/>
            <sz val="10"/>
            <color indexed="81"/>
            <rFont val="Tahoma"/>
            <family val="2"/>
          </rPr>
          <t>Data Entry Cell, Stabilized Vacancy Rate, Market Rate Units</t>
        </r>
      </text>
    </comment>
    <comment ref="G39" authorId="3" shapeId="0" xr:uid="{00000000-0006-0000-0300-000020010000}">
      <text>
        <r>
          <rPr>
            <b/>
            <sz val="10"/>
            <color indexed="81"/>
            <rFont val="Tahoma"/>
            <family val="2"/>
          </rPr>
          <t>Data Entry Cell, Stabilized Vacancy Rate, Other Affordable Units</t>
        </r>
      </text>
    </comment>
    <comment ref="A41" authorId="0" shapeId="0" xr:uid="{00000000-0006-0000-0300-000021010000}">
      <text>
        <r>
          <rPr>
            <b/>
            <sz val="8"/>
            <color indexed="81"/>
            <rFont val="Tahoma"/>
            <family val="2"/>
          </rPr>
          <t>Other Revenue includes any income besides residential rental income.  For example, revenues from laundry facilities and commercial space operated as part of the project should be included in this amount.  
Note that this section applies to additional revenues generated by all units in the project, regardless of whether they are HOME-assisted units.</t>
        </r>
      </text>
    </comment>
    <comment ref="E42" authorId="3" shapeId="0" xr:uid="{00000000-0006-0000-0300-000022010000}">
      <text>
        <r>
          <rPr>
            <b/>
            <sz val="10"/>
            <color indexed="81"/>
            <rFont val="Tahoma"/>
            <family val="2"/>
          </rPr>
          <t>Data Entry Cell, Other Monthly Revenue</t>
        </r>
      </text>
    </comment>
    <comment ref="E43" authorId="3" shapeId="0" xr:uid="{00000000-0006-0000-0300-000023010000}">
      <text>
        <r>
          <rPr>
            <b/>
            <sz val="10"/>
            <color indexed="81"/>
            <rFont val="Tahoma"/>
            <family val="2"/>
          </rPr>
          <t>Data Entry Cell, Other Monthly Revenue</t>
        </r>
      </text>
    </comment>
    <comment ref="E44" authorId="3" shapeId="0" xr:uid="{00000000-0006-0000-0300-000024010000}">
      <text>
        <r>
          <rPr>
            <b/>
            <sz val="10"/>
            <color indexed="81"/>
            <rFont val="Tahoma"/>
            <family val="2"/>
          </rPr>
          <t>Data Entry Cell, Other Monthly Revenue</t>
        </r>
      </text>
    </comment>
    <comment ref="E45" authorId="3" shapeId="0" xr:uid="{00000000-0006-0000-0300-000025010000}">
      <text>
        <r>
          <rPr>
            <b/>
            <sz val="10"/>
            <color indexed="81"/>
            <rFont val="Tahoma"/>
            <family val="2"/>
          </rPr>
          <t>Data Entry Cell, Other Monthly Revenue</t>
        </r>
      </text>
    </comment>
    <comment ref="E46" authorId="3" shapeId="0" xr:uid="{00000000-0006-0000-0300-000026010000}">
      <text>
        <r>
          <rPr>
            <b/>
            <sz val="10"/>
            <color indexed="81"/>
            <rFont val="Tahoma"/>
            <family val="2"/>
          </rPr>
          <t>Data Entry Cell, Other Monthly Revenue</t>
        </r>
      </text>
    </comment>
    <comment ref="E47" authorId="3" shapeId="0" xr:uid="{00000000-0006-0000-0300-000027010000}">
      <text>
        <r>
          <rPr>
            <b/>
            <sz val="10"/>
            <color indexed="81"/>
            <rFont val="Tahoma"/>
            <family val="2"/>
          </rPr>
          <t>Data Entry Cell, Other Monthly Revenue</t>
        </r>
      </text>
    </comment>
    <comment ref="C51" authorId="2" shapeId="0" xr:uid="{00000000-0006-0000-0300-000028010000}">
      <text>
        <r>
          <rPr>
            <b/>
            <sz val="9"/>
            <color indexed="81"/>
            <rFont val="Tahoma"/>
            <family val="2"/>
          </rPr>
          <t>Data Entry Cell, comment on Rent Loss and Other Revenue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Charlie Wilkins</author>
  </authors>
  <commentList>
    <comment ref="A3" authorId="0" shapeId="0" xr:uid="{00000000-0006-0000-0400-000001000000}">
      <text>
        <r>
          <rPr>
            <b/>
            <sz val="8"/>
            <color indexed="81"/>
            <rFont val="Tahoma"/>
            <family val="2"/>
          </rPr>
          <t xml:space="preserve">The Development Costs tab of the Template walks you through the process of generating a development budget. </t>
        </r>
        <r>
          <rPr>
            <sz val="8"/>
            <color indexed="81"/>
            <rFont val="Tahoma"/>
            <family val="2"/>
          </rPr>
          <t xml:space="preserve">
</t>
        </r>
      </text>
    </comment>
    <comment ref="A4" authorId="0" shapeId="0" xr:uid="{00000000-0006-0000-0400-000002000000}">
      <text>
        <r>
          <rPr>
            <b/>
            <sz val="8"/>
            <color indexed="81"/>
            <rFont val="Tahoma"/>
            <family val="2"/>
          </rPr>
          <t xml:space="preserve">The Acquisition costs are the costs paid to acquire Land and any Existing Structures on the project site.  Existing structures include buildings, infrastructure, or other assets already located on the land.  
You may not need to enter the acquisition costs if the land / buildings have already been acquired </t>
        </r>
        <r>
          <rPr>
            <b/>
            <u/>
            <sz val="8"/>
            <color indexed="81"/>
            <rFont val="Tahoma"/>
            <family val="2"/>
          </rPr>
          <t>and the project owner is contributing the land / buildings to the project</t>
        </r>
        <r>
          <rPr>
            <b/>
            <sz val="8"/>
            <color indexed="81"/>
            <rFont val="Tahoma"/>
            <family val="2"/>
          </rPr>
          <t xml:space="preserve">.  If, however, the land and buildings are being </t>
        </r>
        <r>
          <rPr>
            <b/>
            <u/>
            <sz val="8"/>
            <color indexed="81"/>
            <rFont val="Tahoma"/>
            <family val="2"/>
          </rPr>
          <t>paid for</t>
        </r>
        <r>
          <rPr>
            <b/>
            <sz val="8"/>
            <color indexed="81"/>
            <rFont val="Tahoma"/>
            <family val="2"/>
          </rPr>
          <t xml:space="preserve"> as part of the project, you will need to enter the costs here. 
</t>
        </r>
      </text>
    </comment>
    <comment ref="D5" authorId="1" shapeId="0" xr:uid="{00000000-0006-0000-0400-000003000000}">
      <text>
        <r>
          <rPr>
            <b/>
            <sz val="10"/>
            <color indexed="81"/>
            <rFont val="Tahoma"/>
            <family val="2"/>
          </rPr>
          <t>Data Entry Cell, Land Cost</t>
        </r>
      </text>
    </comment>
    <comment ref="G5" authorId="1" shapeId="0" xr:uid="{00000000-0006-0000-0400-000004000000}">
      <text>
        <r>
          <rPr>
            <b/>
            <sz val="10"/>
            <color indexed="81"/>
            <rFont val="Tahoma"/>
            <family val="2"/>
          </rPr>
          <t>Data Entry Cell, Comment on Land Cost</t>
        </r>
      </text>
    </comment>
    <comment ref="M5" authorId="2" shapeId="0" xr:uid="{00000000-0006-0000-0400-000005000000}">
      <text>
        <r>
          <rPr>
            <b/>
            <sz val="9"/>
            <color indexed="81"/>
            <rFont val="Tahoma"/>
            <family val="2"/>
          </rPr>
          <t>Land is not eligible as LIHTC basis.</t>
        </r>
      </text>
    </comment>
    <comment ref="D6" authorId="1" shapeId="0" xr:uid="{00000000-0006-0000-0400-000006000000}">
      <text>
        <r>
          <rPr>
            <b/>
            <sz val="10"/>
            <color indexed="81"/>
            <rFont val="Tahoma"/>
            <family val="2"/>
          </rPr>
          <t>Data Entry Cell, Existing Structure Cost</t>
        </r>
      </text>
    </comment>
    <comment ref="G6" authorId="1" shapeId="0" xr:uid="{00000000-0006-0000-0400-000007000000}">
      <text>
        <r>
          <rPr>
            <b/>
            <sz val="10"/>
            <color indexed="81"/>
            <rFont val="Tahoma"/>
            <family val="2"/>
          </rPr>
          <t>Data Entry Cell, Comment on Existing Structure Cost</t>
        </r>
      </text>
    </comment>
    <comment ref="M6" authorId="2" shapeId="0" xr:uid="{00000000-0006-0000-0400-000008000000}">
      <text>
        <r>
          <rPr>
            <b/>
            <sz val="9"/>
            <color indexed="81"/>
            <rFont val="Tahoma"/>
            <family val="2"/>
          </rPr>
          <t>The cost to acquire existing structures is eligible as LIHTC basis.</t>
        </r>
      </text>
    </comment>
    <comment ref="A7" authorId="0" shapeId="0" xr:uid="{00000000-0006-0000-0400-000009000000}">
      <text>
        <r>
          <rPr>
            <b/>
            <sz val="8"/>
            <color indexed="81"/>
            <rFont val="Tahoma"/>
            <family val="2"/>
          </rPr>
          <t xml:space="preserve">Use the Other Acquisition Costs line to enter costs related to acquisition that are not represented by the other items in this category.  Enter a label (replacing the “Other Acquisition Costs” text) and an amount.  If you do not need to use this field, simply leave it blank.
 </t>
        </r>
        <r>
          <rPr>
            <sz val="8"/>
            <color indexed="81"/>
            <rFont val="Tahoma"/>
            <family val="2"/>
          </rPr>
          <t xml:space="preserve">
</t>
        </r>
      </text>
    </comment>
    <comment ref="C7" authorId="0" shapeId="0" xr:uid="{00000000-0006-0000-0400-00000A000000}">
      <text>
        <r>
          <rPr>
            <b/>
            <sz val="10"/>
            <color indexed="81"/>
            <rFont val="Verdana"/>
            <family val="2"/>
          </rPr>
          <t>Data Entry Cell, Insert the name of Other Acquisition Costs</t>
        </r>
      </text>
    </comment>
    <comment ref="D7" authorId="1" shapeId="0" xr:uid="{00000000-0006-0000-0400-00000B000000}">
      <text>
        <r>
          <rPr>
            <b/>
            <sz val="10"/>
            <color indexed="81"/>
            <rFont val="Tahoma"/>
            <family val="2"/>
          </rPr>
          <t>Data Entry Cell, Other Acquisition  Costs</t>
        </r>
      </text>
    </comment>
    <comment ref="G7" authorId="1" shapeId="0" xr:uid="{00000000-0006-0000-0400-00000C000000}">
      <text>
        <r>
          <rPr>
            <b/>
            <sz val="10"/>
            <color indexed="81"/>
            <rFont val="Tahoma"/>
            <family val="2"/>
          </rPr>
          <t>Data Entry Cell, Comment on Other Acquisition  Costs</t>
        </r>
      </text>
    </comment>
    <comment ref="A8" authorId="0" shapeId="0" xr:uid="{00000000-0006-0000-0400-00000D000000}">
      <text>
        <r>
          <rPr>
            <b/>
            <sz val="8"/>
            <color indexed="81"/>
            <rFont val="Tahoma"/>
            <family val="2"/>
          </rPr>
          <t xml:space="preserve">Site work refers to modifications made to acquired land and existing structures beyond those normally included in the construction contract.  Standard site work required to prepare a site for construction or to put it in usable condition after construction is usually included in a construction contract and will be entered under the Construction / Rehabilitation Costs portion of the Development Costs tab.  Note also that the Site Work Costs portion of this tab does not include the costs of surveys or soil boring, which are entered separately under Other Owner Costs. 
</t>
        </r>
      </text>
    </comment>
    <comment ref="A9" authorId="0" shapeId="0" xr:uid="{00000000-0006-0000-0400-00000E000000}">
      <text>
        <r>
          <rPr>
            <b/>
            <sz val="8"/>
            <color indexed="81"/>
            <rFont val="Tahoma"/>
            <family val="2"/>
          </rPr>
          <t xml:space="preserve">Demolition/Clearance and Site Remediation often include demolition of existing buildings; removal of large amounts of earth to an off-site location or moving earth from off-site for fill or grading; off-site utility or road extensions; or other unusually large or exceptional costs.
</t>
        </r>
      </text>
    </comment>
    <comment ref="D9" authorId="1" shapeId="0" xr:uid="{00000000-0006-0000-0400-00000F000000}">
      <text>
        <r>
          <rPr>
            <b/>
            <sz val="10"/>
            <color indexed="81"/>
            <rFont val="Tahoma"/>
            <family val="2"/>
          </rPr>
          <t>Data Entry Cell, Demolition/
Clearance Cost</t>
        </r>
      </text>
    </comment>
    <comment ref="G9" authorId="1" shapeId="0" xr:uid="{00000000-0006-0000-0400-000010000000}">
      <text>
        <r>
          <rPr>
            <b/>
            <sz val="10"/>
            <color indexed="81"/>
            <rFont val="Tahoma"/>
            <family val="2"/>
          </rPr>
          <t>Data Entry Cell, Comment on Demolition/
Clearance Cost</t>
        </r>
      </text>
    </comment>
    <comment ref="M9" authorId="2" shapeId="0" xr:uid="{00000000-0006-0000-0400-000011000000}">
      <text>
        <r>
          <rPr>
            <b/>
            <sz val="9"/>
            <color indexed="81"/>
            <rFont val="Tahoma"/>
            <family val="2"/>
          </rPr>
          <t>If an old building is completely demolished, its demolition cost cannot be included in the eligible basis for a new LIHTC building built on the same site. If it is partially demolished, the demolition cost can be included in eligible basis.</t>
        </r>
      </text>
    </comment>
    <comment ref="D10" authorId="1" shapeId="0" xr:uid="{00000000-0006-0000-0400-000012000000}">
      <text>
        <r>
          <rPr>
            <b/>
            <sz val="10"/>
            <color indexed="81"/>
            <rFont val="Tahoma"/>
            <family val="2"/>
          </rPr>
          <t>Data Entry Cell, Site Remediation Cost</t>
        </r>
      </text>
    </comment>
    <comment ref="G10" authorId="1" shapeId="0" xr:uid="{00000000-0006-0000-0400-000013000000}">
      <text>
        <r>
          <rPr>
            <b/>
            <sz val="10"/>
            <color indexed="81"/>
            <rFont val="Tahoma"/>
            <family val="2"/>
          </rPr>
          <t>Data Entry Cell, Comment on Site Remediation Cost</t>
        </r>
      </text>
    </comment>
    <comment ref="A11" authorId="0" shapeId="0" xr:uid="{00000000-0006-0000-0400-000014000000}">
      <text>
        <r>
          <rPr>
            <b/>
            <sz val="8"/>
            <color indexed="81"/>
            <rFont val="Tahoma"/>
            <family val="2"/>
          </rPr>
          <t xml:space="preserve">"Off-site" costs are costs for infrastructure (such as an entrance road or a sewer line) that is not located on the project site.  </t>
        </r>
        <r>
          <rPr>
            <b/>
            <u/>
            <sz val="8"/>
            <color indexed="81"/>
            <rFont val="Tahoma"/>
            <family val="2"/>
          </rPr>
          <t>Off-site costs are not eligible for HOME funding</t>
        </r>
        <r>
          <rPr>
            <b/>
            <sz val="8"/>
            <color indexed="81"/>
            <rFont val="Tahoma"/>
            <family val="2"/>
          </rPr>
          <t xml:space="preserve">.  The cost to tie into existing public utilities that already are available </t>
        </r>
        <r>
          <rPr>
            <b/>
            <u/>
            <sz val="8"/>
            <color indexed="81"/>
            <rFont val="Tahoma"/>
            <family val="2"/>
          </rPr>
          <t>at</t>
        </r>
        <r>
          <rPr>
            <b/>
            <sz val="8"/>
            <color indexed="81"/>
            <rFont val="Tahoma"/>
            <family val="2"/>
          </rPr>
          <t xml:space="preserve"> the project site is eligible for HOME funding; the cost to </t>
        </r>
        <r>
          <rPr>
            <b/>
            <u/>
            <sz val="8"/>
            <color indexed="81"/>
            <rFont val="Tahoma"/>
            <family val="2"/>
          </rPr>
          <t>extend</t>
        </r>
        <r>
          <rPr>
            <b/>
            <sz val="8"/>
            <color indexed="81"/>
            <rFont val="Tahoma"/>
            <family val="2"/>
          </rPr>
          <t xml:space="preserve"> utilities to the site is not HOME eligible.</t>
        </r>
      </text>
    </comment>
    <comment ref="D11" authorId="1" shapeId="0" xr:uid="{00000000-0006-0000-0400-000015000000}">
      <text>
        <r>
          <rPr>
            <b/>
            <sz val="10"/>
            <color indexed="81"/>
            <rFont val="Tahoma"/>
            <family val="2"/>
          </rPr>
          <t>Data Entry Cell, Off-Site Costs</t>
        </r>
      </text>
    </comment>
    <comment ref="G11" authorId="1" shapeId="0" xr:uid="{00000000-0006-0000-0400-000016000000}">
      <text>
        <r>
          <rPr>
            <b/>
            <sz val="10"/>
            <color indexed="81"/>
            <rFont val="Tahoma"/>
            <family val="2"/>
          </rPr>
          <t>Data Entry Cell, Comment on Off-Site Cost</t>
        </r>
      </text>
    </comment>
    <comment ref="A12" authorId="0" shapeId="0" xr:uid="{00000000-0006-0000-0400-000017000000}">
      <text>
        <r>
          <rPr>
            <b/>
            <sz val="8"/>
            <color indexed="81"/>
            <rFont val="Tahoma"/>
            <family val="2"/>
          </rPr>
          <t xml:space="preserve">Improvements can be made to land or to existing structures.  Possible costs include excavation for foundations or utilities; grading of the site; installation of on-site utility lines; on-site roads, walkways, or parking areas; landscaping; outdoor lighting; or other permanent improvements to the land other than the buildings themselves.  Even a project that involves rehabilitation of an existing building may have some improvement costs.  </t>
        </r>
      </text>
    </comment>
    <comment ref="D12" authorId="1" shapeId="0" xr:uid="{00000000-0006-0000-0400-000018000000}">
      <text>
        <r>
          <rPr>
            <b/>
            <sz val="10"/>
            <color indexed="81"/>
            <rFont val="Tahoma"/>
            <family val="2"/>
          </rPr>
          <t>Data Entry Cell, Improvements Cost</t>
        </r>
      </text>
    </comment>
    <comment ref="G12" authorId="1" shapeId="0" xr:uid="{00000000-0006-0000-0400-000019000000}">
      <text>
        <r>
          <rPr>
            <b/>
            <sz val="10"/>
            <color indexed="81"/>
            <rFont val="Tahoma"/>
            <family val="2"/>
          </rPr>
          <t>Data Entry Cell, Comment on Improvements Cost</t>
        </r>
      </text>
    </comment>
    <comment ref="M12" authorId="2" shapeId="0" xr:uid="{00000000-0006-0000-0400-00001A000000}">
      <text>
        <r>
          <rPr>
            <b/>
            <sz val="9"/>
            <color indexed="81"/>
            <rFont val="Tahoma"/>
            <family val="2"/>
          </rPr>
          <t>Land improvements that are general to the site (leveling, clearing, etc.) are part of the value of the land and are not included in eligible basis. Improvements that are specific to the building of structures can be attributed to buildings rather than land value, and may be included in eligible basis.</t>
        </r>
      </text>
    </comment>
    <comment ref="A13" authorId="2" shapeId="0" xr:uid="{00000000-0006-0000-0400-00001B000000}">
      <text>
        <r>
          <rPr>
            <b/>
            <sz val="9"/>
            <color indexed="81"/>
            <rFont val="Tahoma"/>
            <family val="2"/>
          </rPr>
          <t xml:space="preserve">Construction Equipment: </t>
        </r>
        <r>
          <rPr>
            <sz val="9"/>
            <color indexed="81"/>
            <rFont val="Tahoma"/>
            <family val="2"/>
          </rPr>
          <t xml:space="preserve">2 CFR Part 200 generally does not allow </t>
        </r>
        <r>
          <rPr>
            <u/>
            <sz val="9"/>
            <color indexed="81"/>
            <rFont val="Tahoma"/>
            <family val="2"/>
          </rPr>
          <t>purchase</t>
        </r>
        <r>
          <rPr>
            <sz val="9"/>
            <color indexed="81"/>
            <rFont val="Tahoma"/>
            <family val="2"/>
          </rPr>
          <t xml:space="preserve"> of construction equipment as an eligible cost.  Instead, the Circular allows only a </t>
        </r>
        <r>
          <rPr>
            <u/>
            <sz val="9"/>
            <color indexed="81"/>
            <rFont val="Tahoma"/>
            <family val="2"/>
          </rPr>
          <t>portion</t>
        </r>
        <r>
          <rPr>
            <sz val="9"/>
            <color indexed="81"/>
            <rFont val="Tahoma"/>
            <family val="2"/>
          </rPr>
          <t xml:space="preserve"> of the cost.  For example, if an item has a 15 year life and the equipment is used for one year, 1/15 of the cost would be allowable.  The most common compliance approach is to </t>
        </r>
        <r>
          <rPr>
            <u/>
            <sz val="9"/>
            <color indexed="81"/>
            <rFont val="Tahoma"/>
            <family val="2"/>
          </rPr>
          <t>lease</t>
        </r>
        <r>
          <rPr>
            <sz val="9"/>
            <color indexed="81"/>
            <rFont val="Tahoma"/>
            <family val="2"/>
          </rPr>
          <t xml:space="preserve"> construction equipment only for the time it is needed; the full lease cost would then be allowable.</t>
        </r>
      </text>
    </comment>
    <comment ref="D13" authorId="1" shapeId="0" xr:uid="{00000000-0006-0000-0400-00001C000000}">
      <text>
        <r>
          <rPr>
            <b/>
            <sz val="10"/>
            <color indexed="81"/>
            <rFont val="Tahoma"/>
            <family val="2"/>
          </rPr>
          <t>Data Entry Cell, HOME-eligible portion of Construction Equipment Cost</t>
        </r>
      </text>
    </comment>
    <comment ref="G13" authorId="1" shapeId="0" xr:uid="{00000000-0006-0000-0400-00001D000000}">
      <text>
        <r>
          <rPr>
            <b/>
            <sz val="10"/>
            <color indexed="81"/>
            <rFont val="Tahoma"/>
            <family val="2"/>
          </rPr>
          <t>Data Entry Cell, Comment on HOME-eligible portion of Construction Equipment Cost</t>
        </r>
      </text>
    </comment>
    <comment ref="D14" authorId="1" shapeId="0" xr:uid="{00000000-0006-0000-0400-00001E000000}">
      <text>
        <r>
          <rPr>
            <b/>
            <sz val="10"/>
            <color indexed="81"/>
            <rFont val="Tahoma"/>
            <family val="2"/>
          </rPr>
          <t>Data Entry Cell, non-HOME-eligible portion of Construction Equipment Cost</t>
        </r>
      </text>
    </comment>
    <comment ref="G14" authorId="1" shapeId="0" xr:uid="{00000000-0006-0000-0400-00001F000000}">
      <text>
        <r>
          <rPr>
            <b/>
            <sz val="10"/>
            <color indexed="81"/>
            <rFont val="Tahoma"/>
            <family val="2"/>
          </rPr>
          <t>Data Entry Cell, Comment on non-HOME-eligible portion of Construction Equipment Cost</t>
        </r>
      </text>
    </comment>
    <comment ref="A15" authorId="0" shapeId="0" xr:uid="{00000000-0006-0000-0400-000020000000}">
      <text>
        <r>
          <rPr>
            <b/>
            <sz val="8"/>
            <color indexed="81"/>
            <rFont val="Tahoma"/>
            <family val="2"/>
          </rPr>
          <t>Use the Other Site Work Costs field to enter costs related to site work that are not represented by the other items in this category.  Enter a label (replacing the “Other Site Work Costs” text) and an amount.  If you do not need to use this field, simply leave it blank.</t>
        </r>
      </text>
    </comment>
    <comment ref="C15" authorId="0" shapeId="0" xr:uid="{00000000-0006-0000-0400-000021000000}">
      <text>
        <r>
          <rPr>
            <b/>
            <sz val="10"/>
            <color indexed="81"/>
            <rFont val="Verdana"/>
            <family val="2"/>
          </rPr>
          <t>Data Entry Cell, Insert the name of Other Site Work Costs</t>
        </r>
      </text>
    </comment>
    <comment ref="D15" authorId="1" shapeId="0" xr:uid="{00000000-0006-0000-0400-000022000000}">
      <text>
        <r>
          <rPr>
            <b/>
            <sz val="10"/>
            <color indexed="81"/>
            <rFont val="Tahoma"/>
            <family val="2"/>
          </rPr>
          <t>Data Entry Cell, Other Site Work Costs</t>
        </r>
      </text>
    </comment>
    <comment ref="G15" authorId="1" shapeId="0" xr:uid="{00000000-0006-0000-0400-000023000000}">
      <text>
        <r>
          <rPr>
            <b/>
            <sz val="10"/>
            <color indexed="81"/>
            <rFont val="Tahoma"/>
            <family val="2"/>
          </rPr>
          <t>Data Entry Cell, Comment on Other Site Work Costs</t>
        </r>
      </text>
    </comment>
    <comment ref="A16" authorId="0" shapeId="0" xr:uid="{00000000-0006-0000-0400-000024000000}">
      <text>
        <r>
          <rPr>
            <b/>
            <sz val="8"/>
            <color indexed="81"/>
            <rFont val="Tahoma"/>
            <family val="2"/>
          </rPr>
          <t>Use the Other Site Work Costs field to enter costs related to site work that are not represented by the other items in this category.  Enter a label (replacing the “Other Site Work Costs” text) and an amount.  If you do not need to use this field, simply leave it blank.</t>
        </r>
      </text>
    </comment>
    <comment ref="C16" authorId="0" shapeId="0" xr:uid="{00000000-0006-0000-0400-000025000000}">
      <text>
        <r>
          <rPr>
            <b/>
            <sz val="10"/>
            <color indexed="81"/>
            <rFont val="Verdana"/>
            <family val="2"/>
          </rPr>
          <t>Data Entry Cell, Insert the name of Other Site Work Costs</t>
        </r>
      </text>
    </comment>
    <comment ref="D16" authorId="1" shapeId="0" xr:uid="{00000000-0006-0000-0400-000026000000}">
      <text>
        <r>
          <rPr>
            <b/>
            <sz val="10"/>
            <color indexed="81"/>
            <rFont val="Tahoma"/>
            <family val="2"/>
          </rPr>
          <t>Data Entry Cell, Other Site Work Costs</t>
        </r>
      </text>
    </comment>
    <comment ref="G16" authorId="1" shapeId="0" xr:uid="{00000000-0006-0000-0400-000027000000}">
      <text>
        <r>
          <rPr>
            <b/>
            <sz val="10"/>
            <color indexed="81"/>
            <rFont val="Tahoma"/>
            <family val="2"/>
          </rPr>
          <t>Data Entry Cell, Comment on Other Site Work Costs</t>
        </r>
      </text>
    </comment>
    <comment ref="A17" authorId="0" shapeId="0" xr:uid="{00000000-0006-0000-0400-000028000000}">
      <text>
        <r>
          <rPr>
            <b/>
            <sz val="8"/>
            <color indexed="81"/>
            <rFont val="Tahoma"/>
            <family val="2"/>
          </rPr>
          <t>The Construction / Rehabilitation Costs portion of the Development Costs tab should cover all costs included in a construction contract.</t>
        </r>
      </text>
    </comment>
    <comment ref="A18" authorId="0" shapeId="0" xr:uid="{00000000-0006-0000-0400-000029000000}">
      <text>
        <r>
          <rPr>
            <b/>
            <sz val="8"/>
            <color indexed="81"/>
            <rFont val="Tahoma"/>
            <family val="2"/>
          </rPr>
          <t>Site Work here includes only costs included in the construction contract, usually a set of standard items that are required to prepare the site for construction or to put it in usable condition after construction is complete.  Any additional or atypical site work should be entered under Site Work Costs.</t>
        </r>
      </text>
    </comment>
    <comment ref="D18" authorId="1" shapeId="0" xr:uid="{00000000-0006-0000-0400-00002A000000}">
      <text>
        <r>
          <rPr>
            <b/>
            <sz val="10"/>
            <color indexed="81"/>
            <rFont val="Tahoma"/>
            <family val="2"/>
          </rPr>
          <t>Data Entry Cell, Site Work Included in Construction Contract Cost</t>
        </r>
      </text>
    </comment>
    <comment ref="G18" authorId="1" shapeId="0" xr:uid="{00000000-0006-0000-0400-00002B000000}">
      <text>
        <r>
          <rPr>
            <b/>
            <sz val="10"/>
            <color indexed="81"/>
            <rFont val="Tahoma"/>
            <family val="2"/>
          </rPr>
          <t>Data Entry Cell, Comment on Site Work Included in Construction Contract Cost</t>
        </r>
      </text>
    </comment>
    <comment ref="A19" authorId="2" shapeId="0" xr:uid="{00000000-0006-0000-0400-00002C000000}">
      <text>
        <r>
          <rPr>
            <b/>
            <sz val="9"/>
            <color indexed="81"/>
            <rFont val="Tahoma"/>
            <family val="2"/>
          </rPr>
          <t xml:space="preserve">Construction Equipment: </t>
        </r>
        <r>
          <rPr>
            <sz val="9"/>
            <color indexed="81"/>
            <rFont val="Tahoma"/>
            <family val="2"/>
          </rPr>
          <t xml:space="preserve">2 CFR Part 200 generally does not allow </t>
        </r>
        <r>
          <rPr>
            <u/>
            <sz val="9"/>
            <color indexed="81"/>
            <rFont val="Tahoma"/>
            <family val="2"/>
          </rPr>
          <t>purchase</t>
        </r>
        <r>
          <rPr>
            <sz val="9"/>
            <color indexed="81"/>
            <rFont val="Tahoma"/>
            <family val="2"/>
          </rPr>
          <t xml:space="preserve"> of construction equipment as an eligible cost.  Instead, the Circular allows only a </t>
        </r>
        <r>
          <rPr>
            <u/>
            <sz val="9"/>
            <color indexed="81"/>
            <rFont val="Tahoma"/>
            <family val="2"/>
          </rPr>
          <t>portion</t>
        </r>
        <r>
          <rPr>
            <sz val="9"/>
            <color indexed="81"/>
            <rFont val="Tahoma"/>
            <family val="2"/>
          </rPr>
          <t xml:space="preserve"> of the cost.  For example, if an item has a 15 year life and the equipment is used for one year, 1/15 of the cost would be allowable.  The most common compliance approach is to </t>
        </r>
        <r>
          <rPr>
            <u/>
            <sz val="9"/>
            <color indexed="81"/>
            <rFont val="Tahoma"/>
            <family val="2"/>
          </rPr>
          <t>lease</t>
        </r>
        <r>
          <rPr>
            <sz val="9"/>
            <color indexed="81"/>
            <rFont val="Tahoma"/>
            <family val="2"/>
          </rPr>
          <t xml:space="preserve"> construction equipment only for the time it is needed; the full lease cost would then be allowable.</t>
        </r>
      </text>
    </comment>
    <comment ref="D19" authorId="1" shapeId="0" xr:uid="{00000000-0006-0000-0400-00002D000000}">
      <text>
        <r>
          <rPr>
            <b/>
            <sz val="10"/>
            <color indexed="81"/>
            <rFont val="Tahoma"/>
            <family val="2"/>
          </rPr>
          <t>Data Entry Cell, HOME-eligible portion of Construction Equipment Cost</t>
        </r>
      </text>
    </comment>
    <comment ref="G19" authorId="1" shapeId="0" xr:uid="{00000000-0006-0000-0400-00002E000000}">
      <text>
        <r>
          <rPr>
            <b/>
            <sz val="10"/>
            <color indexed="81"/>
            <rFont val="Tahoma"/>
            <family val="2"/>
          </rPr>
          <t>Data Entry Cell, Comment on HOME-eligible portion of Construction Equipment Cost</t>
        </r>
      </text>
    </comment>
    <comment ref="D20" authorId="1" shapeId="0" xr:uid="{00000000-0006-0000-0400-00002F000000}">
      <text>
        <r>
          <rPr>
            <b/>
            <sz val="10"/>
            <color indexed="81"/>
            <rFont val="Tahoma"/>
            <family val="2"/>
          </rPr>
          <t>Data Entry Cell, non-HOME-eligible portion of Construction Equipment Cost</t>
        </r>
      </text>
    </comment>
    <comment ref="G20" authorId="1" shapeId="0" xr:uid="{00000000-0006-0000-0400-000030000000}">
      <text>
        <r>
          <rPr>
            <b/>
            <sz val="10"/>
            <color indexed="81"/>
            <rFont val="Tahoma"/>
            <family val="2"/>
          </rPr>
          <t>Data Entry Cell, Comment on non-HOME-eligible portion of Construction Equipment Cost</t>
        </r>
      </text>
    </comment>
    <comment ref="A21" authorId="0" shapeId="0" xr:uid="{00000000-0006-0000-0400-000031000000}">
      <text>
        <r>
          <rPr>
            <b/>
            <sz val="8"/>
            <color indexed="81"/>
            <rFont val="Tahoma"/>
            <family val="2"/>
          </rPr>
          <t xml:space="preserve">New Construction refers to the cost of labor and materials for the construction of new housing units. 
</t>
        </r>
      </text>
    </comment>
    <comment ref="D21" authorId="1" shapeId="0" xr:uid="{00000000-0006-0000-0400-000032000000}">
      <text>
        <r>
          <rPr>
            <b/>
            <sz val="10"/>
            <color indexed="81"/>
            <rFont val="Tahoma"/>
            <family val="2"/>
          </rPr>
          <t>Data Entry Cell, New Construction Cost</t>
        </r>
      </text>
    </comment>
    <comment ref="G21" authorId="1" shapeId="0" xr:uid="{00000000-0006-0000-0400-000033000000}">
      <text>
        <r>
          <rPr>
            <b/>
            <sz val="10"/>
            <color indexed="81"/>
            <rFont val="Tahoma"/>
            <family val="2"/>
          </rPr>
          <t>Data Entry Cell, Comment on New Construction Cost</t>
        </r>
      </text>
    </comment>
    <comment ref="A22" authorId="0" shapeId="0" xr:uid="{00000000-0006-0000-0400-000034000000}">
      <text>
        <r>
          <rPr>
            <b/>
            <sz val="8"/>
            <color indexed="81"/>
            <rFont val="Tahoma"/>
            <family val="2"/>
          </rPr>
          <t>Rehabilitation refers to work on existing structures, such as installing new plumbing, facade improvements, installing new appliances, treating lead-based paint hazards etc.</t>
        </r>
      </text>
    </comment>
    <comment ref="D22" authorId="1" shapeId="0" xr:uid="{00000000-0006-0000-0400-000035000000}">
      <text>
        <r>
          <rPr>
            <b/>
            <sz val="10"/>
            <color indexed="81"/>
            <rFont val="Tahoma"/>
            <family val="2"/>
          </rPr>
          <t>Data Entry Cell, Rehabilitation Cost</t>
        </r>
      </text>
    </comment>
    <comment ref="G22" authorId="1" shapeId="0" xr:uid="{00000000-0006-0000-0400-000036000000}">
      <text>
        <r>
          <rPr>
            <b/>
            <sz val="10"/>
            <color indexed="81"/>
            <rFont val="Tahoma"/>
            <family val="2"/>
          </rPr>
          <t>Data Entry Cell, Comment on Rehabilitation Cost</t>
        </r>
      </text>
    </comment>
    <comment ref="A23" authorId="0" shapeId="0" xr:uid="{00000000-0006-0000-0400-000037000000}">
      <text>
        <r>
          <rPr>
            <b/>
            <sz val="8"/>
            <color indexed="81"/>
            <rFont val="Tahoma"/>
            <family val="2"/>
          </rPr>
          <t>General Requirements refers to an allowance for the contractor's on-site overhead expenses.  General requirements typically include building permits, fencing around the site, temporary storage for materials, construction supervision, the “job trailer,” and temporary utilities.</t>
        </r>
      </text>
    </comment>
    <comment ref="D23" authorId="1" shapeId="0" xr:uid="{00000000-0006-0000-0400-000038000000}">
      <text>
        <r>
          <rPr>
            <b/>
            <sz val="10"/>
            <color indexed="81"/>
            <rFont val="Tahoma"/>
            <family val="2"/>
          </rPr>
          <t>Data Entry Cell, General Requirements Cost</t>
        </r>
      </text>
    </comment>
    <comment ref="G23" authorId="1" shapeId="0" xr:uid="{00000000-0006-0000-0400-000039000000}">
      <text>
        <r>
          <rPr>
            <b/>
            <sz val="10"/>
            <color indexed="81"/>
            <rFont val="Tahoma"/>
            <family val="2"/>
          </rPr>
          <t>Data Entry Cell, Comment on General Requirements Cost</t>
        </r>
      </text>
    </comment>
    <comment ref="A24" authorId="0" shapeId="0" xr:uid="{00000000-0006-0000-0400-00003A000000}">
      <text>
        <r>
          <rPr>
            <b/>
            <sz val="8"/>
            <color indexed="81"/>
            <rFont val="Tahoma"/>
            <family val="2"/>
          </rPr>
          <t>Builder’s Overhead is an allowance for the portion of the builder’s off-site (home office) overhead that is attributable to the project.</t>
        </r>
      </text>
    </comment>
    <comment ref="D24" authorId="1" shapeId="0" xr:uid="{00000000-0006-0000-0400-00003B000000}">
      <text>
        <r>
          <rPr>
            <b/>
            <sz val="10"/>
            <color indexed="81"/>
            <rFont val="Tahoma"/>
            <family val="2"/>
          </rPr>
          <t>Data Entry Cell, Builder's Overhead Cost</t>
        </r>
      </text>
    </comment>
    <comment ref="G24" authorId="1" shapeId="0" xr:uid="{00000000-0006-0000-0400-00003C000000}">
      <text>
        <r>
          <rPr>
            <b/>
            <sz val="10"/>
            <color indexed="81"/>
            <rFont val="Tahoma"/>
            <family val="2"/>
          </rPr>
          <t>Data Entry Cell, Comment on Builder's Overhead Cost</t>
        </r>
      </text>
    </comment>
    <comment ref="A25" authorId="0" shapeId="0" xr:uid="{00000000-0006-0000-0400-00003D000000}">
      <text>
        <r>
          <rPr>
            <b/>
            <sz val="8"/>
            <color indexed="81"/>
            <rFont val="Tahoma"/>
            <family val="2"/>
          </rPr>
          <t xml:space="preserve">Builder Profit is typically based on the size of the project, the total development cost and the risk associated with the project.  This cost is expressed as a percentage of construction costs in the Other Information column.  </t>
        </r>
      </text>
    </comment>
    <comment ref="D25" authorId="1" shapeId="0" xr:uid="{00000000-0006-0000-0400-00003E000000}">
      <text>
        <r>
          <rPr>
            <b/>
            <sz val="10"/>
            <color indexed="81"/>
            <rFont val="Tahoma"/>
            <family val="2"/>
          </rPr>
          <t>Data Entry Cell, Builder Profit Cost</t>
        </r>
      </text>
    </comment>
    <comment ref="G25" authorId="1" shapeId="0" xr:uid="{00000000-0006-0000-0400-00003F000000}">
      <text>
        <r>
          <rPr>
            <b/>
            <sz val="10"/>
            <color indexed="81"/>
            <rFont val="Tahoma"/>
            <family val="2"/>
          </rPr>
          <t>Data Entry Cell, Comment on Builder Profit Cost</t>
        </r>
      </text>
    </comment>
    <comment ref="A26" authorId="0" shapeId="0" xr:uid="{00000000-0006-0000-0400-000040000000}">
      <text>
        <r>
          <rPr>
            <b/>
            <sz val="8"/>
            <color indexed="81"/>
            <rFont val="Tahoma"/>
            <family val="2"/>
          </rPr>
          <t xml:space="preserve">Performance Bond Premium refers to the cost of a performance bond.  By issuing a performance bond, a bonding company commits to completing the development project in the event that the original contractor defaults on its contractual obligations.  An estimated performance bond premium can be obtained from a bonding company.  Federal rules (2 CFR Part 200) require bonds for 100 percent of a contract value for all contracts over $100,000.  
</t>
        </r>
      </text>
    </comment>
    <comment ref="D26" authorId="1" shapeId="0" xr:uid="{00000000-0006-0000-0400-000041000000}">
      <text>
        <r>
          <rPr>
            <b/>
            <sz val="10"/>
            <color indexed="81"/>
            <rFont val="Tahoma"/>
            <family val="2"/>
          </rPr>
          <t>Data Entry Cell, Performance Bond Premium Cost</t>
        </r>
      </text>
    </comment>
    <comment ref="G26" authorId="1" shapeId="0" xr:uid="{00000000-0006-0000-0400-000042000000}">
      <text>
        <r>
          <rPr>
            <b/>
            <sz val="10"/>
            <color indexed="81"/>
            <rFont val="Tahoma"/>
            <family val="2"/>
          </rPr>
          <t>Data Entry Cell, Comment on Performance Bond Premium Cost</t>
        </r>
      </text>
    </comment>
    <comment ref="A27" authorId="0" shapeId="0" xr:uid="{00000000-0006-0000-0400-000043000000}">
      <text>
        <r>
          <rPr>
            <b/>
            <sz val="8"/>
            <color indexed="81"/>
            <rFont val="Tahoma"/>
            <family val="2"/>
          </rPr>
          <t xml:space="preserve">Construction Contingency refers to funds held to account for cost overruns.  Weather changes in the planned construction are among the many factor that can lead to cost overruns.  Be sure an up-front agreement is made about how any remaining construction contingency funds will be distributed after project completion.  The construction contingency is expressed as a percentage of all construction costs under the Other Information column.
</t>
        </r>
      </text>
    </comment>
    <comment ref="D27" authorId="1" shapeId="0" xr:uid="{00000000-0006-0000-0400-000044000000}">
      <text>
        <r>
          <rPr>
            <b/>
            <sz val="10"/>
            <color indexed="81"/>
            <rFont val="Tahoma"/>
            <family val="2"/>
          </rPr>
          <t>Data Entry Cell, Construction Contingency Cost</t>
        </r>
      </text>
    </comment>
    <comment ref="G27" authorId="1" shapeId="0" xr:uid="{00000000-0006-0000-0400-000045000000}">
      <text>
        <r>
          <rPr>
            <b/>
            <sz val="10"/>
            <color indexed="81"/>
            <rFont val="Tahoma"/>
            <family val="2"/>
          </rPr>
          <t>Data Entry Cell, Comment on Construction Contingency Cost</t>
        </r>
      </text>
    </comment>
    <comment ref="A28" authorId="0" shapeId="0" xr:uid="{00000000-0006-0000-0400-000046000000}">
      <text>
        <r>
          <rPr>
            <b/>
            <sz val="8"/>
            <color indexed="81"/>
            <rFont val="Tahoma"/>
            <family val="2"/>
          </rPr>
          <t>Use the Other Construction / Rehabilitation Costs field to enter costs related to construction and rehabilitation that are not represented by the other items in this category.  Enter a label (replacing the “Other Construction / Rehabilitation Costs” text) and an amount.  If you do not need to use this field, simply leave it blank.</t>
        </r>
      </text>
    </comment>
    <comment ref="C28" authorId="0" shapeId="0" xr:uid="{00000000-0006-0000-0400-000047000000}">
      <text>
        <r>
          <rPr>
            <b/>
            <sz val="10"/>
            <color indexed="81"/>
            <rFont val="Verdana"/>
            <family val="2"/>
          </rPr>
          <t>Data Entry Cell, Insert the name of Other Construction / Rehabilitation Costs</t>
        </r>
      </text>
    </comment>
    <comment ref="D28" authorId="1" shapeId="0" xr:uid="{00000000-0006-0000-0400-000048000000}">
      <text>
        <r>
          <rPr>
            <b/>
            <sz val="10"/>
            <color indexed="81"/>
            <rFont val="Tahoma"/>
            <family val="2"/>
          </rPr>
          <t>Data Entry Cell, Other Construction / Rehabilitation Costs</t>
        </r>
      </text>
    </comment>
    <comment ref="G28" authorId="1" shapeId="0" xr:uid="{00000000-0006-0000-0400-000049000000}">
      <text>
        <r>
          <rPr>
            <b/>
            <sz val="10"/>
            <color indexed="81"/>
            <rFont val="Tahoma"/>
            <family val="2"/>
          </rPr>
          <t>Data Entry Cell, Comment on Other Construction / Rehabilitation Costs</t>
        </r>
      </text>
    </comment>
    <comment ref="C29" authorId="0" shapeId="0" xr:uid="{00000000-0006-0000-0400-00004A000000}">
      <text>
        <r>
          <rPr>
            <b/>
            <sz val="10"/>
            <color indexed="81"/>
            <rFont val="Verdana"/>
            <family val="2"/>
          </rPr>
          <t>Data Entry Cell, Insert the name of Other Construction / Rehabilitation Costs</t>
        </r>
      </text>
    </comment>
    <comment ref="D29" authorId="1" shapeId="0" xr:uid="{00000000-0006-0000-0400-00004B000000}">
      <text>
        <r>
          <rPr>
            <b/>
            <sz val="10"/>
            <color indexed="81"/>
            <rFont val="Tahoma"/>
            <family val="2"/>
          </rPr>
          <t>Data Entry Cell, Other Construction / Rehabilitation Costs</t>
        </r>
      </text>
    </comment>
    <comment ref="G29" authorId="1" shapeId="0" xr:uid="{00000000-0006-0000-0400-00004C000000}">
      <text>
        <r>
          <rPr>
            <b/>
            <sz val="10"/>
            <color indexed="81"/>
            <rFont val="Tahoma"/>
            <family val="2"/>
          </rPr>
          <t>Data Entry Cell, Comment on Other Construction / Rehabilitation Costs</t>
        </r>
      </text>
    </comment>
    <comment ref="A30" authorId="0" shapeId="0" xr:uid="{00000000-0006-0000-0400-00004D000000}">
      <text>
        <r>
          <rPr>
            <b/>
            <sz val="8"/>
            <color indexed="81"/>
            <rFont val="Tahoma"/>
            <family val="2"/>
          </rPr>
          <t>Architectural fees should be based on an estimate or on an actual agreement with the architect.  These fees may be structured as a percentage of the construction contract amount, a fee per dwelling unit, a flat fee for services, or some other basis.  Engineering fees are described below.</t>
        </r>
      </text>
    </comment>
    <comment ref="A31" authorId="0" shapeId="0" xr:uid="{00000000-0006-0000-0400-00004E000000}">
      <text>
        <r>
          <rPr>
            <b/>
            <sz val="8"/>
            <color indexed="81"/>
            <rFont val="Tahoma"/>
            <family val="2"/>
          </rPr>
          <t xml:space="preserve">There will always be two architect fees: one for the design of the buildings and another for construction supervision.  In this portion of the Development Costs tab, enter the amount of the two architect fees under Architect Fee – Design and Architect Fee – Construction Supervision.  Note that the architect handling design and the architect supervising construction may or may not be the same.  </t>
        </r>
      </text>
    </comment>
    <comment ref="D31" authorId="1" shapeId="0" xr:uid="{00000000-0006-0000-0400-00004F000000}">
      <text>
        <r>
          <rPr>
            <b/>
            <sz val="10"/>
            <color indexed="81"/>
            <rFont val="Tahoma"/>
            <family val="2"/>
          </rPr>
          <t>Data Entry Cell, Architect Fee -- Design</t>
        </r>
      </text>
    </comment>
    <comment ref="G31" authorId="1" shapeId="0" xr:uid="{00000000-0006-0000-0400-000050000000}">
      <text>
        <r>
          <rPr>
            <b/>
            <sz val="10"/>
            <color indexed="81"/>
            <rFont val="Tahoma"/>
            <family val="2"/>
          </rPr>
          <t>Data Entry Cell, Comment on Architect Fee -- Design</t>
        </r>
      </text>
    </comment>
    <comment ref="D32" authorId="1" shapeId="0" xr:uid="{00000000-0006-0000-0400-000051000000}">
      <text>
        <r>
          <rPr>
            <b/>
            <sz val="10"/>
            <color indexed="81"/>
            <rFont val="Tahoma"/>
            <family val="2"/>
          </rPr>
          <t>Data Entry Cell, Architect Fee -- Construction Supervision</t>
        </r>
      </text>
    </comment>
    <comment ref="G32" authorId="1" shapeId="0" xr:uid="{00000000-0006-0000-0400-000052000000}">
      <text>
        <r>
          <rPr>
            <b/>
            <sz val="10"/>
            <color indexed="81"/>
            <rFont val="Tahoma"/>
            <family val="2"/>
          </rPr>
          <t>Data Entry Cell, Comment on Architect Fee -- Construction Supervision</t>
        </r>
      </text>
    </comment>
    <comment ref="A33" authorId="0" shapeId="0" xr:uid="{00000000-0006-0000-0400-000053000000}">
      <text>
        <r>
          <rPr>
            <b/>
            <sz val="8"/>
            <color indexed="81"/>
            <rFont val="Tahoma"/>
            <family val="2"/>
          </rPr>
          <t>The Engineering fees estimate should include any mechanical or structural engineering costs not incurred as part of the site plan design fee.  Note that the cost of an environmental survey and soil boring are not included in this amount.  These costs are entered separately under Other Owner Costs.</t>
        </r>
      </text>
    </comment>
    <comment ref="D33" authorId="1" shapeId="0" xr:uid="{00000000-0006-0000-0400-000054000000}">
      <text>
        <r>
          <rPr>
            <b/>
            <sz val="10"/>
            <color indexed="81"/>
            <rFont val="Tahoma"/>
            <family val="2"/>
          </rPr>
          <t>Data Entry Cell, Engineering Fees</t>
        </r>
      </text>
    </comment>
    <comment ref="G33" authorId="1" shapeId="0" xr:uid="{00000000-0006-0000-0400-000055000000}">
      <text>
        <r>
          <rPr>
            <b/>
            <sz val="10"/>
            <color indexed="81"/>
            <rFont val="Tahoma"/>
            <family val="2"/>
          </rPr>
          <t>Data Entry Cell, Comment on Engineering Fees</t>
        </r>
      </text>
    </comment>
    <comment ref="A34" authorId="0" shapeId="0" xr:uid="{00000000-0006-0000-0400-000056000000}">
      <text>
        <r>
          <rPr>
            <b/>
            <sz val="8"/>
            <color indexed="81"/>
            <rFont val="Tahoma"/>
            <family val="2"/>
          </rPr>
          <t>Use the Other Architectural and Engineering Fees field to enter costs that are not represented by the other items in this category.  Enter a label (replacing the “Other Architectural and Engineering Costs” text) and an amount.  If you do not need to use this field, simply leave it blank.</t>
        </r>
      </text>
    </comment>
    <comment ref="C34" authorId="0" shapeId="0" xr:uid="{00000000-0006-0000-0400-000057000000}">
      <text>
        <r>
          <rPr>
            <b/>
            <sz val="10"/>
            <color indexed="81"/>
            <rFont val="Verdana"/>
            <family val="2"/>
          </rPr>
          <t>Data Entry Cell, Insert the name of Other Architectural and Engineering Fees</t>
        </r>
      </text>
    </comment>
    <comment ref="D34" authorId="1" shapeId="0" xr:uid="{00000000-0006-0000-0400-000058000000}">
      <text>
        <r>
          <rPr>
            <b/>
            <sz val="10"/>
            <color indexed="81"/>
            <rFont val="Tahoma"/>
            <family val="2"/>
          </rPr>
          <t>Data Entry Cell, Other Architectural and Engineering Fees</t>
        </r>
      </text>
    </comment>
    <comment ref="G34" authorId="1" shapeId="0" xr:uid="{00000000-0006-0000-0400-000059000000}">
      <text>
        <r>
          <rPr>
            <b/>
            <sz val="10"/>
            <color indexed="81"/>
            <rFont val="Tahoma"/>
            <family val="2"/>
          </rPr>
          <t>Data Entry Cell, Comment on Other Architectural and Engineering Fees</t>
        </r>
      </text>
    </comment>
    <comment ref="A35" authorId="0" shapeId="0" xr:uid="{00000000-0006-0000-0400-00005A000000}">
      <text>
        <r>
          <rPr>
            <b/>
            <sz val="8"/>
            <color indexed="81"/>
            <rFont val="Tahoma"/>
            <family val="2"/>
          </rPr>
          <t xml:space="preserve">Other Owner Costs refer to costs paid to outside entities to address many of the organizational, financial and legal requirements associated with undertaking a real estate development project.  </t>
        </r>
      </text>
    </comment>
    <comment ref="A36" authorId="0" shapeId="0" xr:uid="{00000000-0006-0000-0400-00005B000000}">
      <text>
        <r>
          <rPr>
            <b/>
            <sz val="8"/>
            <color indexed="81"/>
            <rFont val="Tahoma"/>
            <family val="2"/>
          </rPr>
          <t>Project Consultant Fees.  Consulting fees may or may not be a cost to the project.  Less experienced housing developers may choose to obtain technical assistance from a consultant.  The terms and conditions of that contract are negotiable based on the scope of services, but this line item should only include costs associated with this project.</t>
        </r>
      </text>
    </comment>
    <comment ref="D36" authorId="1" shapeId="0" xr:uid="{00000000-0006-0000-0400-00005C000000}">
      <text>
        <r>
          <rPr>
            <b/>
            <sz val="10"/>
            <color indexed="81"/>
            <rFont val="Tahoma"/>
            <family val="2"/>
          </rPr>
          <t>Data Entry Cell, Project Consultant Fees</t>
        </r>
      </text>
    </comment>
    <comment ref="G36" authorId="1" shapeId="0" xr:uid="{00000000-0006-0000-0400-00005D000000}">
      <text>
        <r>
          <rPr>
            <b/>
            <sz val="10"/>
            <color indexed="81"/>
            <rFont val="Tahoma"/>
            <family val="2"/>
          </rPr>
          <t>Data Entry Cell, Comment on Project Consultant Fees</t>
        </r>
      </text>
    </comment>
    <comment ref="A37" authorId="0" shapeId="0" xr:uid="{00000000-0006-0000-0400-00005E000000}">
      <text>
        <r>
          <rPr>
            <b/>
            <sz val="8"/>
            <color indexed="81"/>
            <rFont val="Tahoma"/>
            <family val="2"/>
          </rPr>
          <t>Real Estate Attorney/Legal Fees.  Legal fees will be incurred for incorporation, contract negotiations, property acquisition, loan closings and other assorted parts of the development process.  Unless the project is highly unusual, and will require inordinate legal attention, legal fees should be in line with similar development projects.</t>
        </r>
      </text>
    </comment>
    <comment ref="D37" authorId="1" shapeId="0" xr:uid="{00000000-0006-0000-0400-00005F000000}">
      <text>
        <r>
          <rPr>
            <b/>
            <sz val="10"/>
            <color indexed="81"/>
            <rFont val="Tahoma"/>
            <family val="2"/>
          </rPr>
          <t>Data Entry Cell, Owner Attorney Fees (initial closing)</t>
        </r>
      </text>
    </comment>
    <comment ref="G37" authorId="1" shapeId="0" xr:uid="{00000000-0006-0000-0400-000060000000}">
      <text>
        <r>
          <rPr>
            <b/>
            <sz val="10"/>
            <color indexed="81"/>
            <rFont val="Tahoma"/>
            <family val="2"/>
          </rPr>
          <t>Data Entry Cell, Comment on Owner Attorney Fees (initial closing)</t>
        </r>
      </text>
    </comment>
    <comment ref="D38" authorId="1" shapeId="0" xr:uid="{00000000-0006-0000-0400-000061000000}">
      <text>
        <r>
          <rPr>
            <b/>
            <sz val="10"/>
            <color indexed="81"/>
            <rFont val="Tahoma"/>
            <family val="2"/>
          </rPr>
          <t>Data Entry Cell, Owner Attorney Fees (final closing)</t>
        </r>
      </text>
    </comment>
    <comment ref="G38" authorId="1" shapeId="0" xr:uid="{00000000-0006-0000-0400-000062000000}">
      <text>
        <r>
          <rPr>
            <b/>
            <sz val="10"/>
            <color indexed="81"/>
            <rFont val="Tahoma"/>
            <family val="2"/>
          </rPr>
          <t>Data Entry Cell, Comment on Owner Attorney Fees (final closing)</t>
        </r>
      </text>
    </comment>
    <comment ref="A39" authorId="0" shapeId="0" xr:uid="{00000000-0006-0000-0400-000063000000}">
      <text>
        <r>
          <rPr>
            <b/>
            <sz val="8"/>
            <color indexed="81"/>
            <rFont val="Tahoma"/>
            <family val="2"/>
          </rPr>
          <t>Organizational Expenses/Syndication Fees.  Sydication costs are ineligible for HOME.These cost represent costs owners will incur for organizational costs for each project undertaken as a result of the corporate structures created to own and manage assets.  Syndication fees are another expense associated with organizing corporate entities to handle ownership and tax credit issues.</t>
        </r>
      </text>
    </comment>
    <comment ref="D39" authorId="1" shapeId="0" xr:uid="{00000000-0006-0000-0400-000064000000}">
      <text>
        <r>
          <rPr>
            <b/>
            <sz val="10"/>
            <color indexed="81"/>
            <rFont val="Tahoma"/>
            <family val="2"/>
          </rPr>
          <t>Data Entry Cell, Syndication Fees</t>
        </r>
      </text>
    </comment>
    <comment ref="G39" authorId="1" shapeId="0" xr:uid="{00000000-0006-0000-0400-000065000000}">
      <text>
        <r>
          <rPr>
            <b/>
            <sz val="10"/>
            <color indexed="81"/>
            <rFont val="Tahoma"/>
            <family val="2"/>
          </rPr>
          <t>Data Entry Cell, Comment on Syndication Fees</t>
        </r>
      </text>
    </comment>
    <comment ref="M39" authorId="2" shapeId="0" xr:uid="{00000000-0006-0000-0400-000066000000}">
      <text>
        <r>
          <rPr>
            <b/>
            <sz val="9"/>
            <color indexed="81"/>
            <rFont val="Tahoma"/>
            <family val="2"/>
          </rPr>
          <t>Syndication cost is not eligible as LIHTC basis.</t>
        </r>
      </text>
    </comment>
    <comment ref="D40" authorId="1" shapeId="0" xr:uid="{00000000-0006-0000-0400-000067000000}">
      <text>
        <r>
          <rPr>
            <b/>
            <sz val="10"/>
            <color indexed="81"/>
            <rFont val="Tahoma"/>
            <family val="2"/>
          </rPr>
          <t>Data Entry Cell, Other Owner Organizational Expenses</t>
        </r>
      </text>
    </comment>
    <comment ref="G40" authorId="1" shapeId="0" xr:uid="{00000000-0006-0000-0400-000068000000}">
      <text>
        <r>
          <rPr>
            <b/>
            <sz val="10"/>
            <color indexed="81"/>
            <rFont val="Tahoma"/>
            <family val="2"/>
          </rPr>
          <t>Data Entry Cell, Comment on Other Owner  Organizational Expenses</t>
        </r>
      </text>
    </comment>
    <comment ref="M40" authorId="2" shapeId="0" xr:uid="{00000000-0006-0000-0400-000069000000}">
      <text>
        <r>
          <rPr>
            <b/>
            <sz val="9"/>
            <color indexed="81"/>
            <rFont val="Tahoma"/>
            <family val="2"/>
          </rPr>
          <t>Organizational expense is not eligible as LIHTC basis.</t>
        </r>
      </text>
    </comment>
    <comment ref="A41" authorId="0" shapeId="0" xr:uid="{00000000-0006-0000-0400-00006A000000}">
      <text>
        <r>
          <rPr>
            <b/>
            <sz val="8"/>
            <color indexed="81"/>
            <rFont val="Tahoma"/>
            <family val="2"/>
          </rPr>
          <t xml:space="preserve">Market Study / Survey.  These costs should also be directly related to the project.  The market study helps determine the feasibility of the project, while the survey determines the physical boundaries of the project site for construction and legal purposes.
</t>
        </r>
      </text>
    </comment>
    <comment ref="D41" authorId="1" shapeId="0" xr:uid="{00000000-0006-0000-0400-00006B000000}">
      <text>
        <r>
          <rPr>
            <b/>
            <sz val="10"/>
            <color indexed="81"/>
            <rFont val="Tahoma"/>
            <family val="2"/>
          </rPr>
          <t>Data Entry Cell, Market Study Cost</t>
        </r>
      </text>
    </comment>
    <comment ref="G41" authorId="1" shapeId="0" xr:uid="{00000000-0006-0000-0400-00006C000000}">
      <text>
        <r>
          <rPr>
            <b/>
            <sz val="10"/>
            <color indexed="81"/>
            <rFont val="Tahoma"/>
            <family val="2"/>
          </rPr>
          <t>Data Entry Cell, Comment on Market Study Cost</t>
        </r>
      </text>
    </comment>
    <comment ref="D42" authorId="1" shapeId="0" xr:uid="{00000000-0006-0000-0400-00006D000000}">
      <text>
        <r>
          <rPr>
            <b/>
            <sz val="10"/>
            <color indexed="81"/>
            <rFont val="Tahoma"/>
            <family val="2"/>
          </rPr>
          <t>Data Entry Cell, Survey Cost</t>
        </r>
      </text>
    </comment>
    <comment ref="G42" authorId="1" shapeId="0" xr:uid="{00000000-0006-0000-0400-00006E000000}">
      <text>
        <r>
          <rPr>
            <b/>
            <sz val="10"/>
            <color indexed="81"/>
            <rFont val="Tahoma"/>
            <family val="2"/>
          </rPr>
          <t>Data Entry Cell, Comment on Survey Cost</t>
        </r>
      </text>
    </comment>
    <comment ref="A43" authorId="0" shapeId="0" xr:uid="{00000000-0006-0000-0400-00006F000000}">
      <text>
        <r>
          <rPr>
            <b/>
            <sz val="8"/>
            <color indexed="81"/>
            <rFont val="Tahoma"/>
            <family val="2"/>
          </rPr>
          <t>Appraisal Fees.  In buying land or real property, developers will need an appraisal of the property.  It is important to make sure that the appraiser to be used is acceptable to the lender.  Lenders rely heavily on the appraisal when making loans, and they usually maintain a list of approved appraisal firms.</t>
        </r>
      </text>
    </comment>
    <comment ref="D43" authorId="1" shapeId="0" xr:uid="{00000000-0006-0000-0400-000070000000}">
      <text>
        <r>
          <rPr>
            <b/>
            <sz val="10"/>
            <color indexed="81"/>
            <rFont val="Tahoma"/>
            <family val="2"/>
          </rPr>
          <t>Data Entry Cell, Appraisal Cost</t>
        </r>
      </text>
    </comment>
    <comment ref="G43" authorId="1" shapeId="0" xr:uid="{00000000-0006-0000-0400-000071000000}">
      <text>
        <r>
          <rPr>
            <b/>
            <sz val="10"/>
            <color indexed="81"/>
            <rFont val="Tahoma"/>
            <family val="2"/>
          </rPr>
          <t>Data Entry Cell, Comment on Appraisal Cost</t>
        </r>
      </text>
    </comment>
    <comment ref="A44" authorId="0" shapeId="0" xr:uid="{00000000-0006-0000-0400-000072000000}">
      <text>
        <r>
          <rPr>
            <b/>
            <sz val="8"/>
            <color indexed="81"/>
            <rFont val="Tahoma"/>
            <family val="2"/>
          </rPr>
          <t xml:space="preserve">Soil Boring / Environmental Survey / Lead-Based Paint Evaluation.  If the project architect does not include the environmental survey as part of his/her contract, it must be arranged and paid for independently.  The costs of any required lead-based paint inspection should be entered here.  The costs of lead-based paint hazard reduction, however, should be included as part of the </t>
        </r>
        <r>
          <rPr>
            <b/>
            <u/>
            <sz val="8"/>
            <color indexed="81"/>
            <rFont val="Tahoma"/>
            <family val="2"/>
          </rPr>
          <t xml:space="preserve">rehabilitation </t>
        </r>
        <r>
          <rPr>
            <b/>
            <sz val="8"/>
            <color indexed="81"/>
            <rFont val="Tahoma"/>
            <family val="2"/>
          </rPr>
          <t>cost.</t>
        </r>
      </text>
    </comment>
    <comment ref="D44" authorId="1" shapeId="0" xr:uid="{00000000-0006-0000-0400-000073000000}">
      <text>
        <r>
          <rPr>
            <b/>
            <sz val="10"/>
            <color indexed="81"/>
            <rFont val="Tahoma"/>
            <family val="2"/>
          </rPr>
          <t>Data Entry Cell, Soil Boring/
Environmental Survey Cost</t>
        </r>
      </text>
    </comment>
    <comment ref="G44" authorId="1" shapeId="0" xr:uid="{00000000-0006-0000-0400-000074000000}">
      <text>
        <r>
          <rPr>
            <b/>
            <sz val="10"/>
            <color indexed="81"/>
            <rFont val="Tahoma"/>
            <family val="2"/>
          </rPr>
          <t>Data Entry Cell, Comment on Soil Boring/
Environmental Survey Cost</t>
        </r>
      </text>
    </comment>
    <comment ref="A45" authorId="0" shapeId="0" xr:uid="{00000000-0006-0000-0400-000075000000}">
      <text>
        <r>
          <rPr>
            <b/>
            <sz val="8"/>
            <color indexed="81"/>
            <rFont val="Tahoma"/>
            <family val="2"/>
          </rPr>
          <t xml:space="preserve">Capital Needs Assessment(CNA) is required for HOME rental rehabilitation projects with 26 or more total units.  The CNA is an engineering study that estimates the property's physical replacement and repair requirements over an extended period, typically twenty years. The CNA is used for sizing the initial and ongoing Replacement Reserve deposits. </t>
        </r>
      </text>
    </comment>
    <comment ref="D45" authorId="1" shapeId="0" xr:uid="{00000000-0006-0000-0400-000076000000}">
      <text>
        <r>
          <rPr>
            <b/>
            <sz val="10"/>
            <color indexed="81"/>
            <rFont val="Tahoma"/>
            <family val="2"/>
          </rPr>
          <t>Data Entry Cell, Capital Needs Assessment Cost</t>
        </r>
      </text>
    </comment>
    <comment ref="G45" authorId="1" shapeId="0" xr:uid="{00000000-0006-0000-0400-000077000000}">
      <text>
        <r>
          <rPr>
            <b/>
            <sz val="10"/>
            <color indexed="81"/>
            <rFont val="Tahoma"/>
            <family val="2"/>
          </rPr>
          <t>Data Entry Cell, Comment on Capital Needs Assessment Cost</t>
        </r>
      </text>
    </comment>
    <comment ref="A46" authorId="0" shapeId="0" xr:uid="{00000000-0006-0000-0400-000078000000}">
      <text>
        <r>
          <rPr>
            <b/>
            <sz val="8"/>
            <color indexed="81"/>
            <rFont val="Tahoma"/>
            <family val="2"/>
          </rPr>
          <t>Cost for any other reports or studies.  For example, a lender might require a special report on an existing building's fire alarm system.</t>
        </r>
      </text>
    </comment>
    <comment ref="C46" authorId="0" shapeId="0" xr:uid="{00000000-0006-0000-0400-000079000000}">
      <text>
        <r>
          <rPr>
            <b/>
            <sz val="10"/>
            <color indexed="81"/>
            <rFont val="Verdana"/>
            <family val="2"/>
          </rPr>
          <t>Data Entry Cell, Insert the name of Other Third Party Reports</t>
        </r>
      </text>
    </comment>
    <comment ref="D46" authorId="1" shapeId="0" xr:uid="{00000000-0006-0000-0400-00007A000000}">
      <text>
        <r>
          <rPr>
            <b/>
            <sz val="10"/>
            <color indexed="81"/>
            <rFont val="Tahoma"/>
            <family val="2"/>
          </rPr>
          <t>Data Entry Cell, Other Third Party Reports Costs</t>
        </r>
      </text>
    </comment>
    <comment ref="G46" authorId="1" shapeId="0" xr:uid="{00000000-0006-0000-0400-00007B000000}">
      <text>
        <r>
          <rPr>
            <b/>
            <sz val="10"/>
            <color indexed="81"/>
            <rFont val="Tahoma"/>
            <family val="2"/>
          </rPr>
          <t>Data Entry Cell, Comment on Other Third Party Reports Costs</t>
        </r>
      </text>
    </comment>
    <comment ref="A47" authorId="0" shapeId="0" xr:uid="{00000000-0006-0000-0400-00007C000000}">
      <text>
        <r>
          <rPr>
            <b/>
            <sz val="8"/>
            <color indexed="81"/>
            <rFont val="Tahoma"/>
            <family val="2"/>
          </rPr>
          <t>Tap Fees and Impact Fees.  The water and sewer authority often requires connection or tap fees before a project can be connected into the utility system.  Some communities also charge impact fees to help recoup some less direct costs associated with development activities, such as environmental impacts, school system capital costs, etc.  Like building permits, these fees are readily available from the appropriate governing agency.</t>
        </r>
      </text>
    </comment>
    <comment ref="D47" authorId="1" shapeId="0" xr:uid="{00000000-0006-0000-0400-00007D000000}">
      <text>
        <r>
          <rPr>
            <b/>
            <sz val="10"/>
            <color indexed="81"/>
            <rFont val="Tahoma"/>
            <family val="2"/>
          </rPr>
          <t>Data Entry Cell, Tap Fees &amp; Impact Fees</t>
        </r>
      </text>
    </comment>
    <comment ref="G47" authorId="1" shapeId="0" xr:uid="{00000000-0006-0000-0400-00007E000000}">
      <text>
        <r>
          <rPr>
            <b/>
            <sz val="10"/>
            <color indexed="81"/>
            <rFont val="Tahoma"/>
            <family val="2"/>
          </rPr>
          <t>Data Entry Cell, Comment on Tap Fees &amp; Impact Fees</t>
        </r>
      </text>
    </comment>
    <comment ref="A48" authorId="0" shapeId="0" xr:uid="{00000000-0006-0000-0400-00007F000000}">
      <text>
        <r>
          <rPr>
            <b/>
            <sz val="8"/>
            <color indexed="81"/>
            <rFont val="Tahoma"/>
            <family val="2"/>
          </rPr>
          <t>Permitting Fees.  Various government agencies responsible for enforcing site plan review and building codes generally will require payment of review fees and building or construction permit fees before construction can commence.</t>
        </r>
      </text>
    </comment>
    <comment ref="D48" authorId="1" shapeId="0" xr:uid="{00000000-0006-0000-0400-000080000000}">
      <text>
        <r>
          <rPr>
            <b/>
            <sz val="10"/>
            <color indexed="81"/>
            <rFont val="Tahoma"/>
            <family val="2"/>
          </rPr>
          <t>Data Entry Cell, Permitting Cost</t>
        </r>
      </text>
    </comment>
    <comment ref="G48" authorId="1" shapeId="0" xr:uid="{00000000-0006-0000-0400-000081000000}">
      <text>
        <r>
          <rPr>
            <b/>
            <sz val="10"/>
            <color indexed="81"/>
            <rFont val="Tahoma"/>
            <family val="2"/>
          </rPr>
          <t>Data Entry Cell, Comment on Permitting Cost</t>
        </r>
      </text>
    </comment>
    <comment ref="A49" authorId="0" shapeId="0" xr:uid="{00000000-0006-0000-0400-000082000000}">
      <text>
        <r>
          <rPr>
            <b/>
            <sz val="8"/>
            <color indexed="81"/>
            <rFont val="Tahoma"/>
            <family val="2"/>
          </rPr>
          <t>Tax Credit Fees are specific to LIHTC transactions.</t>
        </r>
      </text>
    </comment>
    <comment ref="D49" authorId="1" shapeId="0" xr:uid="{00000000-0006-0000-0400-000083000000}">
      <text>
        <r>
          <rPr>
            <b/>
            <sz val="10"/>
            <color indexed="81"/>
            <rFont val="Tahoma"/>
            <family val="2"/>
          </rPr>
          <t>Data Entry Cell, Tax Credit Fees</t>
        </r>
      </text>
    </comment>
    <comment ref="G49" authorId="1" shapeId="0" xr:uid="{00000000-0006-0000-0400-000084000000}">
      <text>
        <r>
          <rPr>
            <b/>
            <sz val="10"/>
            <color indexed="81"/>
            <rFont val="Tahoma"/>
            <family val="2"/>
          </rPr>
          <t>Data Entry Cell, Comment on Tax Credit Fees</t>
        </r>
      </text>
    </comment>
    <comment ref="M49" authorId="2" shapeId="0" xr:uid="{00000000-0006-0000-0400-000085000000}">
      <text>
        <r>
          <rPr>
            <b/>
            <sz val="9"/>
            <color indexed="81"/>
            <rFont val="Tahoma"/>
            <family val="2"/>
          </rPr>
          <t>Tax credit fees are not eligible as LIHTC basis.</t>
        </r>
      </text>
    </comment>
    <comment ref="A50" authorId="2" shapeId="0" xr:uid="{00000000-0006-0000-0400-000086000000}">
      <text>
        <r>
          <rPr>
            <b/>
            <sz val="9"/>
            <color indexed="81"/>
            <rFont val="Tahoma"/>
            <family val="2"/>
          </rPr>
          <t>Any accounting fees such as a fee to prepare a cost certification audit report.</t>
        </r>
        <r>
          <rPr>
            <sz val="9"/>
            <color indexed="81"/>
            <rFont val="Tahoma"/>
            <family val="2"/>
          </rPr>
          <t xml:space="preserve">
</t>
        </r>
      </text>
    </comment>
    <comment ref="A51" authorId="0" shapeId="0" xr:uid="{00000000-0006-0000-0400-000087000000}">
      <text>
        <r>
          <rPr>
            <b/>
            <sz val="8"/>
            <color indexed="81"/>
            <rFont val="Tahoma"/>
            <family val="2"/>
          </rPr>
          <t>Soft Cost Contingency is a cushion to cover possible overages on any of the soft cost projected amounts.</t>
        </r>
      </text>
    </comment>
    <comment ref="D51" authorId="1" shapeId="0" xr:uid="{00000000-0006-0000-0400-000088000000}">
      <text>
        <r>
          <rPr>
            <b/>
            <sz val="10"/>
            <color indexed="81"/>
            <rFont val="Tahoma"/>
            <family val="2"/>
          </rPr>
          <t>Data Entry Cell, Soft Cost Contingency Cost</t>
        </r>
      </text>
    </comment>
    <comment ref="G51" authorId="1" shapeId="0" xr:uid="{00000000-0006-0000-0400-000089000000}">
      <text>
        <r>
          <rPr>
            <b/>
            <sz val="10"/>
            <color indexed="81"/>
            <rFont val="Tahoma"/>
            <family val="2"/>
          </rPr>
          <t>Data Entry Cell, Comment on Soft Cost Contingency Cost</t>
        </r>
      </text>
    </comment>
    <comment ref="A52" authorId="0" shapeId="0" xr:uid="{00000000-0006-0000-0400-00008A000000}">
      <text>
        <r>
          <rPr>
            <b/>
            <sz val="8"/>
            <color indexed="81"/>
            <rFont val="Tahoma"/>
            <family val="2"/>
          </rPr>
          <t>Use the Other Owner Costs field to enter owner costs that are not represented by the other items in this category.  Enter a label (replacing the “Other Owner Costs” text) and an amount.  If you do not need to use this field, simply leave it blank.</t>
        </r>
      </text>
    </comment>
    <comment ref="C52" authorId="0" shapeId="0" xr:uid="{00000000-0006-0000-0400-00008B000000}">
      <text>
        <r>
          <rPr>
            <b/>
            <sz val="10"/>
            <color indexed="81"/>
            <rFont val="Verdana"/>
            <family val="2"/>
          </rPr>
          <t>Data Entry Cell, Insert the name of Other Owner Costs</t>
        </r>
      </text>
    </comment>
    <comment ref="D52" authorId="1" shapeId="0" xr:uid="{00000000-0006-0000-0400-00008C000000}">
      <text>
        <r>
          <rPr>
            <b/>
            <sz val="10"/>
            <color indexed="81"/>
            <rFont val="Tahoma"/>
            <family val="2"/>
          </rPr>
          <t>Data Entry Cell, Other Owner Costs</t>
        </r>
      </text>
    </comment>
    <comment ref="G52" authorId="1" shapeId="0" xr:uid="{00000000-0006-0000-0400-00008D000000}">
      <text>
        <r>
          <rPr>
            <b/>
            <sz val="10"/>
            <color indexed="81"/>
            <rFont val="Tahoma"/>
            <family val="2"/>
          </rPr>
          <t>Data Entry Cell, Comment on Other Owner Costs</t>
        </r>
      </text>
    </comment>
    <comment ref="C53" authorId="0" shapeId="0" xr:uid="{00000000-0006-0000-0400-00008E000000}">
      <text>
        <r>
          <rPr>
            <b/>
            <sz val="10"/>
            <color indexed="81"/>
            <rFont val="Verdana"/>
            <family val="2"/>
          </rPr>
          <t>Data Entry Cell, Insert the name of Other Owner Costs</t>
        </r>
      </text>
    </comment>
    <comment ref="D53" authorId="1" shapeId="0" xr:uid="{00000000-0006-0000-0400-00008F000000}">
      <text>
        <r>
          <rPr>
            <b/>
            <sz val="10"/>
            <color indexed="81"/>
            <rFont val="Tahoma"/>
            <family val="2"/>
          </rPr>
          <t>Data Entry Cell, Other Owner Costs</t>
        </r>
      </text>
    </comment>
    <comment ref="G53" authorId="1" shapeId="0" xr:uid="{00000000-0006-0000-0400-000090000000}">
      <text>
        <r>
          <rPr>
            <b/>
            <sz val="10"/>
            <color indexed="81"/>
            <rFont val="Tahoma"/>
            <family val="2"/>
          </rPr>
          <t>Data Entry Cell, Comment on Other Owner Costs</t>
        </r>
      </text>
    </comment>
    <comment ref="A54" authorId="0" shapeId="0" xr:uid="{00000000-0006-0000-0400-000091000000}">
      <text>
        <r>
          <rPr>
            <b/>
            <sz val="8"/>
            <color indexed="81"/>
            <rFont val="Tahoma"/>
            <family val="2"/>
          </rPr>
          <t>Interim financing costs are associated with financing the construction phase of the project, before the project is completed and ready for occupancy.  These costs are particularly sensitive to the amount of time it takes to complete the project, as the longer a construction loan is outstanding, the more interest must be paid to the lender.</t>
        </r>
      </text>
    </comment>
    <comment ref="A55" authorId="0" shapeId="0" xr:uid="{00000000-0006-0000-0400-000092000000}">
      <text>
        <r>
          <rPr>
            <b/>
            <sz val="8"/>
            <color indexed="81"/>
            <rFont val="Tahoma"/>
            <family val="2"/>
          </rPr>
          <t>Construction Period Insurance.  While the contractor will carry builder's risk and liability insurance you will probably need to carry hazard insurance against damage to the building during construction and possibly insurance against theft and liability for personal injury or property damage.  Consult with an insurance company for a quote.
Real estate attorneys and insurance agents can help to determine the cost of insurance during construction.  Lenders may have their own insurance standards needed during construction, so you may wish to consult them.</t>
        </r>
      </text>
    </comment>
    <comment ref="D55" authorId="1" shapeId="0" xr:uid="{00000000-0006-0000-0400-000093000000}">
      <text>
        <r>
          <rPr>
            <b/>
            <sz val="10"/>
            <color indexed="81"/>
            <rFont val="Tahoma"/>
            <family val="2"/>
          </rPr>
          <t>Data Entry Cell, Construction Period Insurance Cost</t>
        </r>
      </text>
    </comment>
    <comment ref="G55" authorId="1" shapeId="0" xr:uid="{00000000-0006-0000-0400-000094000000}">
      <text>
        <r>
          <rPr>
            <b/>
            <sz val="10"/>
            <color indexed="81"/>
            <rFont val="Tahoma"/>
            <family val="2"/>
          </rPr>
          <t>Data Entry Cell, Comment on Construction Period Insurance Cost</t>
        </r>
      </text>
    </comment>
    <comment ref="A56" authorId="0" shapeId="0" xr:uid="{00000000-0006-0000-0400-000095000000}">
      <text>
        <r>
          <rPr>
            <b/>
            <sz val="8"/>
            <color indexed="81"/>
            <rFont val="Tahoma"/>
            <family val="2"/>
          </rPr>
          <t>Construction Period Taxes.  Real estate taxes usually have to be paid on the property during the construction/marketing period.  For a project whose construction period is longer than twelve months, two years’ tax payments will have to be made.  Consult with local taxing authorities to determine the basis on which the property will be assessed, based on preliminary development plans and on the anticipated starting and completion dates for construction.  The annual estimated tax bill should then be prorated for the construction/marketing period.
Real estate attorneys and tax professionals can also help to determine the cost of taxes during construction.  Lenders may have their own tax standards needed during construction, so you may wish to consult them.</t>
        </r>
      </text>
    </comment>
    <comment ref="D56" authorId="1" shapeId="0" xr:uid="{00000000-0006-0000-0400-000096000000}">
      <text>
        <r>
          <rPr>
            <b/>
            <sz val="10"/>
            <color indexed="81"/>
            <rFont val="Tahoma"/>
            <family val="2"/>
          </rPr>
          <t>Data Entry Cell, Construction Period Taxes Cost</t>
        </r>
      </text>
    </comment>
    <comment ref="G56" authorId="1" shapeId="0" xr:uid="{00000000-0006-0000-0400-000097000000}">
      <text>
        <r>
          <rPr>
            <b/>
            <sz val="10"/>
            <color indexed="81"/>
            <rFont val="Tahoma"/>
            <family val="2"/>
          </rPr>
          <t>Data Entry Cell, Comment on Construction Period Taxes Cost</t>
        </r>
      </text>
    </comment>
    <comment ref="A57" authorId="0" shapeId="0" xr:uid="{00000000-0006-0000-0400-000098000000}">
      <text>
        <r>
          <rPr>
            <b/>
            <sz val="8"/>
            <color indexed="81"/>
            <rFont val="Tahoma"/>
            <family val="2"/>
          </rPr>
          <t>Construction Interest.  Interest accrues on the construction loan during the construction period and must be paid according to specific terms.  Because the amount of construction interest depends on the specific terms of your construction loan, it is computed under the Construction Interest Calculation portion of this worksheet.</t>
        </r>
      </text>
    </comment>
    <comment ref="G57" authorId="1" shapeId="0" xr:uid="{00000000-0006-0000-0400-000099000000}">
      <text>
        <r>
          <rPr>
            <b/>
            <sz val="10"/>
            <color indexed="81"/>
            <rFont val="Tahoma"/>
            <family val="2"/>
          </rPr>
          <t>Data Entry Cell, Comment on Construction Interest (calculated below)</t>
        </r>
      </text>
    </comment>
    <comment ref="M57" authorId="2" shapeId="0" xr:uid="{00000000-0006-0000-0400-00009A000000}">
      <text>
        <r>
          <rPr>
            <b/>
            <sz val="9"/>
            <color indexed="81"/>
            <rFont val="Tahoma"/>
            <family val="2"/>
          </rPr>
          <t>Construction interest is eligible as LIHTC basis but only during the construction period.</t>
        </r>
      </text>
    </comment>
    <comment ref="A58" authorId="0" shapeId="0" xr:uid="{00000000-0006-0000-0400-00009B000000}">
      <text>
        <r>
          <rPr>
            <b/>
            <sz val="8"/>
            <color indexed="81"/>
            <rFont val="Tahoma"/>
            <family val="2"/>
          </rPr>
          <t xml:space="preserve">Construction Loan Origination Fee.  Loan fees and points reimburse the lender for the overhead costs of providing a loan.  </t>
        </r>
      </text>
    </comment>
    <comment ref="D58" authorId="1" shapeId="0" xr:uid="{00000000-0006-0000-0400-00009C000000}">
      <text>
        <r>
          <rPr>
            <b/>
            <sz val="10"/>
            <color indexed="81"/>
            <rFont val="Tahoma"/>
            <family val="2"/>
          </rPr>
          <t>Data Entry Cell, Construction Loan Origination Fee</t>
        </r>
      </text>
    </comment>
    <comment ref="G58" authorId="1" shapeId="0" xr:uid="{00000000-0006-0000-0400-00009D000000}">
      <text>
        <r>
          <rPr>
            <b/>
            <sz val="10"/>
            <color indexed="81"/>
            <rFont val="Tahoma"/>
            <family val="2"/>
          </rPr>
          <t>Data Entry Cell, Comment on Construction Loan Origination Fee</t>
        </r>
      </text>
    </comment>
    <comment ref="A59" authorId="0" shapeId="0" xr:uid="{00000000-0006-0000-0400-00009E000000}">
      <text>
        <r>
          <rPr>
            <b/>
            <sz val="8"/>
            <color indexed="81"/>
            <rFont val="Tahoma"/>
            <family val="2"/>
          </rPr>
          <t>Construction Loan Legal Fees.  Legal fees will be incurred for incorporation, contract negotiations, property acquisition, loan closings and other assorted parts of the development process.  Unless the project is highly unusual, and will require inordinate legal attention, legal fees should be in line with similar development projects.</t>
        </r>
      </text>
    </comment>
    <comment ref="D59" authorId="1" shapeId="0" xr:uid="{00000000-0006-0000-0400-00009F000000}">
      <text>
        <r>
          <rPr>
            <b/>
            <sz val="10"/>
            <color indexed="81"/>
            <rFont val="Tahoma"/>
            <family val="2"/>
          </rPr>
          <t>Data Entry Cell, Construction Loan Legal Fees</t>
        </r>
      </text>
    </comment>
    <comment ref="G59" authorId="1" shapeId="0" xr:uid="{00000000-0006-0000-0400-0000A0000000}">
      <text>
        <r>
          <rPr>
            <b/>
            <sz val="10"/>
            <color indexed="81"/>
            <rFont val="Tahoma"/>
            <family val="2"/>
          </rPr>
          <t>Data Entry Cell, Comment on Construction Loan Legal Fees</t>
        </r>
      </text>
    </comment>
    <comment ref="A60" authorId="0" shapeId="0" xr:uid="{00000000-0006-0000-0400-0000A1000000}">
      <text>
        <r>
          <rPr>
            <b/>
            <sz val="8"/>
            <color indexed="81"/>
            <rFont val="Tahoma"/>
            <family val="2"/>
          </rPr>
          <t>Other Construction Loan Costs. Use this line items for any construction loan costs not included in the above Interim Financing Costs.</t>
        </r>
      </text>
    </comment>
    <comment ref="D60" authorId="1" shapeId="0" xr:uid="{00000000-0006-0000-0400-0000A2000000}">
      <text>
        <r>
          <rPr>
            <b/>
            <sz val="10"/>
            <color indexed="81"/>
            <rFont val="Tahoma"/>
            <family val="2"/>
          </rPr>
          <t>Data Entry Cell, Other Construction Loan Fees</t>
        </r>
      </text>
    </comment>
    <comment ref="G60" authorId="1" shapeId="0" xr:uid="{00000000-0006-0000-0400-0000A3000000}">
      <text>
        <r>
          <rPr>
            <b/>
            <sz val="10"/>
            <color indexed="81"/>
            <rFont val="Tahoma"/>
            <family val="2"/>
          </rPr>
          <t>Data Entry Cell, Comment on Other Construction Loan Fees</t>
        </r>
      </text>
    </comment>
    <comment ref="A61" authorId="0" shapeId="0" xr:uid="{00000000-0006-0000-0400-0000A4000000}">
      <text>
        <r>
          <rPr>
            <b/>
            <sz val="8"/>
            <color indexed="81"/>
            <rFont val="Tahoma"/>
            <family val="2"/>
          </rPr>
          <t>Bond Costs of Issuance.  Use this line item for interim financing costs specific to bonds issued as part of project financing.</t>
        </r>
      </text>
    </comment>
    <comment ref="D61" authorId="1" shapeId="0" xr:uid="{00000000-0006-0000-0400-0000A5000000}">
      <text>
        <r>
          <rPr>
            <b/>
            <sz val="10"/>
            <color indexed="81"/>
            <rFont val="Tahoma"/>
            <family val="2"/>
          </rPr>
          <t>Data Entry Cell, Bond Costs of Issuance</t>
        </r>
      </text>
    </comment>
    <comment ref="G61" authorId="1" shapeId="0" xr:uid="{00000000-0006-0000-0400-0000A6000000}">
      <text>
        <r>
          <rPr>
            <b/>
            <sz val="10"/>
            <color indexed="81"/>
            <rFont val="Tahoma"/>
            <family val="2"/>
          </rPr>
          <t>Data Entry Cell, Comment on Bond Costs of Issuance</t>
        </r>
      </text>
    </comment>
    <comment ref="A62" authorId="0" shapeId="0" xr:uid="{00000000-0006-0000-0400-0000A7000000}">
      <text>
        <r>
          <rPr>
            <b/>
            <sz val="8"/>
            <color indexed="81"/>
            <rFont val="Tahoma"/>
            <family val="2"/>
          </rPr>
          <t xml:space="preserve">Title and Recording Costs (for the construction loan).  These items are the costs of making sure that the owner/sponsor has clear title to the property before construction starts.  Title insurance protects the lender, while recording the deed protects the title.  The mortgage held by the lender must also be recorded.  The sponsor's attorney or a title insurance company can estimate these costs, given a specific property and an estimate of development costs.
</t>
        </r>
      </text>
    </comment>
    <comment ref="D62" authorId="1" shapeId="0" xr:uid="{00000000-0006-0000-0400-0000A8000000}">
      <text>
        <r>
          <rPr>
            <b/>
            <sz val="10"/>
            <color indexed="81"/>
            <rFont val="Tahoma"/>
            <family val="2"/>
          </rPr>
          <t>Data Entry Cell, Title and Recording Costs for the Construction Loan</t>
        </r>
      </text>
    </comment>
    <comment ref="G62" authorId="1" shapeId="0" xr:uid="{00000000-0006-0000-0400-0000A9000000}">
      <text>
        <r>
          <rPr>
            <b/>
            <sz val="10"/>
            <color indexed="81"/>
            <rFont val="Tahoma"/>
            <family val="2"/>
          </rPr>
          <t>Data Entry Cell, Comment on Title and Recording Costs for the Construction Loan</t>
        </r>
      </text>
    </comment>
    <comment ref="A63" authorId="0" shapeId="0" xr:uid="{00000000-0006-0000-0400-0000AA000000}">
      <text>
        <r>
          <rPr>
            <b/>
            <sz val="8"/>
            <color indexed="81"/>
            <rFont val="Tahoma"/>
            <family val="2"/>
          </rPr>
          <t>Use the Other Interim Financing Costs field to enter costs related to interim financing that are not represented by the other items in this category.  Enter a label (replacing the “Other Interim Financing Costs” text) and an amount.  If you do not need to use this field, simply leave it blank.</t>
        </r>
      </text>
    </comment>
    <comment ref="C63" authorId="0" shapeId="0" xr:uid="{00000000-0006-0000-0400-0000AB000000}">
      <text>
        <r>
          <rPr>
            <b/>
            <sz val="10"/>
            <color indexed="81"/>
            <rFont val="Verdana"/>
            <family val="2"/>
          </rPr>
          <t>Data Entry Cell, Insert the name of Other Interim Financing Costs</t>
        </r>
      </text>
    </comment>
    <comment ref="D63" authorId="1" shapeId="0" xr:uid="{00000000-0006-0000-0400-0000AC000000}">
      <text>
        <r>
          <rPr>
            <b/>
            <sz val="10"/>
            <color indexed="81"/>
            <rFont val="Tahoma"/>
            <family val="2"/>
          </rPr>
          <t>Data Entry Cell, Other Interim Financing Costs</t>
        </r>
      </text>
    </comment>
    <comment ref="G63" authorId="1" shapeId="0" xr:uid="{00000000-0006-0000-0400-0000AD000000}">
      <text>
        <r>
          <rPr>
            <b/>
            <sz val="10"/>
            <color indexed="81"/>
            <rFont val="Tahoma"/>
            <family val="2"/>
          </rPr>
          <t>Data Entry Cell, Comment on Other Interim Financing Costs</t>
        </r>
      </text>
    </comment>
    <comment ref="C64" authorId="0" shapeId="0" xr:uid="{00000000-0006-0000-0400-0000AE000000}">
      <text>
        <r>
          <rPr>
            <b/>
            <sz val="10"/>
            <color indexed="81"/>
            <rFont val="Verdana"/>
            <family val="2"/>
          </rPr>
          <t>Data Entry Cell, Insert the name of Other Interim Financing Costs</t>
        </r>
      </text>
    </comment>
    <comment ref="D64" authorId="1" shapeId="0" xr:uid="{00000000-0006-0000-0400-0000AF000000}">
      <text>
        <r>
          <rPr>
            <b/>
            <sz val="10"/>
            <color indexed="81"/>
            <rFont val="Tahoma"/>
            <family val="2"/>
          </rPr>
          <t>Data Entry Cell, Other Interim Financing Costs</t>
        </r>
      </text>
    </comment>
    <comment ref="G64" authorId="1" shapeId="0" xr:uid="{00000000-0006-0000-0400-0000B0000000}">
      <text>
        <r>
          <rPr>
            <b/>
            <sz val="10"/>
            <color indexed="81"/>
            <rFont val="Tahoma"/>
            <family val="2"/>
          </rPr>
          <t>Data Entry Cell, Comment on Other Interim Financing Costs</t>
        </r>
      </text>
    </comment>
    <comment ref="A65" authorId="0" shapeId="0" xr:uid="{00000000-0006-0000-0400-0000B1000000}">
      <text>
        <r>
          <rPr>
            <b/>
            <sz val="8"/>
            <color indexed="81"/>
            <rFont val="Tahoma"/>
            <family val="2"/>
          </rPr>
          <t>Permanent financing costs are associated with securing the long-term financing for the project, including costs charged by and passed through the permanent lender.</t>
        </r>
      </text>
    </comment>
    <comment ref="A66" authorId="0" shapeId="0" xr:uid="{00000000-0006-0000-0400-0000B2000000}">
      <text>
        <r>
          <rPr>
            <b/>
            <sz val="8"/>
            <color indexed="81"/>
            <rFont val="Tahoma"/>
            <family val="2"/>
          </rPr>
          <t>Credit Report.  A credit report generally is required by the lender to ensure that the borrower has repaid debt on time and consistently.</t>
        </r>
      </text>
    </comment>
    <comment ref="D66" authorId="1" shapeId="0" xr:uid="{00000000-0006-0000-0400-0000B3000000}">
      <text>
        <r>
          <rPr>
            <b/>
            <sz val="10"/>
            <color indexed="81"/>
            <rFont val="Tahoma"/>
            <family val="2"/>
          </rPr>
          <t>Data Entry Cell, Credit Report Cost</t>
        </r>
      </text>
    </comment>
    <comment ref="G66" authorId="1" shapeId="0" xr:uid="{00000000-0006-0000-0400-0000B4000000}">
      <text>
        <r>
          <rPr>
            <b/>
            <sz val="10"/>
            <color indexed="81"/>
            <rFont val="Tahoma"/>
            <family val="2"/>
          </rPr>
          <t>Data Entry Cell, Comment on Credit Report Cost</t>
        </r>
      </text>
    </comment>
    <comment ref="A67" authorId="0" shapeId="0" xr:uid="{00000000-0006-0000-0400-0000B5000000}">
      <text>
        <r>
          <rPr>
            <b/>
            <sz val="8"/>
            <color indexed="81"/>
            <rFont val="Tahoma"/>
            <family val="2"/>
          </rPr>
          <t>Permanent Loan Origination Fees (Points).  The permanent loan origination fee is charged by the lender to originate and process the paperwork associated with making a loan.  These fees vary by loan size and loan type.  The points cost for the first and second mortgages are calculated later, based on data you will provide on the Financing Sources tab.</t>
        </r>
      </text>
    </comment>
    <comment ref="D67" authorId="1" shapeId="0" xr:uid="{00000000-0006-0000-0400-0000B6000000}">
      <text>
        <r>
          <rPr>
            <b/>
            <sz val="10"/>
            <color indexed="81"/>
            <rFont val="Tahoma"/>
            <family val="2"/>
          </rPr>
          <t>Data Entry Cell, Lender Origination / Financing Fee</t>
        </r>
      </text>
    </comment>
    <comment ref="G67" authorId="1" shapeId="0" xr:uid="{00000000-0006-0000-0400-0000B7000000}">
      <text>
        <r>
          <rPr>
            <b/>
            <sz val="10"/>
            <color indexed="81"/>
            <rFont val="Tahoma"/>
            <family val="2"/>
          </rPr>
          <t>Data Entry Cell, Comment on Lender Origination / Financing Fee</t>
        </r>
      </text>
    </comment>
    <comment ref="M67" authorId="2" shapeId="0" xr:uid="{00000000-0006-0000-0400-0000B8000000}">
      <text>
        <r>
          <rPr>
            <b/>
            <sz val="9"/>
            <color indexed="81"/>
            <rFont val="Tahoma"/>
            <family val="2"/>
          </rPr>
          <t>Permanent loan fees are not eligible as LIHTC basis.</t>
        </r>
      </text>
    </comment>
    <comment ref="A68" authorId="0" shapeId="0" xr:uid="{00000000-0006-0000-0400-0000B9000000}">
      <text>
        <r>
          <rPr>
            <b/>
            <sz val="8"/>
            <color indexed="81"/>
            <rFont val="Tahoma"/>
            <family val="2"/>
          </rPr>
          <t>Lender’s Counsel Fee.  The project will likely also have to pay for the lender’s counsel to protect the lender’s interests in the transaction.</t>
        </r>
      </text>
    </comment>
    <comment ref="D68" authorId="1" shapeId="0" xr:uid="{00000000-0006-0000-0400-0000BA000000}">
      <text>
        <r>
          <rPr>
            <b/>
            <sz val="10"/>
            <color indexed="81"/>
            <rFont val="Tahoma"/>
            <family val="2"/>
          </rPr>
          <t>Data Entry Cell, Lender's Counsel Fee</t>
        </r>
      </text>
    </comment>
    <comment ref="G68" authorId="1" shapeId="0" xr:uid="{00000000-0006-0000-0400-0000BB000000}">
      <text>
        <r>
          <rPr>
            <b/>
            <sz val="10"/>
            <color indexed="81"/>
            <rFont val="Tahoma"/>
            <family val="2"/>
          </rPr>
          <t>Data Entry Cell, Comment on Lender's Counsel Fee</t>
        </r>
      </text>
    </comment>
    <comment ref="A69" authorId="0" shapeId="0" xr:uid="{00000000-0006-0000-0400-0000BC000000}">
      <text>
        <r>
          <rPr>
            <b/>
            <sz val="8"/>
            <color indexed="81"/>
            <rFont val="Tahoma"/>
            <family val="2"/>
          </rPr>
          <t xml:space="preserve">Use Other Lender Fees for any fees the Lender requires that are not already captured above.
</t>
        </r>
      </text>
    </comment>
    <comment ref="D69" authorId="1" shapeId="0" xr:uid="{00000000-0006-0000-0400-0000BD000000}">
      <text>
        <r>
          <rPr>
            <b/>
            <sz val="10"/>
            <color indexed="81"/>
            <rFont val="Tahoma"/>
            <family val="2"/>
          </rPr>
          <t>Data Entry Cell, Other Lender Fees</t>
        </r>
      </text>
    </comment>
    <comment ref="G69" authorId="1" shapeId="0" xr:uid="{00000000-0006-0000-0400-0000BE000000}">
      <text>
        <r>
          <rPr>
            <b/>
            <sz val="10"/>
            <color indexed="81"/>
            <rFont val="Tahoma"/>
            <family val="2"/>
          </rPr>
          <t>Data Entry Cell, Comment on Other Lender Fees</t>
        </r>
      </text>
    </comment>
    <comment ref="A70" authorId="0" shapeId="0" xr:uid="{00000000-0006-0000-0400-0000BF000000}">
      <text>
        <r>
          <rPr>
            <b/>
            <sz val="8"/>
            <color indexed="81"/>
            <rFont val="Tahoma"/>
            <family val="2"/>
          </rPr>
          <t xml:space="preserve">Title and Recording Costs (for Permanent Loan).  Lenders generally require title insurance to ensure that the property is marketable and that title is clear of any defects.  There may be a recording fee (per-page) for all documents registered with the Register of Deeds.
</t>
        </r>
      </text>
    </comment>
    <comment ref="D70" authorId="1" shapeId="0" xr:uid="{00000000-0006-0000-0400-0000C0000000}">
      <text>
        <r>
          <rPr>
            <b/>
            <sz val="10"/>
            <color indexed="81"/>
            <rFont val="Tahoma"/>
            <family val="2"/>
          </rPr>
          <t>Data Entry Cell, Title and Recording Cost for Permanent Financing</t>
        </r>
      </text>
    </comment>
    <comment ref="G70" authorId="1" shapeId="0" xr:uid="{00000000-0006-0000-0400-0000C1000000}">
      <text>
        <r>
          <rPr>
            <b/>
            <sz val="10"/>
            <color indexed="81"/>
            <rFont val="Tahoma"/>
            <family val="2"/>
          </rPr>
          <t>Data Entry Cell, Comment on Title and Recording Cost for Permanent Financing</t>
        </r>
      </text>
    </comment>
    <comment ref="M70" authorId="2" shapeId="0" xr:uid="{00000000-0006-0000-0400-0000C2000000}">
      <text>
        <r>
          <rPr>
            <b/>
            <sz val="9"/>
            <color indexed="81"/>
            <rFont val="Tahoma"/>
            <family val="2"/>
          </rPr>
          <t>Permanent loan fees are not eligible as LIHTC basis.</t>
        </r>
      </text>
    </comment>
    <comment ref="A71" authorId="0" shapeId="0" xr:uid="{00000000-0006-0000-0400-0000C3000000}">
      <text>
        <r>
          <rPr>
            <b/>
            <sz val="8"/>
            <color indexed="81"/>
            <rFont val="Tahoma"/>
            <family val="2"/>
          </rPr>
          <t>It is common for Lenders to require the establishment of Tax and Insurance Escrows to secure future payments.</t>
        </r>
      </text>
    </comment>
    <comment ref="D71" authorId="1" shapeId="0" xr:uid="{00000000-0006-0000-0400-0000C4000000}">
      <text>
        <r>
          <rPr>
            <b/>
            <sz val="10"/>
            <color indexed="81"/>
            <rFont val="Tahoma"/>
            <family val="2"/>
          </rPr>
          <t>Data Entry Cell, Cost to Establish Tax and Insurance Escrows</t>
        </r>
      </text>
    </comment>
    <comment ref="G71" authorId="1" shapeId="0" xr:uid="{00000000-0006-0000-0400-0000C5000000}">
      <text>
        <r>
          <rPr>
            <b/>
            <sz val="10"/>
            <color indexed="81"/>
            <rFont val="Tahoma"/>
            <family val="2"/>
          </rPr>
          <t>Data Entry Cell, Comment on Cost to Establish Tax and Insurance Escrows</t>
        </r>
      </text>
    </comment>
    <comment ref="M71" authorId="2" shapeId="0" xr:uid="{00000000-0006-0000-0400-0000C6000000}">
      <text>
        <r>
          <rPr>
            <b/>
            <sz val="9"/>
            <color indexed="81"/>
            <rFont val="Tahoma"/>
            <family val="2"/>
          </rPr>
          <t>The cost to establish tax and insurance escrows is not eligible as LIHTC basis.</t>
        </r>
      </text>
    </comment>
    <comment ref="A72" authorId="0" shapeId="0" xr:uid="{00000000-0006-0000-0400-0000C7000000}">
      <text>
        <r>
          <rPr>
            <b/>
            <sz val="8"/>
            <color indexed="81"/>
            <rFont val="Tahoma"/>
            <family val="2"/>
          </rPr>
          <t xml:space="preserve">Use the Other Permanent Financing Fees and Expenses field to enter costs related to permanent financing that are not represented by the other items in this category.  Enter a label (replacing the “Other Permanent Financing Fees and Expenses” text) and an amount.  If you do not need to use this field, simply leave it blank. 
</t>
        </r>
      </text>
    </comment>
    <comment ref="C72" authorId="0" shapeId="0" xr:uid="{00000000-0006-0000-0400-0000C8000000}">
      <text>
        <r>
          <rPr>
            <b/>
            <sz val="10"/>
            <color indexed="81"/>
            <rFont val="Verdana"/>
            <family val="2"/>
          </rPr>
          <t>Data Entry Cell, Insert the name of Other Permanent Financing Fees and Expenses</t>
        </r>
      </text>
    </comment>
    <comment ref="D72" authorId="1" shapeId="0" xr:uid="{00000000-0006-0000-0400-0000C9000000}">
      <text>
        <r>
          <rPr>
            <b/>
            <sz val="10"/>
            <color indexed="81"/>
            <rFont val="Tahoma"/>
            <family val="2"/>
          </rPr>
          <t>Data Entry Cell, Other Permanent Financing Fees and Expenses</t>
        </r>
      </text>
    </comment>
    <comment ref="G72" authorId="1" shapeId="0" xr:uid="{00000000-0006-0000-0400-0000CA000000}">
      <text>
        <r>
          <rPr>
            <b/>
            <sz val="10"/>
            <color indexed="81"/>
            <rFont val="Tahoma"/>
            <family val="2"/>
          </rPr>
          <t>Data Entry Cell, Comment on Other Permanent Financing Fees and Expenses</t>
        </r>
      </text>
    </comment>
    <comment ref="C73" authorId="0" shapeId="0" xr:uid="{00000000-0006-0000-0400-0000CB000000}">
      <text>
        <r>
          <rPr>
            <b/>
            <sz val="10"/>
            <color indexed="81"/>
            <rFont val="Verdana"/>
            <family val="2"/>
          </rPr>
          <t>Data Entry Cell, Insert the name of Other Permanent Financing Fees and Expenses</t>
        </r>
      </text>
    </comment>
    <comment ref="D73" authorId="1" shapeId="0" xr:uid="{00000000-0006-0000-0400-0000CC000000}">
      <text>
        <r>
          <rPr>
            <b/>
            <sz val="10"/>
            <color indexed="81"/>
            <rFont val="Tahoma"/>
            <family val="2"/>
          </rPr>
          <t>Data Entry Cell, Other Permanent Financing Fees and Expenses</t>
        </r>
      </text>
    </comment>
    <comment ref="G73" authorId="1" shapeId="0" xr:uid="{00000000-0006-0000-0400-0000CD000000}">
      <text>
        <r>
          <rPr>
            <b/>
            <sz val="10"/>
            <color indexed="81"/>
            <rFont val="Tahoma"/>
            <family val="2"/>
          </rPr>
          <t>Data Entry Cell, Comment on Other Permanent Financing Fees and Expenses</t>
        </r>
      </text>
    </comment>
    <comment ref="A74" authorId="0" shapeId="0" xr:uid="{00000000-0006-0000-0400-0000CE000000}">
      <text>
        <r>
          <rPr>
            <b/>
            <sz val="8"/>
            <color indexed="81"/>
            <rFont val="Tahoma"/>
            <family val="2"/>
          </rPr>
          <t>Developer's Fee is compensation to the developer for the time and risk involved to develop the project.  It is typically based on the size of the project, the total development cost and the risk associated with the project.
The PJ is required to have subsidy layering policies and procedures that include how to calculate the maximum allowable developer fee.</t>
        </r>
      </text>
    </comment>
    <comment ref="D74" authorId="1" shapeId="0" xr:uid="{00000000-0006-0000-0400-0000CF000000}">
      <text>
        <r>
          <rPr>
            <b/>
            <sz val="10"/>
            <color indexed="81"/>
            <rFont val="Tahoma"/>
            <family val="2"/>
          </rPr>
          <t>Data Entry Cell, Developer's Fee</t>
        </r>
      </text>
    </comment>
    <comment ref="G74" authorId="1" shapeId="0" xr:uid="{00000000-0006-0000-0400-0000D0000000}">
      <text>
        <r>
          <rPr>
            <b/>
            <sz val="10"/>
            <color indexed="81"/>
            <rFont val="Tahoma"/>
            <family val="2"/>
          </rPr>
          <t>Data Entry Cell, Comment on Developer's Fee</t>
        </r>
      </text>
    </comment>
    <comment ref="A75" authorId="0" shapeId="0" xr:uid="{00000000-0006-0000-0400-0000D1000000}">
      <text>
        <r>
          <rPr>
            <b/>
            <sz val="8"/>
            <color indexed="81"/>
            <rFont val="Tahoma"/>
            <family val="2"/>
          </rPr>
          <t xml:space="preserve">Initial project reserves are funds set aside from the permanent financing to cover possible losses or shortfalls in the cash flow.  Before the project is in operation, developers fund the initial reserves.  Once the project is operating, cash from reserves will be withdrawn when needed and replaced on an ongoing basis. </t>
        </r>
      </text>
    </comment>
    <comment ref="M75" authorId="2" shapeId="0" xr:uid="{00000000-0006-0000-0400-0000D2000000}">
      <text>
        <r>
          <rPr>
            <b/>
            <sz val="9"/>
            <color indexed="81"/>
            <rFont val="Tahoma"/>
            <family val="2"/>
          </rPr>
          <t>Initial project reserves are not eligible as LIHTC basis.</t>
        </r>
      </text>
    </comment>
    <comment ref="A76" authorId="0" shapeId="0" xr:uid="{00000000-0006-0000-0400-0000D3000000}">
      <text>
        <r>
          <rPr>
            <b/>
            <sz val="8"/>
            <color indexed="81"/>
            <rFont val="Tahoma"/>
            <family val="2"/>
          </rPr>
          <t xml:space="preserve">Initial Rent-Up Reserves allow the project to maintain a positive cash position even though all of the units are not leased.  Note, however, that this type of initial reserve </t>
        </r>
        <r>
          <rPr>
            <b/>
            <u/>
            <sz val="8"/>
            <color indexed="81"/>
            <rFont val="Tahoma"/>
            <family val="2"/>
          </rPr>
          <t>is not eligible for HOME funding</t>
        </r>
        <r>
          <rPr>
            <b/>
            <sz val="8"/>
            <color indexed="81"/>
            <rFont val="Tahoma"/>
            <family val="2"/>
          </rPr>
          <t>.</t>
        </r>
      </text>
    </comment>
    <comment ref="D76" authorId="1" shapeId="0" xr:uid="{00000000-0006-0000-0400-0000D4000000}">
      <text>
        <r>
          <rPr>
            <b/>
            <sz val="10"/>
            <color indexed="81"/>
            <rFont val="Tahoma"/>
            <family val="2"/>
          </rPr>
          <t>Data Entry Cell, Initial Rent-Up Reserve</t>
        </r>
      </text>
    </comment>
    <comment ref="G76" authorId="1" shapeId="0" xr:uid="{00000000-0006-0000-0400-0000D5000000}">
      <text>
        <r>
          <rPr>
            <b/>
            <sz val="10"/>
            <color indexed="81"/>
            <rFont val="Tahoma"/>
            <family val="2"/>
          </rPr>
          <t>Data Entry Cell, Comment on Initial Rent-Up Reserve</t>
        </r>
      </text>
    </comment>
    <comment ref="A77" authorId="0" shapeId="0" xr:uid="{00000000-0006-0000-0400-0000D6000000}">
      <text>
        <r>
          <rPr>
            <b/>
            <sz val="8"/>
            <color indexed="81"/>
            <rFont val="Tahoma"/>
            <family val="2"/>
          </rPr>
          <t xml:space="preserve">Initial Operating Reserves protect against any shortfalls in income.  For example, funds from the operating reserve would help the project continue to operate through a temporary increase in vacancy.
Initial Operating Reserves are eligible for HOME funding </t>
        </r>
        <r>
          <rPr>
            <b/>
            <u/>
            <sz val="8"/>
            <color indexed="81"/>
            <rFont val="Tahoma"/>
            <family val="2"/>
          </rPr>
          <t>only</t>
        </r>
        <r>
          <rPr>
            <b/>
            <sz val="8"/>
            <color indexed="81"/>
            <rFont val="Tahoma"/>
            <family val="2"/>
          </rPr>
          <t xml:space="preserve"> up to an amount that is reasonably adequate to cover anticipated operating deficits for the first 18 months of operations after completion of construction.
</t>
        </r>
      </text>
    </comment>
    <comment ref="D77" authorId="1" shapeId="0" xr:uid="{00000000-0006-0000-0400-0000D7000000}">
      <text>
        <r>
          <rPr>
            <b/>
            <sz val="10"/>
            <color indexed="81"/>
            <rFont val="Tahoma"/>
            <family val="2"/>
          </rPr>
          <t>Data Entry Cell, HOME-Eligible portion of Initial Operating Reserve</t>
        </r>
      </text>
    </comment>
    <comment ref="G77" authorId="1" shapeId="0" xr:uid="{00000000-0006-0000-0400-0000D8000000}">
      <text>
        <r>
          <rPr>
            <b/>
            <sz val="10"/>
            <color indexed="81"/>
            <rFont val="Tahoma"/>
            <family val="2"/>
          </rPr>
          <t>Data Entry Cell, Comment on HOME-Eligible portion of Initial Operating Reserve</t>
        </r>
      </text>
    </comment>
    <comment ref="A78" authorId="0" shapeId="0" xr:uid="{00000000-0006-0000-0400-0000D9000000}">
      <text>
        <r>
          <rPr>
            <b/>
            <sz val="8"/>
            <color indexed="81"/>
            <rFont val="Tahoma"/>
            <family val="2"/>
          </rPr>
          <t xml:space="preserve">Initial Operating Reserves protect against any shortfalls in income.  For example, funds from the operating reserve would help the project continue to operate through a temporary increase in vacancy.
Initial Operating Reserves are eligible for HOME funding </t>
        </r>
        <r>
          <rPr>
            <b/>
            <u/>
            <sz val="8"/>
            <color indexed="81"/>
            <rFont val="Tahoma"/>
            <family val="2"/>
          </rPr>
          <t>only</t>
        </r>
        <r>
          <rPr>
            <b/>
            <sz val="8"/>
            <color indexed="81"/>
            <rFont val="Tahoma"/>
            <family val="2"/>
          </rPr>
          <t xml:space="preserve"> up to an amount that is reasonably adequate to cover anticipated operating deficits for the first 18 months of operations after completion of construction.
</t>
        </r>
      </text>
    </comment>
    <comment ref="D78" authorId="1" shapeId="0" xr:uid="{00000000-0006-0000-0400-0000DA000000}">
      <text>
        <r>
          <rPr>
            <b/>
            <sz val="10"/>
            <color indexed="81"/>
            <rFont val="Tahoma"/>
            <family val="2"/>
          </rPr>
          <t>Data Entry Cell, non-HOME-Eligible portion of Initial Operating Reserve</t>
        </r>
      </text>
    </comment>
    <comment ref="G78" authorId="1" shapeId="0" xr:uid="{00000000-0006-0000-0400-0000DB000000}">
      <text>
        <r>
          <rPr>
            <b/>
            <sz val="10"/>
            <color indexed="81"/>
            <rFont val="Tahoma"/>
            <family val="2"/>
          </rPr>
          <t>Data Entry Cell, Comment on non-HOME-Eligible portion of Initial Operating Reserve</t>
        </r>
      </text>
    </comment>
    <comment ref="A79" authorId="0" shapeId="0" xr:uid="{00000000-0006-0000-0400-0000DC000000}">
      <text>
        <r>
          <rPr>
            <b/>
            <sz val="8"/>
            <color indexed="81"/>
            <rFont val="Tahoma"/>
            <family val="2"/>
          </rPr>
          <t xml:space="preserve">Initial Debt Service Reserves are required by some Lenders to ensure loan payments are made prior to the subject's occupancy stabilization.
A Debt Service Reserve </t>
        </r>
        <r>
          <rPr>
            <b/>
            <u/>
            <sz val="8"/>
            <color indexed="81"/>
            <rFont val="Tahoma"/>
            <family val="2"/>
          </rPr>
          <t>is not eligible for HOME funding</t>
        </r>
        <r>
          <rPr>
            <b/>
            <sz val="8"/>
            <color indexed="81"/>
            <rFont val="Tahoma"/>
            <family val="2"/>
          </rPr>
          <t>.</t>
        </r>
      </text>
    </comment>
    <comment ref="D79" authorId="1" shapeId="0" xr:uid="{00000000-0006-0000-0400-0000DD000000}">
      <text>
        <r>
          <rPr>
            <b/>
            <sz val="10"/>
            <color indexed="81"/>
            <rFont val="Tahoma"/>
            <family val="2"/>
          </rPr>
          <t>Data Entry Cell, Initial Debt Service Reserve</t>
        </r>
      </text>
    </comment>
    <comment ref="G79" authorId="1" shapeId="0" xr:uid="{00000000-0006-0000-0400-0000DE000000}">
      <text>
        <r>
          <rPr>
            <b/>
            <sz val="10"/>
            <color indexed="81"/>
            <rFont val="Tahoma"/>
            <family val="2"/>
          </rPr>
          <t>Data Entry Cell, Comment on Initial Debt Service Reserve</t>
        </r>
      </text>
    </comment>
    <comment ref="A80" authorId="0" shapeId="0" xr:uid="{00000000-0006-0000-0400-0000DF000000}">
      <text>
        <r>
          <rPr>
            <b/>
            <sz val="8"/>
            <color indexed="81"/>
            <rFont val="Tahoma"/>
            <family val="2"/>
          </rPr>
          <t xml:space="preserve">Initial Replacement Reserves establish a fund for replacement of major building components that will occur over the life of the project.  For example, replacement reserve funds may fund the replacement of a building’s roof or plumbing system.
Initial Replacement Reserves </t>
        </r>
        <r>
          <rPr>
            <b/>
            <u/>
            <sz val="8"/>
            <color indexed="81"/>
            <rFont val="Tahoma"/>
            <family val="2"/>
          </rPr>
          <t>are not eligible for HOME Funding</t>
        </r>
        <r>
          <rPr>
            <b/>
            <sz val="8"/>
            <color indexed="81"/>
            <rFont val="Tahoma"/>
            <family val="2"/>
          </rPr>
          <t xml:space="preserve">.  Note, however, that if a regulatory exception is granted under 24 CFR 92.210 to invest additional HOME funds after the first 12 months, HOME funds may be used (with HUD permission) to </t>
        </r>
        <r>
          <rPr>
            <b/>
            <u/>
            <sz val="8"/>
            <color indexed="81"/>
            <rFont val="Tahoma"/>
            <family val="2"/>
          </rPr>
          <t>recapitalize</t>
        </r>
        <r>
          <rPr>
            <b/>
            <sz val="8"/>
            <color indexed="81"/>
            <rFont val="Tahoma"/>
            <family val="2"/>
          </rPr>
          <t xml:space="preserve"> the Replacement Reserve.</t>
        </r>
      </text>
    </comment>
    <comment ref="D80" authorId="1" shapeId="0" xr:uid="{00000000-0006-0000-0400-0000E0000000}">
      <text>
        <r>
          <rPr>
            <b/>
            <sz val="10"/>
            <color indexed="81"/>
            <rFont val="Tahoma"/>
            <family val="2"/>
          </rPr>
          <t>Data Entry Cell, Initial Replacement Reserve</t>
        </r>
      </text>
    </comment>
    <comment ref="G80" authorId="1" shapeId="0" xr:uid="{00000000-0006-0000-0400-0000E1000000}">
      <text>
        <r>
          <rPr>
            <b/>
            <sz val="10"/>
            <color indexed="81"/>
            <rFont val="Tahoma"/>
            <family val="2"/>
          </rPr>
          <t>Data Entry Cell, Comment on Initial Replacement Reserve</t>
        </r>
      </text>
    </comment>
    <comment ref="A81" authorId="0" shapeId="0" xr:uid="{00000000-0006-0000-0400-0000E2000000}">
      <text>
        <r>
          <rPr>
            <b/>
            <sz val="8"/>
            <color indexed="81"/>
            <rFont val="Tahoma"/>
            <family val="2"/>
          </rPr>
          <t xml:space="preserve">Use the Other Initial Project Reserves Costs field to enter costs related to initial reserves that are not represented by the other items in this category.  Enter a label (replacing the “Other Initial Project Reserves Costs” text) and an amount.  If you do not need to use this field, simply leave it blank.
</t>
        </r>
      </text>
    </comment>
    <comment ref="C81" authorId="0" shapeId="0" xr:uid="{00000000-0006-0000-0400-0000E3000000}">
      <text>
        <r>
          <rPr>
            <b/>
            <sz val="10"/>
            <color indexed="81"/>
            <rFont val="Verdana"/>
            <family val="2"/>
          </rPr>
          <t>Data Entry Cell, Insert the name of Other Initial Project Reserves</t>
        </r>
      </text>
    </comment>
    <comment ref="D81" authorId="1" shapeId="0" xr:uid="{00000000-0006-0000-0400-0000E4000000}">
      <text>
        <r>
          <rPr>
            <b/>
            <sz val="10"/>
            <color indexed="81"/>
            <rFont val="Tahoma"/>
            <family val="2"/>
          </rPr>
          <t>Data Entry Cell, Other Initial Project Reserves Costs</t>
        </r>
      </text>
    </comment>
    <comment ref="G81" authorId="1" shapeId="0" xr:uid="{00000000-0006-0000-0400-0000E5000000}">
      <text>
        <r>
          <rPr>
            <b/>
            <sz val="10"/>
            <color indexed="81"/>
            <rFont val="Tahoma"/>
            <family val="2"/>
          </rPr>
          <t>Data Entry Cell, Comment on Other Initial Project Reserves Costs</t>
        </r>
      </text>
    </comment>
    <comment ref="C82" authorId="0" shapeId="0" xr:uid="{00000000-0006-0000-0400-0000E6000000}">
      <text>
        <r>
          <rPr>
            <b/>
            <sz val="10"/>
            <color indexed="81"/>
            <rFont val="Verdana"/>
            <family val="2"/>
          </rPr>
          <t>Data Entry Cell, Insert the name of Other Initial Project Reserves</t>
        </r>
      </text>
    </comment>
    <comment ref="D82" authorId="1" shapeId="0" xr:uid="{00000000-0006-0000-0400-0000E7000000}">
      <text>
        <r>
          <rPr>
            <b/>
            <sz val="10"/>
            <color indexed="81"/>
            <rFont val="Tahoma"/>
            <family val="2"/>
          </rPr>
          <t>Data Entry Cell, Other Initial Project Reserves Costs</t>
        </r>
      </text>
    </comment>
    <comment ref="G82" authorId="1" shapeId="0" xr:uid="{00000000-0006-0000-0400-0000E8000000}">
      <text>
        <r>
          <rPr>
            <b/>
            <sz val="10"/>
            <color indexed="81"/>
            <rFont val="Tahoma"/>
            <family val="2"/>
          </rPr>
          <t>Data Entry Cell, Comment on Other Initial Project Reserves Costs</t>
        </r>
      </text>
    </comment>
    <comment ref="A83" authorId="0" shapeId="0" xr:uid="{00000000-0006-0000-0400-0000E9000000}">
      <text>
        <r>
          <rPr>
            <b/>
            <sz val="8"/>
            <color indexed="81"/>
            <rFont val="Tahoma"/>
            <family val="2"/>
          </rPr>
          <t>Only short-term project administration and management costs are included in a development budget.  Ongoing project administration and management costs that occur once a project is in operation are included in the Operating Expenses tab of the template.</t>
        </r>
      </text>
    </comment>
    <comment ref="A84" authorId="0" shapeId="0" xr:uid="{00000000-0006-0000-0400-0000EA000000}">
      <text>
        <r>
          <rPr>
            <b/>
            <sz val="8"/>
            <color indexed="81"/>
            <rFont val="Tahoma"/>
            <family val="2"/>
          </rPr>
          <t>• Marketing and Management.  Marketing and management costs are incurred during project construction and should include the costs of advertising the property and staffing.  The development budget must account for these costs because they are incurred before the project begins operations.</t>
        </r>
      </text>
    </comment>
    <comment ref="D84" authorId="1" shapeId="0" xr:uid="{00000000-0006-0000-0400-0000EB000000}">
      <text>
        <r>
          <rPr>
            <b/>
            <sz val="10"/>
            <color indexed="81"/>
            <rFont val="Tahoma"/>
            <family val="2"/>
          </rPr>
          <t>Data Entry Cell, Marketing/
Management Cost</t>
        </r>
      </text>
    </comment>
    <comment ref="G84" authorId="1" shapeId="0" xr:uid="{00000000-0006-0000-0400-0000EC000000}">
      <text>
        <r>
          <rPr>
            <b/>
            <sz val="10"/>
            <color indexed="81"/>
            <rFont val="Tahoma"/>
            <family val="2"/>
          </rPr>
          <t>Data Entry Cell, Comment on Marketing/
Management Cost</t>
        </r>
      </text>
    </comment>
    <comment ref="A85" authorId="0" shapeId="0" xr:uid="{00000000-0006-0000-0400-0000ED000000}">
      <text>
        <r>
          <rPr>
            <b/>
            <sz val="8"/>
            <color indexed="81"/>
            <rFont val="Tahoma"/>
            <family val="2"/>
          </rPr>
          <t>Operating Expenses.  Operating expenses incurred during the construction period should be included here.  These may include utility costs, maintenance, and insurance.</t>
        </r>
      </text>
    </comment>
    <comment ref="D85" authorId="1" shapeId="0" xr:uid="{00000000-0006-0000-0400-0000EE000000}">
      <text>
        <r>
          <rPr>
            <b/>
            <sz val="10"/>
            <color indexed="81"/>
            <rFont val="Tahoma"/>
            <family val="2"/>
          </rPr>
          <t>Data Entry Cell, Operating Expenses</t>
        </r>
      </text>
    </comment>
    <comment ref="G85" authorId="1" shapeId="0" xr:uid="{00000000-0006-0000-0400-0000EF000000}">
      <text>
        <r>
          <rPr>
            <b/>
            <sz val="10"/>
            <color indexed="81"/>
            <rFont val="Tahoma"/>
            <family val="2"/>
          </rPr>
          <t>Data Entry Cell, Comment on Operating Expenses</t>
        </r>
      </text>
    </comment>
    <comment ref="A86" authorId="0" shapeId="0" xr:uid="{00000000-0006-0000-0400-0000F0000000}">
      <text>
        <r>
          <rPr>
            <b/>
            <sz val="8"/>
            <color indexed="81"/>
            <rFont val="Tahoma"/>
            <family val="2"/>
          </rPr>
          <t>For example, office furniture and computer for the management office. Some furniture, fixtures and equipment are includable in eligible basis, provided they are depreciable.</t>
        </r>
      </text>
    </comment>
    <comment ref="D86" authorId="1" shapeId="0" xr:uid="{00000000-0006-0000-0400-0000F1000000}">
      <text>
        <r>
          <rPr>
            <b/>
            <sz val="10"/>
            <color indexed="81"/>
            <rFont val="Tahoma"/>
            <family val="2"/>
          </rPr>
          <t>Data Entry Cell, Funiture, Fixtures &amp; Equipment Costs</t>
        </r>
      </text>
    </comment>
    <comment ref="G86" authorId="1" shapeId="0" xr:uid="{00000000-0006-0000-0400-0000F2000000}">
      <text>
        <r>
          <rPr>
            <b/>
            <sz val="10"/>
            <color indexed="81"/>
            <rFont val="Tahoma"/>
            <family val="2"/>
          </rPr>
          <t>Data Entry Cell, Comment on Funiture, Fixtures &amp; Equipment Costs</t>
        </r>
      </text>
    </comment>
    <comment ref="M86" authorId="2" shapeId="0" xr:uid="{00000000-0006-0000-0400-0000F3000000}">
      <text>
        <r>
          <rPr>
            <b/>
            <sz val="9"/>
            <color indexed="81"/>
            <rFont val="Tahoma"/>
            <family val="2"/>
          </rPr>
          <t xml:space="preserve">Some furniture, fixtures and equipment may be included in eligible basis, provided they are depreciable. </t>
        </r>
      </text>
    </comment>
    <comment ref="A87" authorId="0" shapeId="0" xr:uid="{00000000-0006-0000-0400-0000F4000000}">
      <text>
        <r>
          <rPr>
            <b/>
            <sz val="8"/>
            <color indexed="81"/>
            <rFont val="Tahoma"/>
            <family val="2"/>
          </rPr>
          <t xml:space="preserve">Tenant Relocation.  If Federal funds are used for housing activities that displace existing tenants, the tenants must be moved prior to rehabilitation or construction and their relocation costs must be paid.  (See HUD Handbook 1378 and HUD’s Just in Time Assistance online training for information on relocation requirements.)
</t>
        </r>
      </text>
    </comment>
    <comment ref="D87" authorId="1" shapeId="0" xr:uid="{00000000-0006-0000-0400-0000F5000000}">
      <text>
        <r>
          <rPr>
            <b/>
            <sz val="10"/>
            <color indexed="81"/>
            <rFont val="Tahoma"/>
            <family val="2"/>
          </rPr>
          <t>Data Entry Cell, Tenant Relocation Costs</t>
        </r>
      </text>
    </comment>
    <comment ref="G87" authorId="1" shapeId="0" xr:uid="{00000000-0006-0000-0400-0000F6000000}">
      <text>
        <r>
          <rPr>
            <b/>
            <sz val="10"/>
            <color indexed="81"/>
            <rFont val="Tahoma"/>
            <family val="2"/>
          </rPr>
          <t>Data Entry Cell, Comment on Tenant Relocation Costs</t>
        </r>
      </text>
    </comment>
    <comment ref="A88" authorId="0" shapeId="0" xr:uid="{00000000-0006-0000-0400-0000F7000000}">
      <text>
        <r>
          <rPr>
            <b/>
            <sz val="8"/>
            <color indexed="81"/>
            <rFont val="Tahoma"/>
            <family val="2"/>
          </rPr>
          <t>Use the Other Project Administration and Management Costs field to enter costs related to project administration and management that are not represented by the other items in this category.  Enter a label (replacing the “Other Project Administration and Management Costs” text) and an amount.  If you do not need to use this field, simply leave it blank.</t>
        </r>
      </text>
    </comment>
    <comment ref="C88" authorId="0" shapeId="0" xr:uid="{00000000-0006-0000-0400-0000F8000000}">
      <text>
        <r>
          <rPr>
            <b/>
            <sz val="10"/>
            <color indexed="81"/>
            <rFont val="Verdana"/>
            <family val="2"/>
          </rPr>
          <t>Data Entry Cell, Insert the name of Other Project Administration and Management Costs</t>
        </r>
      </text>
    </comment>
    <comment ref="D88" authorId="1" shapeId="0" xr:uid="{00000000-0006-0000-0400-0000F9000000}">
      <text>
        <r>
          <rPr>
            <b/>
            <sz val="10"/>
            <color indexed="81"/>
            <rFont val="Tahoma"/>
            <family val="2"/>
          </rPr>
          <t>Data Entry Cell, Other Project Administration &amp; Management Costs</t>
        </r>
      </text>
    </comment>
    <comment ref="G88" authorId="1" shapeId="0" xr:uid="{00000000-0006-0000-0400-0000FA000000}">
      <text>
        <r>
          <rPr>
            <b/>
            <sz val="10"/>
            <color indexed="81"/>
            <rFont val="Tahoma"/>
            <family val="2"/>
          </rPr>
          <t>Data Entry Cell, Comment on Other Project Administration &amp; Management Costs</t>
        </r>
      </text>
    </comment>
    <comment ref="C89" authorId="0" shapeId="0" xr:uid="{00000000-0006-0000-0400-0000FB000000}">
      <text>
        <r>
          <rPr>
            <b/>
            <sz val="10"/>
            <color indexed="81"/>
            <rFont val="Verdana"/>
            <family val="2"/>
          </rPr>
          <t>Data Entry Cell, Insert the name of Other Project Administration and Management Costs</t>
        </r>
      </text>
    </comment>
    <comment ref="D89" authorId="1" shapeId="0" xr:uid="{00000000-0006-0000-0400-0000FC000000}">
      <text>
        <r>
          <rPr>
            <b/>
            <sz val="10"/>
            <color indexed="81"/>
            <rFont val="Tahoma"/>
            <family val="2"/>
          </rPr>
          <t>Data Entry Cell, Other Project Administration &amp; Management Costs</t>
        </r>
      </text>
    </comment>
    <comment ref="G89" authorId="1" shapeId="0" xr:uid="{00000000-0006-0000-0400-0000FD000000}">
      <text>
        <r>
          <rPr>
            <b/>
            <sz val="10"/>
            <color indexed="81"/>
            <rFont val="Tahoma"/>
            <family val="2"/>
          </rPr>
          <t>Data Entry Cell, Comment on Other Project Administration &amp; Management Costs</t>
        </r>
      </text>
    </comment>
    <comment ref="A90" authorId="0" shapeId="0" xr:uid="{00000000-0006-0000-0400-0000FE000000}">
      <text>
        <r>
          <rPr>
            <b/>
            <sz val="8"/>
            <color indexed="81"/>
            <rFont val="Tahoma"/>
            <family val="2"/>
          </rPr>
          <t>Other Development Costs.  Every project is unique and some may include development costs not listed on the Development Costs tab of the Template.  To accommodate atypical development costs, the Template provides six Other Development Cost fields.  
For each cost, enter a label (replacing the “Other Development Cost” text) and an amount.  Leave blank any other development cost fields that you do not need.</t>
        </r>
      </text>
    </comment>
    <comment ref="C91" authorId="1" shapeId="0" xr:uid="{00000000-0006-0000-0400-0000FF000000}">
      <text>
        <r>
          <rPr>
            <b/>
            <sz val="10"/>
            <color indexed="81"/>
            <rFont val="Tahoma"/>
            <family val="2"/>
          </rPr>
          <t>Data Entry Cell, Insert the name of Other Development Cost 1.</t>
        </r>
      </text>
    </comment>
    <comment ref="D91" authorId="1" shapeId="0" xr:uid="{00000000-0006-0000-0400-000000010000}">
      <text>
        <r>
          <rPr>
            <b/>
            <sz val="10"/>
            <color indexed="81"/>
            <rFont val="Tahoma"/>
            <family val="2"/>
          </rPr>
          <t>Data Entry Cell, Other Development Cost 1</t>
        </r>
      </text>
    </comment>
    <comment ref="G91" authorId="1" shapeId="0" xr:uid="{00000000-0006-0000-0400-000001010000}">
      <text>
        <r>
          <rPr>
            <b/>
            <sz val="10"/>
            <color indexed="81"/>
            <rFont val="Tahoma"/>
            <family val="2"/>
          </rPr>
          <t>Data Entry Cell, Comment on Other Development Cost 1</t>
        </r>
      </text>
    </comment>
    <comment ref="C92" authorId="1" shapeId="0" xr:uid="{00000000-0006-0000-0400-000002010000}">
      <text>
        <r>
          <rPr>
            <b/>
            <sz val="10"/>
            <color indexed="81"/>
            <rFont val="Tahoma"/>
            <family val="2"/>
          </rPr>
          <t>Data Entry Cell, Insert the name of Other Development Cost 2.</t>
        </r>
      </text>
    </comment>
    <comment ref="D92" authorId="1" shapeId="0" xr:uid="{00000000-0006-0000-0400-000003010000}">
      <text>
        <r>
          <rPr>
            <b/>
            <sz val="10"/>
            <color indexed="81"/>
            <rFont val="Tahoma"/>
            <family val="2"/>
          </rPr>
          <t>Data Entry Cell, Other Development Cost 2</t>
        </r>
      </text>
    </comment>
    <comment ref="G92" authorId="1" shapeId="0" xr:uid="{00000000-0006-0000-0400-000004010000}">
      <text>
        <r>
          <rPr>
            <b/>
            <sz val="10"/>
            <color indexed="81"/>
            <rFont val="Tahoma"/>
            <family val="2"/>
          </rPr>
          <t>Data Entry Cell, Comment on Other Development Cost 2</t>
        </r>
      </text>
    </comment>
    <comment ref="C93" authorId="1" shapeId="0" xr:uid="{00000000-0006-0000-0400-000005010000}">
      <text>
        <r>
          <rPr>
            <b/>
            <sz val="10"/>
            <color indexed="81"/>
            <rFont val="Tahoma"/>
            <family val="2"/>
          </rPr>
          <t>Data Entry Cell, Insert the name of Other Development Cost 3.</t>
        </r>
      </text>
    </comment>
    <comment ref="D93" authorId="1" shapeId="0" xr:uid="{00000000-0006-0000-0400-000006010000}">
      <text>
        <r>
          <rPr>
            <b/>
            <sz val="10"/>
            <color indexed="81"/>
            <rFont val="Tahoma"/>
            <family val="2"/>
          </rPr>
          <t>Data Entry Cell, Other Development Cost 3</t>
        </r>
      </text>
    </comment>
    <comment ref="G93" authorId="1" shapeId="0" xr:uid="{00000000-0006-0000-0400-000007010000}">
      <text>
        <r>
          <rPr>
            <b/>
            <sz val="10"/>
            <color indexed="81"/>
            <rFont val="Tahoma"/>
            <family val="2"/>
          </rPr>
          <t>Data Entry Cell, Comment on Other Development Cost 3</t>
        </r>
      </text>
    </comment>
    <comment ref="C94" authorId="1" shapeId="0" xr:uid="{00000000-0006-0000-0400-000008010000}">
      <text>
        <r>
          <rPr>
            <b/>
            <sz val="10"/>
            <color indexed="81"/>
            <rFont val="Tahoma"/>
            <family val="2"/>
          </rPr>
          <t>Data Entry Cell, Insert the name of Other Development Cost 4.</t>
        </r>
      </text>
    </comment>
    <comment ref="D94" authorId="1" shapeId="0" xr:uid="{00000000-0006-0000-0400-000009010000}">
      <text>
        <r>
          <rPr>
            <b/>
            <sz val="10"/>
            <color indexed="81"/>
            <rFont val="Tahoma"/>
            <family val="2"/>
          </rPr>
          <t>Data Entry Cell, Other Development Cost 4</t>
        </r>
      </text>
    </comment>
    <comment ref="G94" authorId="1" shapeId="0" xr:uid="{00000000-0006-0000-0400-00000A010000}">
      <text>
        <r>
          <rPr>
            <b/>
            <sz val="10"/>
            <color indexed="81"/>
            <rFont val="Tahoma"/>
            <family val="2"/>
          </rPr>
          <t>Data Entry Cell, Comment on Other Development Cost 4</t>
        </r>
      </text>
    </comment>
    <comment ref="C95" authorId="1" shapeId="0" xr:uid="{00000000-0006-0000-0400-00000B010000}">
      <text>
        <r>
          <rPr>
            <b/>
            <sz val="10"/>
            <color indexed="81"/>
            <rFont val="Tahoma"/>
            <family val="2"/>
          </rPr>
          <t>Data Entry Cell, Insert the name of Other Development Cost 5.</t>
        </r>
      </text>
    </comment>
    <comment ref="D95" authorId="1" shapeId="0" xr:uid="{00000000-0006-0000-0400-00000C010000}">
      <text>
        <r>
          <rPr>
            <b/>
            <sz val="10"/>
            <color indexed="81"/>
            <rFont val="Tahoma"/>
            <family val="2"/>
          </rPr>
          <t>Data Entry Cell, Other Development Cost 5</t>
        </r>
      </text>
    </comment>
    <comment ref="G95" authorId="1" shapeId="0" xr:uid="{00000000-0006-0000-0400-00000D010000}">
      <text>
        <r>
          <rPr>
            <b/>
            <sz val="10"/>
            <color indexed="81"/>
            <rFont val="Tahoma"/>
            <family val="2"/>
          </rPr>
          <t>Data Entry Cell, Comment on Other Development Cost 5</t>
        </r>
      </text>
    </comment>
    <comment ref="C96" authorId="1" shapeId="0" xr:uid="{00000000-0006-0000-0400-00000E010000}">
      <text>
        <r>
          <rPr>
            <b/>
            <sz val="10"/>
            <color indexed="81"/>
            <rFont val="Tahoma"/>
            <family val="2"/>
          </rPr>
          <t>Data Entry Cell, Insert the name of Other Development Cost 6.</t>
        </r>
      </text>
    </comment>
    <comment ref="D96" authorId="1" shapeId="0" xr:uid="{00000000-0006-0000-0400-00000F010000}">
      <text>
        <r>
          <rPr>
            <b/>
            <sz val="10"/>
            <color indexed="81"/>
            <rFont val="Tahoma"/>
            <family val="2"/>
          </rPr>
          <t>Data Entry Cell, Other Development Cost 6</t>
        </r>
      </text>
    </comment>
    <comment ref="G96" authorId="1" shapeId="0" xr:uid="{00000000-0006-0000-0400-000010010000}">
      <text>
        <r>
          <rPr>
            <b/>
            <sz val="10"/>
            <color indexed="81"/>
            <rFont val="Tahoma"/>
            <family val="2"/>
          </rPr>
          <t>Data Entry Cell, Comment on Other Development Cost 6</t>
        </r>
      </text>
    </comment>
    <comment ref="A101" authorId="0" shapeId="0" xr:uid="{00000000-0006-0000-0400-000011010000}">
      <text>
        <r>
          <rPr>
            <b/>
            <sz val="8"/>
            <color indexed="81"/>
            <rFont val="Tahoma"/>
            <family val="2"/>
          </rPr>
          <t xml:space="preserve">Enter the maximum amount that is expected to be drawn against the construction loan.  This could be less (or more) than the maximum amount of the permanent loan. </t>
        </r>
      </text>
    </comment>
    <comment ref="D101" authorId="1" shapeId="0" xr:uid="{00000000-0006-0000-0400-000012010000}">
      <text>
        <r>
          <rPr>
            <b/>
            <sz val="10"/>
            <color indexed="81"/>
            <rFont val="Tahoma"/>
            <family val="2"/>
          </rPr>
          <t>Data Entry Cell, Construction Loan Amount</t>
        </r>
      </text>
    </comment>
    <comment ref="G101" authorId="1" shapeId="0" xr:uid="{00000000-0006-0000-0400-000013010000}">
      <text>
        <r>
          <rPr>
            <b/>
            <sz val="10"/>
            <color indexed="81"/>
            <rFont val="Tahoma"/>
            <family val="2"/>
          </rPr>
          <t>Data Entry Cell, Comment on Construction Loan Amount</t>
        </r>
      </text>
    </comment>
    <comment ref="D102" authorId="1" shapeId="0" xr:uid="{00000000-0006-0000-0400-000014010000}">
      <text>
        <r>
          <rPr>
            <b/>
            <sz val="10"/>
            <color indexed="81"/>
            <rFont val="Tahoma"/>
            <family val="2"/>
          </rPr>
          <t>Data Entry Cell, Interest Rate</t>
        </r>
      </text>
    </comment>
    <comment ref="G102" authorId="1" shapeId="0" xr:uid="{00000000-0006-0000-0400-000015010000}">
      <text>
        <r>
          <rPr>
            <b/>
            <sz val="10"/>
            <color indexed="81"/>
            <rFont val="Tahoma"/>
            <family val="2"/>
          </rPr>
          <t>Data Entry Cell, Comment on Interest Rate</t>
        </r>
      </text>
    </comment>
    <comment ref="A103" authorId="0" shapeId="0" xr:uid="{00000000-0006-0000-0400-000016010000}">
      <text>
        <r>
          <rPr>
            <b/>
            <sz val="8"/>
            <color indexed="81"/>
            <rFont val="Tahoma"/>
            <family val="2"/>
          </rPr>
          <t xml:space="preserve">Enter the expected amount of the first draw.  Usually the first draw is funded at the initial closing and includes acquisition costs plus initial closing costs. 
</t>
        </r>
      </text>
    </comment>
    <comment ref="D103" authorId="1" shapeId="0" xr:uid="{00000000-0006-0000-0400-000017010000}">
      <text>
        <r>
          <rPr>
            <b/>
            <sz val="10"/>
            <color indexed="81"/>
            <rFont val="Tahoma"/>
            <family val="2"/>
          </rPr>
          <t>Data Entry Cell, Estimated First Draw Amount</t>
        </r>
      </text>
    </comment>
    <comment ref="G103" authorId="1" shapeId="0" xr:uid="{00000000-0006-0000-0400-000018010000}">
      <text>
        <r>
          <rPr>
            <b/>
            <sz val="10"/>
            <color indexed="81"/>
            <rFont val="Tahoma"/>
            <family val="2"/>
          </rPr>
          <t>Data Entry Cell, Comment on Estimated First Draw Amount</t>
        </r>
      </text>
    </comment>
    <comment ref="A104" authorId="0" shapeId="0" xr:uid="{00000000-0006-0000-0400-000019010000}">
      <text>
        <r>
          <rPr>
            <b/>
            <sz val="8"/>
            <color indexed="81"/>
            <rFont val="Tahoma"/>
            <family val="2"/>
          </rPr>
          <t xml:space="preserve">Enter the anticipated number of months from initial closing / first draw to 100% completion.  
</t>
        </r>
      </text>
    </comment>
    <comment ref="D104" authorId="1" shapeId="0" xr:uid="{00000000-0006-0000-0400-00001A010000}">
      <text>
        <r>
          <rPr>
            <b/>
            <sz val="10"/>
            <color indexed="81"/>
            <rFont val="Tahoma"/>
            <family val="2"/>
          </rPr>
          <t>Data Entry Cell, Months of Construction</t>
        </r>
      </text>
    </comment>
    <comment ref="G104" authorId="1" shapeId="0" xr:uid="{00000000-0006-0000-0400-00001B010000}">
      <text>
        <r>
          <rPr>
            <b/>
            <sz val="10"/>
            <color indexed="81"/>
            <rFont val="Tahoma"/>
            <family val="2"/>
          </rPr>
          <t>Data Entry Cell, Comment on Months of Construction</t>
        </r>
      </text>
    </comment>
    <comment ref="A105" authorId="0" shapeId="0" xr:uid="{00000000-0006-0000-0400-00001C010000}">
      <text>
        <r>
          <rPr>
            <b/>
            <sz val="8"/>
            <color indexed="81"/>
            <rFont val="Tahoma"/>
            <family val="2"/>
          </rPr>
          <t xml:space="preserve">If the construction loan will be repaid at 100% completion, enter zero.
Otherwise, enter the anticipated number of months during which the construction loan will remain outstanding, after 100% completion, until the construction loan is repaid.
</t>
        </r>
      </text>
    </comment>
    <comment ref="D105" authorId="1" shapeId="0" xr:uid="{00000000-0006-0000-0400-00001D010000}">
      <text>
        <r>
          <rPr>
            <b/>
            <sz val="10"/>
            <color indexed="81"/>
            <rFont val="Tahoma"/>
            <family val="2"/>
          </rPr>
          <t>Data Entry Cell, Months of Construction Loan Outstanding After Completion</t>
        </r>
      </text>
    </comment>
    <comment ref="G105" authorId="1" shapeId="0" xr:uid="{00000000-0006-0000-0400-00001E010000}">
      <text>
        <r>
          <rPr>
            <b/>
            <sz val="10"/>
            <color indexed="81"/>
            <rFont val="Tahoma"/>
            <family val="2"/>
          </rPr>
          <t>Data Entry Cell, Comment on Months of Construction Loan Outstanding After Completion</t>
        </r>
      </text>
    </comment>
    <comment ref="A106" authorId="0" shapeId="0" xr:uid="{00000000-0006-0000-0400-00001F010000}">
      <text>
        <r>
          <rPr>
            <b/>
            <sz val="8"/>
            <color indexed="81"/>
            <rFont val="Tahoma"/>
            <family val="2"/>
          </rPr>
          <t xml:space="preserve">The Template uses this to calculate how much of the construction loan amount (after deducting the first draw) will be outstanding, on average, during the construction period.  If you expect that the balance of the construction loan will be drawn evenly over the construction period, enter 50%.  If you expect that the early draws will be particularly large, enter a larger percentage such as 55%, 60%, etc. 
</t>
        </r>
      </text>
    </comment>
    <comment ref="D106" authorId="1" shapeId="0" xr:uid="{00000000-0006-0000-0400-000020010000}">
      <text>
        <r>
          <rPr>
            <b/>
            <sz val="10"/>
            <color indexed="81"/>
            <rFont val="Tahoma"/>
            <family val="2"/>
          </rPr>
          <t>Data Entry Cell, Average Outstanding Balance</t>
        </r>
      </text>
    </comment>
    <comment ref="G106" authorId="1" shapeId="0" xr:uid="{00000000-0006-0000-0400-000021010000}">
      <text>
        <r>
          <rPr>
            <b/>
            <sz val="10"/>
            <color indexed="81"/>
            <rFont val="Tahoma"/>
            <family val="2"/>
          </rPr>
          <t>Data Entry Cell, Comment on Average Outstanding Balance</t>
        </r>
      </text>
    </comment>
    <comment ref="A124" authorId="0" shapeId="0" xr:uid="{00000000-0006-0000-0400-000022010000}">
      <text>
        <r>
          <rPr>
            <b/>
            <sz val="8"/>
            <color indexed="81"/>
            <rFont val="Tahoma"/>
            <family val="2"/>
          </rPr>
          <t xml:space="preserve">Use this section to enter any development costs that are not HOME-eligible.  For example, the cost to purchase a bulldozer is not eligible (but the cost to rent a bulldozer would be eligible, during the part of the construction period in which a bulldozer is reasonably necessary).  
</t>
        </r>
      </text>
    </comment>
    <comment ref="E125" authorId="1" shapeId="0" xr:uid="{00000000-0006-0000-0400-000023010000}">
      <text>
        <r>
          <rPr>
            <b/>
            <sz val="10"/>
            <color indexed="81"/>
            <rFont val="Tahoma"/>
            <family val="2"/>
          </rPr>
          <t>Data Entry Cell, Comment on Construction Equipment that is not HOME - Eligible</t>
        </r>
      </text>
    </comment>
    <comment ref="E126" authorId="1" shapeId="0" xr:uid="{00000000-0006-0000-0400-000024010000}">
      <text>
        <r>
          <rPr>
            <b/>
            <sz val="10"/>
            <color indexed="81"/>
            <rFont val="Tahoma"/>
            <family val="2"/>
          </rPr>
          <t>Data Entry Cell, Comment on Off Site Cost that is not HOME - Eligible</t>
        </r>
      </text>
    </comment>
    <comment ref="E127" authorId="1" shapeId="0" xr:uid="{00000000-0006-0000-0400-000025010000}">
      <text>
        <r>
          <rPr>
            <b/>
            <sz val="10"/>
            <color indexed="81"/>
            <rFont val="Tahoma"/>
            <family val="2"/>
          </rPr>
          <t>Data Entry Cell, Comment on Initial Rent-Up Reserve that is not HOME - Eligible</t>
        </r>
      </text>
    </comment>
    <comment ref="E128" authorId="1" shapeId="0" xr:uid="{00000000-0006-0000-0400-000026010000}">
      <text>
        <r>
          <rPr>
            <b/>
            <sz val="10"/>
            <color indexed="81"/>
            <rFont val="Tahoma"/>
            <family val="2"/>
          </rPr>
          <t>Data Entry Cell, Comment on the non-HOME-Eligible portion of Initial Operating Reserve</t>
        </r>
      </text>
    </comment>
    <comment ref="E129" authorId="1" shapeId="0" xr:uid="{00000000-0006-0000-0400-000027010000}">
      <text>
        <r>
          <rPr>
            <b/>
            <sz val="10"/>
            <color indexed="81"/>
            <rFont val="Tahoma"/>
            <family val="2"/>
          </rPr>
          <t>Data Entry Cell, Comment on the HOME-Eligible portion of Initial Operating Reserve</t>
        </r>
      </text>
    </comment>
    <comment ref="E130" authorId="1" shapeId="0" xr:uid="{00000000-0006-0000-0400-000028010000}">
      <text>
        <r>
          <rPr>
            <b/>
            <sz val="10"/>
            <color indexed="81"/>
            <rFont val="Tahoma"/>
            <family val="2"/>
          </rPr>
          <t>Data Entry Cell, Comment on Initial Replacement Reserve that is not HOME - Eligible</t>
        </r>
      </text>
    </comment>
    <comment ref="C131" authorId="1" shapeId="0" xr:uid="{00000000-0006-0000-0400-000029010000}">
      <text>
        <r>
          <rPr>
            <b/>
            <sz val="10"/>
            <color indexed="81"/>
            <rFont val="Tahoma"/>
            <family val="2"/>
          </rPr>
          <t>Data Entry Cell, Insert the name of a Cost that is not HOME - Eligible #1</t>
        </r>
      </text>
    </comment>
    <comment ref="D131" authorId="1" shapeId="0" xr:uid="{00000000-0006-0000-0400-00002A010000}">
      <text>
        <r>
          <rPr>
            <b/>
            <sz val="10"/>
            <color indexed="81"/>
            <rFont val="Tahoma"/>
            <family val="2"/>
          </rPr>
          <t>Data Entry Cell, HOME - Ineligible Cost #1</t>
        </r>
      </text>
    </comment>
    <comment ref="E131" authorId="1" shapeId="0" xr:uid="{00000000-0006-0000-0400-00002B010000}">
      <text>
        <r>
          <rPr>
            <b/>
            <sz val="10"/>
            <color indexed="81"/>
            <rFont val="Tahoma"/>
            <family val="2"/>
          </rPr>
          <t>Data Entry Cell, Comment on Cost that is not HOME - Eligible #1</t>
        </r>
      </text>
    </comment>
    <comment ref="C132" authorId="1" shapeId="0" xr:uid="{00000000-0006-0000-0400-00002C010000}">
      <text>
        <r>
          <rPr>
            <b/>
            <sz val="10"/>
            <color indexed="81"/>
            <rFont val="Tahoma"/>
            <family val="2"/>
          </rPr>
          <t>Data Entry Cell, Insert the name of a Cost that is not HOME - Eligible #2</t>
        </r>
      </text>
    </comment>
    <comment ref="D132" authorId="1" shapeId="0" xr:uid="{00000000-0006-0000-0400-00002D010000}">
      <text>
        <r>
          <rPr>
            <b/>
            <sz val="10"/>
            <color indexed="81"/>
            <rFont val="Tahoma"/>
            <family val="2"/>
          </rPr>
          <t>Data Entry Cell, HOME - Ineligible Cost #2</t>
        </r>
      </text>
    </comment>
    <comment ref="E132" authorId="1" shapeId="0" xr:uid="{00000000-0006-0000-0400-00002E010000}">
      <text>
        <r>
          <rPr>
            <b/>
            <sz val="10"/>
            <color indexed="81"/>
            <rFont val="Tahoma"/>
            <family val="2"/>
          </rPr>
          <t>Data Entry Cell, Comment on Cost that is not HOME - Eligible #2</t>
        </r>
      </text>
    </comment>
    <comment ref="C133" authorId="1" shapeId="0" xr:uid="{00000000-0006-0000-0400-00002F010000}">
      <text>
        <r>
          <rPr>
            <b/>
            <sz val="10"/>
            <color indexed="81"/>
            <rFont val="Tahoma"/>
            <family val="2"/>
          </rPr>
          <t>Data Entry Cell, Insert the name of a Cost that is not HOME - Eligible #3</t>
        </r>
      </text>
    </comment>
    <comment ref="D133" authorId="1" shapeId="0" xr:uid="{00000000-0006-0000-0400-000030010000}">
      <text>
        <r>
          <rPr>
            <b/>
            <sz val="10"/>
            <color indexed="81"/>
            <rFont val="Tahoma"/>
            <family val="2"/>
          </rPr>
          <t>Data Entry Cell, HOME - Ineligible Cost #3</t>
        </r>
      </text>
    </comment>
    <comment ref="E133" authorId="1" shapeId="0" xr:uid="{00000000-0006-0000-0400-000031010000}">
      <text>
        <r>
          <rPr>
            <b/>
            <sz val="10"/>
            <color indexed="81"/>
            <rFont val="Tahoma"/>
            <family val="2"/>
          </rPr>
          <t>Data Entry Cell, Comment on Cost that is not HOME - Eligible #3</t>
        </r>
      </text>
    </comment>
    <comment ref="C134" authorId="1" shapeId="0" xr:uid="{00000000-0006-0000-0400-000032010000}">
      <text>
        <r>
          <rPr>
            <b/>
            <sz val="10"/>
            <color indexed="81"/>
            <rFont val="Tahoma"/>
            <family val="2"/>
          </rPr>
          <t>Data Entry Cell, Insert the name of a Cost that is not HOME - Eligible #4</t>
        </r>
      </text>
    </comment>
    <comment ref="D134" authorId="1" shapeId="0" xr:uid="{00000000-0006-0000-0400-000033010000}">
      <text>
        <r>
          <rPr>
            <b/>
            <sz val="10"/>
            <color indexed="81"/>
            <rFont val="Tahoma"/>
            <family val="2"/>
          </rPr>
          <t>Data Entry Cell, HOME - Ineligible Cost #4</t>
        </r>
      </text>
    </comment>
    <comment ref="E134" authorId="1" shapeId="0" xr:uid="{00000000-0006-0000-0400-000034010000}">
      <text>
        <r>
          <rPr>
            <b/>
            <sz val="10"/>
            <color indexed="81"/>
            <rFont val="Tahoma"/>
            <family val="2"/>
          </rPr>
          <t>Data Entry Cell, Comment on Cost that is not HOME - Eligible #4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s>
  <commentList>
    <comment ref="E8" authorId="0" shapeId="0" xr:uid="{00000000-0006-0000-0500-000001000000}">
      <text>
        <r>
          <rPr>
            <b/>
            <sz val="8"/>
            <color indexed="81"/>
            <rFont val="Tahoma"/>
            <family val="2"/>
          </rPr>
          <t xml:space="preserve">Common 'Units of Measure' would be: each, square foot (sqft), square yard, per unit, and lineal foot (lft).
</t>
        </r>
      </text>
    </comment>
    <comment ref="F8" authorId="0" shapeId="0" xr:uid="{00000000-0006-0000-0500-000002000000}">
      <text>
        <r>
          <rPr>
            <b/>
            <sz val="8"/>
            <color indexed="81"/>
            <rFont val="Tahoma"/>
            <family val="2"/>
          </rPr>
          <t xml:space="preserve">This is the cost to replace a quantity of </t>
        </r>
        <r>
          <rPr>
            <b/>
            <u/>
            <sz val="8"/>
            <color indexed="81"/>
            <rFont val="Tahoma"/>
            <family val="2"/>
          </rPr>
          <t>one</t>
        </r>
        <r>
          <rPr>
            <b/>
            <sz val="8"/>
            <color indexed="81"/>
            <rFont val="Tahoma"/>
            <family val="2"/>
          </rPr>
          <t xml:space="preserve"> of this unit of measure.  For example, if  this is a refrigerator, and the unit of measure is "each", this is the cost to replace one refrigerator.
The cost is in today's dollars.
</t>
        </r>
      </text>
    </comment>
    <comment ref="G8" authorId="0" shapeId="0" xr:uid="{00000000-0006-0000-0500-000003000000}">
      <text>
        <r>
          <rPr>
            <b/>
            <sz val="8"/>
            <color indexed="81"/>
            <rFont val="Tahoma"/>
            <family val="2"/>
          </rPr>
          <t xml:space="preserve">This is the Remaining Useful Life in years: the number of years, from completion of construction / rehab to the first replacement of this building system.
For example, if this is a 20 year roof that will be 8 years old at the time of rehab, the RUL would be 12 years.
</t>
        </r>
      </text>
    </comment>
    <comment ref="H8" authorId="0" shapeId="0" xr:uid="{00000000-0006-0000-0500-000004000000}">
      <text>
        <r>
          <rPr>
            <b/>
            <sz val="8"/>
            <color indexed="81"/>
            <rFont val="Tahoma"/>
            <family val="2"/>
          </rPr>
          <t xml:space="preserve">This is the Estimated Useful Life in years: the number of years, from time of replacement to the next replacement of this building system.
For example, if this is a 20 year roof, the EUL would be 20 years.
</t>
        </r>
      </text>
    </comment>
    <comment ref="M8" authorId="0" shapeId="0" xr:uid="{00000000-0006-0000-0500-000005000000}">
      <text>
        <r>
          <rPr>
            <b/>
            <sz val="8"/>
            <color indexed="81"/>
            <rFont val="Tahoma"/>
            <family val="2"/>
          </rPr>
          <t>This column determines whether there is a scheduled replacement during the HOME period of affordability.</t>
        </r>
      </text>
    </comment>
    <comment ref="N8" authorId="0" shapeId="0" xr:uid="{00000000-0006-0000-0500-000006000000}">
      <text>
        <r>
          <rPr>
            <b/>
            <sz val="8"/>
            <color indexed="81"/>
            <rFont val="Tahoma"/>
            <family val="2"/>
          </rPr>
          <t>This column determines the annual accrual rate, for building systems needing replacement during the HOME period of affordability.</t>
        </r>
      </text>
    </comment>
    <comment ref="O8" authorId="0" shapeId="0" xr:uid="{00000000-0006-0000-0500-000007000000}">
      <text>
        <r>
          <rPr>
            <b/>
            <sz val="8"/>
            <color indexed="81"/>
            <rFont val="Tahoma"/>
            <family val="2"/>
          </rPr>
          <t xml:space="preserve">This column determines the annual accrual rate, for </t>
        </r>
        <r>
          <rPr>
            <b/>
            <u/>
            <sz val="8"/>
            <color indexed="81"/>
            <rFont val="Tahoma"/>
            <family val="2"/>
          </rPr>
          <t>all</t>
        </r>
        <r>
          <rPr>
            <b/>
            <sz val="8"/>
            <color indexed="81"/>
            <rFont val="Tahoma"/>
            <family val="2"/>
          </rPr>
          <t xml:space="preserve"> building systems (including those that will only need replacement after the HOME period of affordability has ended).</t>
        </r>
      </text>
    </comment>
    <comment ref="D11" authorId="1" shapeId="0" xr:uid="{00000000-0006-0000-0500-000008000000}">
      <text>
        <r>
          <rPr>
            <b/>
            <sz val="10"/>
            <color indexed="81"/>
            <rFont val="Tahoma"/>
            <family val="2"/>
          </rPr>
          <t xml:space="preserve">Data Entry Cell, Quantity, Signage
</t>
        </r>
      </text>
    </comment>
    <comment ref="E11" authorId="1" shapeId="0" xr:uid="{00000000-0006-0000-0500-000009000000}">
      <text>
        <r>
          <rPr>
            <b/>
            <sz val="10"/>
            <color indexed="81"/>
            <rFont val="Tahoma"/>
            <family val="2"/>
          </rPr>
          <t>Data Entry Cell, Unit of Measure, Signage</t>
        </r>
      </text>
    </comment>
    <comment ref="F11" authorId="1" shapeId="0" xr:uid="{00000000-0006-0000-0500-00000A000000}">
      <text>
        <r>
          <rPr>
            <b/>
            <sz val="10"/>
            <color indexed="81"/>
            <rFont val="Tahoma"/>
            <family val="2"/>
          </rPr>
          <t>Data Entry Cell, Replacement Cost for one Unit of Measure, Signage</t>
        </r>
      </text>
    </comment>
    <comment ref="G11" authorId="1" shapeId="0" xr:uid="{00000000-0006-0000-0500-00000B000000}">
      <text>
        <r>
          <rPr>
            <b/>
            <sz val="10"/>
            <color indexed="81"/>
            <rFont val="Tahoma"/>
            <family val="2"/>
          </rPr>
          <t>Data Entry Cell, Remaining Useful Life, Signage</t>
        </r>
      </text>
    </comment>
    <comment ref="H11" authorId="1" shapeId="0" xr:uid="{00000000-0006-0000-0500-00000C000000}">
      <text>
        <r>
          <rPr>
            <b/>
            <sz val="10"/>
            <color indexed="81"/>
            <rFont val="Tahoma"/>
            <family val="2"/>
          </rPr>
          <t>Data Entry Cell, Estimated Useful Life, Signage</t>
        </r>
      </text>
    </comment>
    <comment ref="D12" authorId="1" shapeId="0" xr:uid="{00000000-0006-0000-0500-00000D000000}">
      <text>
        <r>
          <rPr>
            <b/>
            <sz val="10"/>
            <color indexed="81"/>
            <rFont val="Tahoma"/>
            <family val="2"/>
          </rPr>
          <t>Data Entry Cell, Quantity, Driveways and Parking Areas (Resurfacing)</t>
        </r>
      </text>
    </comment>
    <comment ref="E12" authorId="1" shapeId="0" xr:uid="{00000000-0006-0000-0500-00000E000000}">
      <text>
        <r>
          <rPr>
            <b/>
            <sz val="10"/>
            <color indexed="81"/>
            <rFont val="Tahoma"/>
            <family val="2"/>
          </rPr>
          <t>Data Entry Cell, Unit of Measure, Driveways and Parking (resurfacing)</t>
        </r>
      </text>
    </comment>
    <comment ref="F12" authorId="1" shapeId="0" xr:uid="{00000000-0006-0000-0500-00000F000000}">
      <text>
        <r>
          <rPr>
            <b/>
            <sz val="10"/>
            <color indexed="81"/>
            <rFont val="Tahoma"/>
            <family val="2"/>
          </rPr>
          <t>Data Entry Cell, Replacement Cost for one Unit of Measure, Driveways and Parking Areas (resurfacing)</t>
        </r>
      </text>
    </comment>
    <comment ref="G12" authorId="1" shapeId="0" xr:uid="{00000000-0006-0000-0500-000010000000}">
      <text>
        <r>
          <rPr>
            <b/>
            <sz val="10"/>
            <color indexed="81"/>
            <rFont val="Tahoma"/>
            <family val="2"/>
          </rPr>
          <t>Data Entry Cell, Remaining Useful Life, Driveways and Parking Areas (Resurfacing)</t>
        </r>
      </text>
    </comment>
    <comment ref="H12" authorId="1" shapeId="0" xr:uid="{00000000-0006-0000-0500-000011000000}">
      <text>
        <r>
          <rPr>
            <b/>
            <sz val="10"/>
            <color indexed="81"/>
            <rFont val="Tahoma"/>
            <family val="2"/>
          </rPr>
          <t>Data Entry Cell, Estimated Useful Life, Driveways and Parking Areas (Resurfacing)</t>
        </r>
      </text>
    </comment>
    <comment ref="D13" authorId="1" shapeId="0" xr:uid="{00000000-0006-0000-0500-000012000000}">
      <text>
        <r>
          <rPr>
            <b/>
            <sz val="10"/>
            <color indexed="81"/>
            <rFont val="Tahoma"/>
            <family val="2"/>
          </rPr>
          <t>Data Entry Cell, Quantity, Driveways and Parkign Areas (sealing)</t>
        </r>
      </text>
    </comment>
    <comment ref="E13" authorId="1" shapeId="0" xr:uid="{00000000-0006-0000-0500-000013000000}">
      <text>
        <r>
          <rPr>
            <b/>
            <sz val="10"/>
            <color indexed="81"/>
            <rFont val="Tahoma"/>
            <family val="2"/>
          </rPr>
          <t>Data Entry Cell, Unit of Measure, Driveways and Parking (sealing)</t>
        </r>
      </text>
    </comment>
    <comment ref="F13" authorId="1" shapeId="0" xr:uid="{00000000-0006-0000-0500-000014000000}">
      <text>
        <r>
          <rPr>
            <b/>
            <sz val="10"/>
            <color indexed="81"/>
            <rFont val="Tahoma"/>
            <family val="2"/>
          </rPr>
          <t>Data Entry Cell, Replacement Cost for one Unit of Measure, Driveways and Parking Areas (sealing)</t>
        </r>
      </text>
    </comment>
    <comment ref="G13" authorId="1" shapeId="0" xr:uid="{00000000-0006-0000-0500-000015000000}">
      <text>
        <r>
          <rPr>
            <b/>
            <sz val="10"/>
            <color indexed="81"/>
            <rFont val="Tahoma"/>
            <family val="2"/>
          </rPr>
          <t>Data Entry Cell, Remaining Useful Life, Driveways and Parking Areas (sealing)</t>
        </r>
      </text>
    </comment>
    <comment ref="H13" authorId="1" shapeId="0" xr:uid="{00000000-0006-0000-0500-000016000000}">
      <text>
        <r>
          <rPr>
            <b/>
            <sz val="10"/>
            <color indexed="81"/>
            <rFont val="Tahoma"/>
            <family val="2"/>
          </rPr>
          <t>Data Entry Cell, Estimated Useful Life, Driveways and Parking Areas (sealing)</t>
        </r>
      </text>
    </comment>
    <comment ref="C14" authorId="0" shapeId="0" xr:uid="{00000000-0006-0000-0500-000017000000}">
      <text>
        <r>
          <rPr>
            <b/>
            <sz val="10"/>
            <color indexed="81"/>
            <rFont val="Verdana"/>
            <family val="2"/>
          </rPr>
          <t>Data Entry Cell, Insert the name of Other Site 1</t>
        </r>
      </text>
    </comment>
    <comment ref="D14" authorId="1" shapeId="0" xr:uid="{00000000-0006-0000-0500-000018000000}">
      <text>
        <r>
          <rPr>
            <b/>
            <sz val="10"/>
            <color indexed="81"/>
            <rFont val="Tahoma"/>
            <family val="2"/>
          </rPr>
          <t xml:space="preserve">Data Entry Cell, Quantity, Signage
</t>
        </r>
      </text>
    </comment>
    <comment ref="E14" authorId="1" shapeId="0" xr:uid="{00000000-0006-0000-0500-000019000000}">
      <text>
        <r>
          <rPr>
            <b/>
            <sz val="10"/>
            <color indexed="81"/>
            <rFont val="Tahoma"/>
            <family val="2"/>
          </rPr>
          <t>Data Entry Cell, Unit of Measure, Signage</t>
        </r>
      </text>
    </comment>
    <comment ref="F14" authorId="1" shapeId="0" xr:uid="{00000000-0006-0000-0500-00001A000000}">
      <text>
        <r>
          <rPr>
            <b/>
            <sz val="10"/>
            <color indexed="81"/>
            <rFont val="Tahoma"/>
            <family val="2"/>
          </rPr>
          <t>Data Entry Cell, Replacement Cost for one Unit of Measure, Signage</t>
        </r>
      </text>
    </comment>
    <comment ref="G14" authorId="1" shapeId="0" xr:uid="{00000000-0006-0000-0500-00001B000000}">
      <text>
        <r>
          <rPr>
            <b/>
            <sz val="10"/>
            <color indexed="81"/>
            <rFont val="Tahoma"/>
            <family val="2"/>
          </rPr>
          <t>Data Entry Cell, Remaining Useful Life, Signage</t>
        </r>
      </text>
    </comment>
    <comment ref="H14" authorId="1" shapeId="0" xr:uid="{00000000-0006-0000-0500-00001C000000}">
      <text>
        <r>
          <rPr>
            <b/>
            <sz val="10"/>
            <color indexed="81"/>
            <rFont val="Tahoma"/>
            <family val="2"/>
          </rPr>
          <t>Data Entry Cell, Estimated Useful Life, Signage</t>
        </r>
      </text>
    </comment>
    <comment ref="C15" authorId="0" shapeId="0" xr:uid="{00000000-0006-0000-0500-00001D000000}">
      <text>
        <r>
          <rPr>
            <b/>
            <sz val="10"/>
            <color indexed="81"/>
            <rFont val="Verdana"/>
            <family val="2"/>
          </rPr>
          <t>Data Entry Cell, Insert the name of Other Site 2</t>
        </r>
      </text>
    </comment>
    <comment ref="D15" authorId="1" shapeId="0" xr:uid="{00000000-0006-0000-0500-00001E000000}">
      <text>
        <r>
          <rPr>
            <b/>
            <sz val="10"/>
            <color indexed="81"/>
            <rFont val="Tahoma"/>
            <family val="2"/>
          </rPr>
          <t xml:space="preserve">Data Entry Cell, Quantity, Signage
</t>
        </r>
      </text>
    </comment>
    <comment ref="E15" authorId="1" shapeId="0" xr:uid="{00000000-0006-0000-0500-00001F000000}">
      <text>
        <r>
          <rPr>
            <b/>
            <sz val="10"/>
            <color indexed="81"/>
            <rFont val="Tahoma"/>
            <family val="2"/>
          </rPr>
          <t>Data Entry Cell, Unit of Measure, Signage</t>
        </r>
      </text>
    </comment>
    <comment ref="F15" authorId="1" shapeId="0" xr:uid="{00000000-0006-0000-0500-000020000000}">
      <text>
        <r>
          <rPr>
            <b/>
            <sz val="10"/>
            <color indexed="81"/>
            <rFont val="Tahoma"/>
            <family val="2"/>
          </rPr>
          <t>Data Entry Cell, Replacement Cost for one Unit of Measure, Signage</t>
        </r>
      </text>
    </comment>
    <comment ref="G15" authorId="1" shapeId="0" xr:uid="{00000000-0006-0000-0500-000021000000}">
      <text>
        <r>
          <rPr>
            <b/>
            <sz val="10"/>
            <color indexed="81"/>
            <rFont val="Tahoma"/>
            <family val="2"/>
          </rPr>
          <t>Data Entry Cell, Remaining Useful Life, Signage</t>
        </r>
      </text>
    </comment>
    <comment ref="H15" authorId="1" shapeId="0" xr:uid="{00000000-0006-0000-0500-000022000000}">
      <text>
        <r>
          <rPr>
            <b/>
            <sz val="10"/>
            <color indexed="81"/>
            <rFont val="Tahoma"/>
            <family val="2"/>
          </rPr>
          <t>Data Entry Cell, Estimated Useful Life, Signage</t>
        </r>
      </text>
    </comment>
    <comment ref="C16" authorId="0" shapeId="0" xr:uid="{00000000-0006-0000-0500-000023000000}">
      <text>
        <r>
          <rPr>
            <b/>
            <sz val="10"/>
            <color indexed="81"/>
            <rFont val="Verdana"/>
            <family val="2"/>
          </rPr>
          <t>Data Entry Cell, Insert the name of Other Site 3</t>
        </r>
      </text>
    </comment>
    <comment ref="D16" authorId="1" shapeId="0" xr:uid="{00000000-0006-0000-0500-000024000000}">
      <text>
        <r>
          <rPr>
            <b/>
            <sz val="10"/>
            <color indexed="81"/>
            <rFont val="Tahoma"/>
            <family val="2"/>
          </rPr>
          <t xml:space="preserve">Data Entry Cell, Quantity, Signage
</t>
        </r>
      </text>
    </comment>
    <comment ref="E16" authorId="1" shapeId="0" xr:uid="{00000000-0006-0000-0500-000025000000}">
      <text>
        <r>
          <rPr>
            <b/>
            <sz val="10"/>
            <color indexed="81"/>
            <rFont val="Tahoma"/>
            <family val="2"/>
          </rPr>
          <t>Data Entry Cell, Unit of Measure, Signage</t>
        </r>
      </text>
    </comment>
    <comment ref="F16" authorId="1" shapeId="0" xr:uid="{00000000-0006-0000-0500-000026000000}">
      <text>
        <r>
          <rPr>
            <b/>
            <sz val="10"/>
            <color indexed="81"/>
            <rFont val="Tahoma"/>
            <family val="2"/>
          </rPr>
          <t>Data Entry Cell, Replacement Cost for one Unit of Measure, Signage</t>
        </r>
      </text>
    </comment>
    <comment ref="G16" authorId="1" shapeId="0" xr:uid="{00000000-0006-0000-0500-000027000000}">
      <text>
        <r>
          <rPr>
            <b/>
            <sz val="10"/>
            <color indexed="81"/>
            <rFont val="Tahoma"/>
            <family val="2"/>
          </rPr>
          <t>Data Entry Cell, Remaining Useful Life, Signage</t>
        </r>
      </text>
    </comment>
    <comment ref="H16" authorId="1" shapeId="0" xr:uid="{00000000-0006-0000-0500-000028000000}">
      <text>
        <r>
          <rPr>
            <b/>
            <sz val="10"/>
            <color indexed="81"/>
            <rFont val="Tahoma"/>
            <family val="2"/>
          </rPr>
          <t>Data Entry Cell, Estimated Useful Life, Signage</t>
        </r>
      </text>
    </comment>
    <comment ref="D17" authorId="1" shapeId="0" xr:uid="{00000000-0006-0000-0500-000029000000}">
      <text>
        <r>
          <rPr>
            <b/>
            <sz val="10"/>
            <color indexed="81"/>
            <rFont val="Tahoma"/>
            <family val="2"/>
          </rPr>
          <t xml:space="preserve">Data Entry Cell, Quantity, Signage
</t>
        </r>
      </text>
    </comment>
    <comment ref="E17" authorId="1" shapeId="0" xr:uid="{00000000-0006-0000-0500-00002A000000}">
      <text>
        <r>
          <rPr>
            <b/>
            <sz val="10"/>
            <color indexed="81"/>
            <rFont val="Tahoma"/>
            <family val="2"/>
          </rPr>
          <t>Data Entry Cell, Unit of Measure, Signage</t>
        </r>
      </text>
    </comment>
    <comment ref="F17" authorId="1" shapeId="0" xr:uid="{00000000-0006-0000-0500-00002B000000}">
      <text>
        <r>
          <rPr>
            <b/>
            <sz val="10"/>
            <color indexed="81"/>
            <rFont val="Tahoma"/>
            <family val="2"/>
          </rPr>
          <t>Data Entry Cell, Replacement Cost for one Unit of Measure, Signage</t>
        </r>
      </text>
    </comment>
    <comment ref="G17" authorId="1" shapeId="0" xr:uid="{00000000-0006-0000-0500-00002C000000}">
      <text>
        <r>
          <rPr>
            <b/>
            <sz val="10"/>
            <color indexed="81"/>
            <rFont val="Tahoma"/>
            <family val="2"/>
          </rPr>
          <t>Data Entry Cell, Remaining Useful Life, Signage</t>
        </r>
      </text>
    </comment>
    <comment ref="H17" authorId="1" shapeId="0" xr:uid="{00000000-0006-0000-0500-00002D000000}">
      <text>
        <r>
          <rPr>
            <b/>
            <sz val="10"/>
            <color indexed="81"/>
            <rFont val="Tahoma"/>
            <family val="2"/>
          </rPr>
          <t>Data Entry Cell, Estimated Useful Life, Signage</t>
        </r>
      </text>
    </comment>
    <comment ref="C18" authorId="0" shapeId="0" xr:uid="{00000000-0006-0000-0500-00002E000000}">
      <text>
        <r>
          <rPr>
            <b/>
            <sz val="10"/>
            <color indexed="81"/>
            <rFont val="Verdana"/>
            <family val="2"/>
          </rPr>
          <t>Data Entry Cell, Insert the name of Exterior Walls 1</t>
        </r>
      </text>
    </comment>
    <comment ref="D18" authorId="1" shapeId="0" xr:uid="{00000000-0006-0000-0500-00002F000000}">
      <text>
        <r>
          <rPr>
            <b/>
            <sz val="10"/>
            <color indexed="81"/>
            <rFont val="Tahoma"/>
            <family val="2"/>
          </rPr>
          <t xml:space="preserve">Data Entry Cell, Quantity, Signage
</t>
        </r>
      </text>
    </comment>
    <comment ref="E18" authorId="1" shapeId="0" xr:uid="{00000000-0006-0000-0500-000030000000}">
      <text>
        <r>
          <rPr>
            <b/>
            <sz val="10"/>
            <color indexed="81"/>
            <rFont val="Tahoma"/>
            <family val="2"/>
          </rPr>
          <t>Data Entry Cell, Unit of Measure, Signage</t>
        </r>
      </text>
    </comment>
    <comment ref="F18" authorId="1" shapeId="0" xr:uid="{00000000-0006-0000-0500-000031000000}">
      <text>
        <r>
          <rPr>
            <b/>
            <sz val="10"/>
            <color indexed="81"/>
            <rFont val="Tahoma"/>
            <family val="2"/>
          </rPr>
          <t>Data Entry Cell, Replacement Cost for one Unit of Measure, Signage</t>
        </r>
      </text>
    </comment>
    <comment ref="G18" authorId="1" shapeId="0" xr:uid="{00000000-0006-0000-0500-000032000000}">
      <text>
        <r>
          <rPr>
            <b/>
            <sz val="10"/>
            <color indexed="81"/>
            <rFont val="Tahoma"/>
            <family val="2"/>
          </rPr>
          <t>Data Entry Cell, Remaining Useful Life, Signage</t>
        </r>
      </text>
    </comment>
    <comment ref="H18" authorId="1" shapeId="0" xr:uid="{00000000-0006-0000-0500-000033000000}">
      <text>
        <r>
          <rPr>
            <b/>
            <sz val="10"/>
            <color indexed="81"/>
            <rFont val="Tahoma"/>
            <family val="2"/>
          </rPr>
          <t>Data Entry Cell, Estimated Useful Life, Signage</t>
        </r>
      </text>
    </comment>
    <comment ref="C19" authorId="0" shapeId="0" xr:uid="{00000000-0006-0000-0500-000034000000}">
      <text>
        <r>
          <rPr>
            <b/>
            <sz val="10"/>
            <color indexed="81"/>
            <rFont val="Verdana"/>
            <family val="2"/>
          </rPr>
          <t>Data Entry Cell, Insert the name of Exterior Walls 2</t>
        </r>
      </text>
    </comment>
    <comment ref="D19" authorId="1" shapeId="0" xr:uid="{00000000-0006-0000-0500-000035000000}">
      <text>
        <r>
          <rPr>
            <b/>
            <sz val="10"/>
            <color indexed="81"/>
            <rFont val="Tahoma"/>
            <family val="2"/>
          </rPr>
          <t xml:space="preserve">Data Entry Cell, Quantity, Signage
</t>
        </r>
      </text>
    </comment>
    <comment ref="E19" authorId="1" shapeId="0" xr:uid="{00000000-0006-0000-0500-000036000000}">
      <text>
        <r>
          <rPr>
            <b/>
            <sz val="10"/>
            <color indexed="81"/>
            <rFont val="Tahoma"/>
            <family val="2"/>
          </rPr>
          <t>Data Entry Cell, Unit of Measure, Signage</t>
        </r>
      </text>
    </comment>
    <comment ref="F19" authorId="1" shapeId="0" xr:uid="{00000000-0006-0000-0500-000037000000}">
      <text>
        <r>
          <rPr>
            <b/>
            <sz val="10"/>
            <color indexed="81"/>
            <rFont val="Tahoma"/>
            <family val="2"/>
          </rPr>
          <t>Data Entry Cell, Replacement Cost for one Unit of Measure, Signage</t>
        </r>
      </text>
    </comment>
    <comment ref="G19" authorId="1" shapeId="0" xr:uid="{00000000-0006-0000-0500-000038000000}">
      <text>
        <r>
          <rPr>
            <b/>
            <sz val="10"/>
            <color indexed="81"/>
            <rFont val="Tahoma"/>
            <family val="2"/>
          </rPr>
          <t>Data Entry Cell, Remaining Useful Life, Signage</t>
        </r>
      </text>
    </comment>
    <comment ref="H19" authorId="1" shapeId="0" xr:uid="{00000000-0006-0000-0500-000039000000}">
      <text>
        <r>
          <rPr>
            <b/>
            <sz val="10"/>
            <color indexed="81"/>
            <rFont val="Tahoma"/>
            <family val="2"/>
          </rPr>
          <t>Data Entry Cell, Estimated Useful Life, Signage</t>
        </r>
      </text>
    </comment>
    <comment ref="D20" authorId="1" shapeId="0" xr:uid="{00000000-0006-0000-0500-00003A000000}">
      <text>
        <r>
          <rPr>
            <b/>
            <sz val="10"/>
            <color indexed="81"/>
            <rFont val="Tahoma"/>
            <family val="2"/>
          </rPr>
          <t xml:space="preserve">Data Entry Cell, Quantity, Signage
</t>
        </r>
      </text>
    </comment>
    <comment ref="E20" authorId="1" shapeId="0" xr:uid="{00000000-0006-0000-0500-00003B000000}">
      <text>
        <r>
          <rPr>
            <b/>
            <sz val="10"/>
            <color indexed="81"/>
            <rFont val="Tahoma"/>
            <family val="2"/>
          </rPr>
          <t>Data Entry Cell, Unit of Measure, Signage</t>
        </r>
      </text>
    </comment>
    <comment ref="F20" authorId="1" shapeId="0" xr:uid="{00000000-0006-0000-0500-00003C000000}">
      <text>
        <r>
          <rPr>
            <b/>
            <sz val="10"/>
            <color indexed="81"/>
            <rFont val="Tahoma"/>
            <family val="2"/>
          </rPr>
          <t>Data Entry Cell, Replacement Cost for one Unit of Measure, Signage</t>
        </r>
      </text>
    </comment>
    <comment ref="G20" authorId="1" shapeId="0" xr:uid="{00000000-0006-0000-0500-00003D000000}">
      <text>
        <r>
          <rPr>
            <b/>
            <sz val="10"/>
            <color indexed="81"/>
            <rFont val="Tahoma"/>
            <family val="2"/>
          </rPr>
          <t>Data Entry Cell, Remaining Useful Life, Signage</t>
        </r>
      </text>
    </comment>
    <comment ref="H20" authorId="1" shapeId="0" xr:uid="{00000000-0006-0000-0500-00003E000000}">
      <text>
        <r>
          <rPr>
            <b/>
            <sz val="10"/>
            <color indexed="81"/>
            <rFont val="Tahoma"/>
            <family val="2"/>
          </rPr>
          <t>Data Entry Cell, Estimated Useful Life, Signage</t>
        </r>
      </text>
    </comment>
    <comment ref="C21" authorId="0" shapeId="0" xr:uid="{00000000-0006-0000-0500-00003F000000}">
      <text>
        <r>
          <rPr>
            <b/>
            <sz val="10"/>
            <color indexed="81"/>
            <rFont val="Verdana"/>
            <family val="2"/>
          </rPr>
          <t>Data Entry Cell, Insert the name of Other Exterior 1</t>
        </r>
      </text>
    </comment>
    <comment ref="D21" authorId="1" shapeId="0" xr:uid="{00000000-0006-0000-0500-000040000000}">
      <text>
        <r>
          <rPr>
            <b/>
            <sz val="10"/>
            <color indexed="81"/>
            <rFont val="Tahoma"/>
            <family val="2"/>
          </rPr>
          <t xml:space="preserve">Data Entry Cell, Quantity, Signage
</t>
        </r>
      </text>
    </comment>
    <comment ref="E21" authorId="1" shapeId="0" xr:uid="{00000000-0006-0000-0500-000041000000}">
      <text>
        <r>
          <rPr>
            <b/>
            <sz val="10"/>
            <color indexed="81"/>
            <rFont val="Tahoma"/>
            <family val="2"/>
          </rPr>
          <t>Data Entry Cell, Unit of Measure, Signage</t>
        </r>
      </text>
    </comment>
    <comment ref="F21" authorId="1" shapeId="0" xr:uid="{00000000-0006-0000-0500-000042000000}">
      <text>
        <r>
          <rPr>
            <b/>
            <sz val="10"/>
            <color indexed="81"/>
            <rFont val="Tahoma"/>
            <family val="2"/>
          </rPr>
          <t>Data Entry Cell, Replacement Cost for one Unit of Measure, Signage</t>
        </r>
      </text>
    </comment>
    <comment ref="G21" authorId="1" shapeId="0" xr:uid="{00000000-0006-0000-0500-000043000000}">
      <text>
        <r>
          <rPr>
            <b/>
            <sz val="10"/>
            <color indexed="81"/>
            <rFont val="Tahoma"/>
            <family val="2"/>
          </rPr>
          <t>Data Entry Cell, Remaining Useful Life, Signage</t>
        </r>
      </text>
    </comment>
    <comment ref="H21" authorId="1" shapeId="0" xr:uid="{00000000-0006-0000-0500-000044000000}">
      <text>
        <r>
          <rPr>
            <b/>
            <sz val="10"/>
            <color indexed="81"/>
            <rFont val="Tahoma"/>
            <family val="2"/>
          </rPr>
          <t>Data Entry Cell, Estimated Useful Life, Signage</t>
        </r>
      </text>
    </comment>
    <comment ref="C22" authorId="0" shapeId="0" xr:uid="{00000000-0006-0000-0500-000045000000}">
      <text>
        <r>
          <rPr>
            <b/>
            <sz val="10"/>
            <color indexed="81"/>
            <rFont val="Verdana"/>
            <family val="2"/>
          </rPr>
          <t>Data Entry Cell, Insert the name of Other Exterior 2</t>
        </r>
      </text>
    </comment>
    <comment ref="D22" authorId="1" shapeId="0" xr:uid="{00000000-0006-0000-0500-000046000000}">
      <text>
        <r>
          <rPr>
            <b/>
            <sz val="10"/>
            <color indexed="81"/>
            <rFont val="Tahoma"/>
            <family val="2"/>
          </rPr>
          <t xml:space="preserve">Data Entry Cell, Quantity, Signage
</t>
        </r>
      </text>
    </comment>
    <comment ref="E22" authorId="1" shapeId="0" xr:uid="{00000000-0006-0000-0500-000047000000}">
      <text>
        <r>
          <rPr>
            <b/>
            <sz val="10"/>
            <color indexed="81"/>
            <rFont val="Tahoma"/>
            <family val="2"/>
          </rPr>
          <t>Data Entry Cell, Unit of Measure, Signage</t>
        </r>
      </text>
    </comment>
    <comment ref="F22" authorId="1" shapeId="0" xr:uid="{00000000-0006-0000-0500-000048000000}">
      <text>
        <r>
          <rPr>
            <b/>
            <sz val="10"/>
            <color indexed="81"/>
            <rFont val="Tahoma"/>
            <family val="2"/>
          </rPr>
          <t>Data Entry Cell, Replacement Cost for one Unit of Measure, Signage</t>
        </r>
      </text>
    </comment>
    <comment ref="G22" authorId="1" shapeId="0" xr:uid="{00000000-0006-0000-0500-000049000000}">
      <text>
        <r>
          <rPr>
            <b/>
            <sz val="10"/>
            <color indexed="81"/>
            <rFont val="Tahoma"/>
            <family val="2"/>
          </rPr>
          <t>Data Entry Cell, Remaining Useful Life, Signage</t>
        </r>
      </text>
    </comment>
    <comment ref="H22" authorId="1" shapeId="0" xr:uid="{00000000-0006-0000-0500-00004A000000}">
      <text>
        <r>
          <rPr>
            <b/>
            <sz val="10"/>
            <color indexed="81"/>
            <rFont val="Tahoma"/>
            <family val="2"/>
          </rPr>
          <t>Data Entry Cell, Estimated Useful Life, Signage</t>
        </r>
      </text>
    </comment>
    <comment ref="D23" authorId="1" shapeId="0" xr:uid="{00000000-0006-0000-0500-00004B000000}">
      <text>
        <r>
          <rPr>
            <b/>
            <sz val="10"/>
            <color indexed="81"/>
            <rFont val="Tahoma"/>
            <family val="2"/>
          </rPr>
          <t xml:space="preserve">Data Entry Cell, Quantity, Signage
</t>
        </r>
      </text>
    </comment>
    <comment ref="E23" authorId="1" shapeId="0" xr:uid="{00000000-0006-0000-0500-00004C000000}">
      <text>
        <r>
          <rPr>
            <b/>
            <sz val="10"/>
            <color indexed="81"/>
            <rFont val="Tahoma"/>
            <family val="2"/>
          </rPr>
          <t>Data Entry Cell, Unit of Measure, Signage</t>
        </r>
      </text>
    </comment>
    <comment ref="F23" authorId="1" shapeId="0" xr:uid="{00000000-0006-0000-0500-00004D000000}">
      <text>
        <r>
          <rPr>
            <b/>
            <sz val="10"/>
            <color indexed="81"/>
            <rFont val="Tahoma"/>
            <family val="2"/>
          </rPr>
          <t>Data Entry Cell, Replacement Cost for one Unit of Measure, Signage</t>
        </r>
      </text>
    </comment>
    <comment ref="G23" authorId="1" shapeId="0" xr:uid="{00000000-0006-0000-0500-00004E000000}">
      <text>
        <r>
          <rPr>
            <b/>
            <sz val="10"/>
            <color indexed="81"/>
            <rFont val="Tahoma"/>
            <family val="2"/>
          </rPr>
          <t>Data Entry Cell, Remaining Useful Life, Signage</t>
        </r>
      </text>
    </comment>
    <comment ref="H23" authorId="1" shapeId="0" xr:uid="{00000000-0006-0000-0500-00004F000000}">
      <text>
        <r>
          <rPr>
            <b/>
            <sz val="10"/>
            <color indexed="81"/>
            <rFont val="Tahoma"/>
            <family val="2"/>
          </rPr>
          <t>Data Entry Cell, Estimated Useful Life, Signage</t>
        </r>
      </text>
    </comment>
    <comment ref="D24" authorId="1" shapeId="0" xr:uid="{00000000-0006-0000-0500-000050000000}">
      <text>
        <r>
          <rPr>
            <b/>
            <sz val="10"/>
            <color indexed="81"/>
            <rFont val="Tahoma"/>
            <family val="2"/>
          </rPr>
          <t xml:space="preserve">Data Entry Cell, Quantity, Signage
</t>
        </r>
      </text>
    </comment>
    <comment ref="E24" authorId="1" shapeId="0" xr:uid="{00000000-0006-0000-0500-000051000000}">
      <text>
        <r>
          <rPr>
            <b/>
            <sz val="10"/>
            <color indexed="81"/>
            <rFont val="Tahoma"/>
            <family val="2"/>
          </rPr>
          <t>Data Entry Cell, Unit of Measure, Signage</t>
        </r>
      </text>
    </comment>
    <comment ref="F24" authorId="1" shapeId="0" xr:uid="{00000000-0006-0000-0500-000052000000}">
      <text>
        <r>
          <rPr>
            <b/>
            <sz val="10"/>
            <color indexed="81"/>
            <rFont val="Tahoma"/>
            <family val="2"/>
          </rPr>
          <t>Data Entry Cell, Replacement Cost for one Unit of Measure, Signage</t>
        </r>
      </text>
    </comment>
    <comment ref="G24" authorId="1" shapeId="0" xr:uid="{00000000-0006-0000-0500-000053000000}">
      <text>
        <r>
          <rPr>
            <b/>
            <sz val="10"/>
            <color indexed="81"/>
            <rFont val="Tahoma"/>
            <family val="2"/>
          </rPr>
          <t>Data Entry Cell, Remaining Useful Life, Signage</t>
        </r>
      </text>
    </comment>
    <comment ref="H24" authorId="1" shapeId="0" xr:uid="{00000000-0006-0000-0500-000054000000}">
      <text>
        <r>
          <rPr>
            <b/>
            <sz val="10"/>
            <color indexed="81"/>
            <rFont val="Tahoma"/>
            <family val="2"/>
          </rPr>
          <t>Data Entry Cell, Estimated Useful Life, Signage</t>
        </r>
      </text>
    </comment>
    <comment ref="C25" authorId="0" shapeId="0" xr:uid="{00000000-0006-0000-0500-000055000000}">
      <text>
        <r>
          <rPr>
            <b/>
            <sz val="10"/>
            <color indexed="81"/>
            <rFont val="Verdana"/>
            <family val="2"/>
          </rPr>
          <t>Data Entry Cell, Insert the name of Other Exterior 1</t>
        </r>
      </text>
    </comment>
    <comment ref="D25" authorId="1" shapeId="0" xr:uid="{00000000-0006-0000-0500-000056000000}">
      <text>
        <r>
          <rPr>
            <b/>
            <sz val="10"/>
            <color indexed="81"/>
            <rFont val="Tahoma"/>
            <family val="2"/>
          </rPr>
          <t xml:space="preserve">Data Entry Cell, Quantity, Signage
</t>
        </r>
      </text>
    </comment>
    <comment ref="E25" authorId="1" shapeId="0" xr:uid="{00000000-0006-0000-0500-000057000000}">
      <text>
        <r>
          <rPr>
            <b/>
            <sz val="10"/>
            <color indexed="81"/>
            <rFont val="Tahoma"/>
            <family val="2"/>
          </rPr>
          <t>Data Entry Cell, Unit of Measure, Signage</t>
        </r>
      </text>
    </comment>
    <comment ref="F25" authorId="1" shapeId="0" xr:uid="{00000000-0006-0000-0500-000058000000}">
      <text>
        <r>
          <rPr>
            <b/>
            <sz val="10"/>
            <color indexed="81"/>
            <rFont val="Tahoma"/>
            <family val="2"/>
          </rPr>
          <t>Data Entry Cell, Replacement Cost for one Unit of Measure, Signage</t>
        </r>
      </text>
    </comment>
    <comment ref="G25" authorId="1" shapeId="0" xr:uid="{00000000-0006-0000-0500-000059000000}">
      <text>
        <r>
          <rPr>
            <b/>
            <sz val="10"/>
            <color indexed="81"/>
            <rFont val="Tahoma"/>
            <family val="2"/>
          </rPr>
          <t>Data Entry Cell, Remaining Useful Life, Signage</t>
        </r>
      </text>
    </comment>
    <comment ref="H25" authorId="1" shapeId="0" xr:uid="{00000000-0006-0000-0500-00005A000000}">
      <text>
        <r>
          <rPr>
            <b/>
            <sz val="10"/>
            <color indexed="81"/>
            <rFont val="Tahoma"/>
            <family val="2"/>
          </rPr>
          <t>Data Entry Cell, Estimated Useful Life, Signage</t>
        </r>
      </text>
    </comment>
    <comment ref="C26" authorId="0" shapeId="0" xr:uid="{00000000-0006-0000-0500-00005B000000}">
      <text>
        <r>
          <rPr>
            <b/>
            <sz val="10"/>
            <color indexed="81"/>
            <rFont val="Verdana"/>
            <family val="2"/>
          </rPr>
          <t>Data Entry Cell, Insert the name of Other Exterior 1</t>
        </r>
      </text>
    </comment>
    <comment ref="D26" authorId="1" shapeId="0" xr:uid="{00000000-0006-0000-0500-00005C000000}">
      <text>
        <r>
          <rPr>
            <b/>
            <sz val="10"/>
            <color indexed="81"/>
            <rFont val="Tahoma"/>
            <family val="2"/>
          </rPr>
          <t xml:space="preserve">Data Entry Cell, Quantity, Signage
</t>
        </r>
      </text>
    </comment>
    <comment ref="E26" authorId="1" shapeId="0" xr:uid="{00000000-0006-0000-0500-00005D000000}">
      <text>
        <r>
          <rPr>
            <b/>
            <sz val="10"/>
            <color indexed="81"/>
            <rFont val="Tahoma"/>
            <family val="2"/>
          </rPr>
          <t>Data Entry Cell, Unit of Measure, Signage</t>
        </r>
      </text>
    </comment>
    <comment ref="F26" authorId="1" shapeId="0" xr:uid="{00000000-0006-0000-0500-00005E000000}">
      <text>
        <r>
          <rPr>
            <b/>
            <sz val="10"/>
            <color indexed="81"/>
            <rFont val="Tahoma"/>
            <family val="2"/>
          </rPr>
          <t>Data Entry Cell, Replacement Cost for one Unit of Measure, Signage</t>
        </r>
      </text>
    </comment>
    <comment ref="G26" authorId="1" shapeId="0" xr:uid="{00000000-0006-0000-0500-00005F000000}">
      <text>
        <r>
          <rPr>
            <b/>
            <sz val="10"/>
            <color indexed="81"/>
            <rFont val="Tahoma"/>
            <family val="2"/>
          </rPr>
          <t>Data Entry Cell, Remaining Useful Life, Signage</t>
        </r>
      </text>
    </comment>
    <comment ref="H26" authorId="1" shapeId="0" xr:uid="{00000000-0006-0000-0500-000060000000}">
      <text>
        <r>
          <rPr>
            <b/>
            <sz val="10"/>
            <color indexed="81"/>
            <rFont val="Tahoma"/>
            <family val="2"/>
          </rPr>
          <t>Data Entry Cell, Estimated Useful Life, Signage</t>
        </r>
      </text>
    </comment>
    <comment ref="D27" authorId="1" shapeId="0" xr:uid="{00000000-0006-0000-0500-000061000000}">
      <text>
        <r>
          <rPr>
            <b/>
            <sz val="10"/>
            <color indexed="81"/>
            <rFont val="Tahoma"/>
            <family val="2"/>
          </rPr>
          <t xml:space="preserve">Data Entry Cell, Quantity, Signage
</t>
        </r>
      </text>
    </comment>
    <comment ref="E27" authorId="1" shapeId="0" xr:uid="{00000000-0006-0000-0500-000062000000}">
      <text>
        <r>
          <rPr>
            <b/>
            <sz val="10"/>
            <color indexed="81"/>
            <rFont val="Tahoma"/>
            <family val="2"/>
          </rPr>
          <t>Data Entry Cell, Unit of Measure, Signage</t>
        </r>
      </text>
    </comment>
    <comment ref="F27" authorId="1" shapeId="0" xr:uid="{00000000-0006-0000-0500-000063000000}">
      <text>
        <r>
          <rPr>
            <b/>
            <sz val="10"/>
            <color indexed="81"/>
            <rFont val="Tahoma"/>
            <family val="2"/>
          </rPr>
          <t>Data Entry Cell, Replacement Cost for one Unit of Measure, Signage</t>
        </r>
      </text>
    </comment>
    <comment ref="G27" authorId="1" shapeId="0" xr:uid="{00000000-0006-0000-0500-000064000000}">
      <text>
        <r>
          <rPr>
            <b/>
            <sz val="10"/>
            <color indexed="81"/>
            <rFont val="Tahoma"/>
            <family val="2"/>
          </rPr>
          <t>Data Entry Cell, Remaining Useful Life, Signage</t>
        </r>
      </text>
    </comment>
    <comment ref="H27" authorId="1" shapeId="0" xr:uid="{00000000-0006-0000-0500-000065000000}">
      <text>
        <r>
          <rPr>
            <b/>
            <sz val="10"/>
            <color indexed="81"/>
            <rFont val="Tahoma"/>
            <family val="2"/>
          </rPr>
          <t>Data Entry Cell, Estimated Useful Life, Signage</t>
        </r>
      </text>
    </comment>
    <comment ref="D28" authorId="1" shapeId="0" xr:uid="{00000000-0006-0000-0500-000066000000}">
      <text>
        <r>
          <rPr>
            <b/>
            <sz val="10"/>
            <color indexed="81"/>
            <rFont val="Tahoma"/>
            <family val="2"/>
          </rPr>
          <t xml:space="preserve">Data Entry Cell, Quantity, Signage
</t>
        </r>
      </text>
    </comment>
    <comment ref="E28" authorId="1" shapeId="0" xr:uid="{00000000-0006-0000-0500-000067000000}">
      <text>
        <r>
          <rPr>
            <b/>
            <sz val="10"/>
            <color indexed="81"/>
            <rFont val="Tahoma"/>
            <family val="2"/>
          </rPr>
          <t>Data Entry Cell, Unit of Measure, Signage</t>
        </r>
      </text>
    </comment>
    <comment ref="F28" authorId="1" shapeId="0" xr:uid="{00000000-0006-0000-0500-000068000000}">
      <text>
        <r>
          <rPr>
            <b/>
            <sz val="10"/>
            <color indexed="81"/>
            <rFont val="Tahoma"/>
            <family val="2"/>
          </rPr>
          <t>Data Entry Cell, Replacement Cost for one Unit of Measure, Signage</t>
        </r>
      </text>
    </comment>
    <comment ref="G28" authorId="1" shapeId="0" xr:uid="{00000000-0006-0000-0500-000069000000}">
      <text>
        <r>
          <rPr>
            <b/>
            <sz val="10"/>
            <color indexed="81"/>
            <rFont val="Tahoma"/>
            <family val="2"/>
          </rPr>
          <t>Data Entry Cell, Remaining Useful Life, Signage</t>
        </r>
      </text>
    </comment>
    <comment ref="H28" authorId="1" shapeId="0" xr:uid="{00000000-0006-0000-0500-00006A000000}">
      <text>
        <r>
          <rPr>
            <b/>
            <sz val="10"/>
            <color indexed="81"/>
            <rFont val="Tahoma"/>
            <family val="2"/>
          </rPr>
          <t>Data Entry Cell, Estimated Useful Life, Signage</t>
        </r>
      </text>
    </comment>
    <comment ref="D29" authorId="1" shapeId="0" xr:uid="{00000000-0006-0000-0500-00006B000000}">
      <text>
        <r>
          <rPr>
            <b/>
            <sz val="10"/>
            <color indexed="81"/>
            <rFont val="Tahoma"/>
            <family val="2"/>
          </rPr>
          <t xml:space="preserve">Data Entry Cell, Quantity, Signage
</t>
        </r>
      </text>
    </comment>
    <comment ref="E29" authorId="1" shapeId="0" xr:uid="{00000000-0006-0000-0500-00006C000000}">
      <text>
        <r>
          <rPr>
            <b/>
            <sz val="10"/>
            <color indexed="81"/>
            <rFont val="Tahoma"/>
            <family val="2"/>
          </rPr>
          <t>Data Entry Cell, Unit of Measure, Signage</t>
        </r>
      </text>
    </comment>
    <comment ref="F29" authorId="1" shapeId="0" xr:uid="{00000000-0006-0000-0500-00006D000000}">
      <text>
        <r>
          <rPr>
            <b/>
            <sz val="10"/>
            <color indexed="81"/>
            <rFont val="Tahoma"/>
            <family val="2"/>
          </rPr>
          <t>Data Entry Cell, Replacement Cost for one Unit of Measure, Signage</t>
        </r>
      </text>
    </comment>
    <comment ref="G29" authorId="1" shapeId="0" xr:uid="{00000000-0006-0000-0500-00006E000000}">
      <text>
        <r>
          <rPr>
            <b/>
            <sz val="10"/>
            <color indexed="81"/>
            <rFont val="Tahoma"/>
            <family val="2"/>
          </rPr>
          <t>Data Entry Cell, Remaining Useful Life, Signage</t>
        </r>
      </text>
    </comment>
    <comment ref="H29" authorId="1" shapeId="0" xr:uid="{00000000-0006-0000-0500-00006F000000}">
      <text>
        <r>
          <rPr>
            <b/>
            <sz val="10"/>
            <color indexed="81"/>
            <rFont val="Tahoma"/>
            <family val="2"/>
          </rPr>
          <t>Data Entry Cell, Estimated Useful Life, Signage</t>
        </r>
      </text>
    </comment>
    <comment ref="D30" authorId="1" shapeId="0" xr:uid="{00000000-0006-0000-0500-000070000000}">
      <text>
        <r>
          <rPr>
            <b/>
            <sz val="10"/>
            <color indexed="81"/>
            <rFont val="Tahoma"/>
            <family val="2"/>
          </rPr>
          <t xml:space="preserve">Data Entry Cell, Quantity, Signage
</t>
        </r>
      </text>
    </comment>
    <comment ref="E30" authorId="1" shapeId="0" xr:uid="{00000000-0006-0000-0500-000071000000}">
      <text>
        <r>
          <rPr>
            <b/>
            <sz val="10"/>
            <color indexed="81"/>
            <rFont val="Tahoma"/>
            <family val="2"/>
          </rPr>
          <t>Data Entry Cell, Unit of Measure, Signage</t>
        </r>
      </text>
    </comment>
    <comment ref="F30" authorId="1" shapeId="0" xr:uid="{00000000-0006-0000-0500-000072000000}">
      <text>
        <r>
          <rPr>
            <b/>
            <sz val="10"/>
            <color indexed="81"/>
            <rFont val="Tahoma"/>
            <family val="2"/>
          </rPr>
          <t>Data Entry Cell, Replacement Cost for one Unit of Measure, Signage</t>
        </r>
      </text>
    </comment>
    <comment ref="G30" authorId="1" shapeId="0" xr:uid="{00000000-0006-0000-0500-000073000000}">
      <text>
        <r>
          <rPr>
            <b/>
            <sz val="10"/>
            <color indexed="81"/>
            <rFont val="Tahoma"/>
            <family val="2"/>
          </rPr>
          <t>Data Entry Cell, Remaining Useful Life, Signage</t>
        </r>
      </text>
    </comment>
    <comment ref="H30" authorId="1" shapeId="0" xr:uid="{00000000-0006-0000-0500-000074000000}">
      <text>
        <r>
          <rPr>
            <b/>
            <sz val="10"/>
            <color indexed="81"/>
            <rFont val="Tahoma"/>
            <family val="2"/>
          </rPr>
          <t>Data Entry Cell, Estimated Useful Life, Signage</t>
        </r>
      </text>
    </comment>
    <comment ref="D31" authorId="1" shapeId="0" xr:uid="{00000000-0006-0000-0500-000075000000}">
      <text>
        <r>
          <rPr>
            <b/>
            <sz val="10"/>
            <color indexed="81"/>
            <rFont val="Tahoma"/>
            <family val="2"/>
          </rPr>
          <t xml:space="preserve">Data Entry Cell, Quantity, Signage
</t>
        </r>
      </text>
    </comment>
    <comment ref="E31" authorId="1" shapeId="0" xr:uid="{00000000-0006-0000-0500-000076000000}">
      <text>
        <r>
          <rPr>
            <b/>
            <sz val="10"/>
            <color indexed="81"/>
            <rFont val="Tahoma"/>
            <family val="2"/>
          </rPr>
          <t>Data Entry Cell, Unit of Measure, Signage</t>
        </r>
      </text>
    </comment>
    <comment ref="F31" authorId="1" shapeId="0" xr:uid="{00000000-0006-0000-0500-000077000000}">
      <text>
        <r>
          <rPr>
            <b/>
            <sz val="10"/>
            <color indexed="81"/>
            <rFont val="Tahoma"/>
            <family val="2"/>
          </rPr>
          <t>Data Entry Cell, Replacement Cost for one Unit of Measure, Signage</t>
        </r>
      </text>
    </comment>
    <comment ref="G31" authorId="1" shapeId="0" xr:uid="{00000000-0006-0000-0500-000078000000}">
      <text>
        <r>
          <rPr>
            <b/>
            <sz val="10"/>
            <color indexed="81"/>
            <rFont val="Tahoma"/>
            <family val="2"/>
          </rPr>
          <t>Data Entry Cell, Remaining Useful Life, Signage</t>
        </r>
      </text>
    </comment>
    <comment ref="H31" authorId="1" shapeId="0" xr:uid="{00000000-0006-0000-0500-000079000000}">
      <text>
        <r>
          <rPr>
            <b/>
            <sz val="10"/>
            <color indexed="81"/>
            <rFont val="Tahoma"/>
            <family val="2"/>
          </rPr>
          <t>Data Entry Cell, Estimated Useful Life, Signage</t>
        </r>
      </text>
    </comment>
    <comment ref="D32" authorId="1" shapeId="0" xr:uid="{00000000-0006-0000-0500-00007A000000}">
      <text>
        <r>
          <rPr>
            <b/>
            <sz val="10"/>
            <color indexed="81"/>
            <rFont val="Tahoma"/>
            <family val="2"/>
          </rPr>
          <t xml:space="preserve">Data Entry Cell, Quantity, Signage
</t>
        </r>
      </text>
    </comment>
    <comment ref="E32" authorId="1" shapeId="0" xr:uid="{00000000-0006-0000-0500-00007B000000}">
      <text>
        <r>
          <rPr>
            <b/>
            <sz val="10"/>
            <color indexed="81"/>
            <rFont val="Tahoma"/>
            <family val="2"/>
          </rPr>
          <t>Data Entry Cell, Unit of Measure, Signage</t>
        </r>
      </text>
    </comment>
    <comment ref="F32" authorId="1" shapeId="0" xr:uid="{00000000-0006-0000-0500-00007C000000}">
      <text>
        <r>
          <rPr>
            <b/>
            <sz val="10"/>
            <color indexed="81"/>
            <rFont val="Tahoma"/>
            <family val="2"/>
          </rPr>
          <t>Data Entry Cell, Replacement Cost for one Unit of Measure, Signage</t>
        </r>
      </text>
    </comment>
    <comment ref="G32" authorId="1" shapeId="0" xr:uid="{00000000-0006-0000-0500-00007D000000}">
      <text>
        <r>
          <rPr>
            <b/>
            <sz val="10"/>
            <color indexed="81"/>
            <rFont val="Tahoma"/>
            <family val="2"/>
          </rPr>
          <t>Data Entry Cell, Remaining Useful Life, Signage</t>
        </r>
      </text>
    </comment>
    <comment ref="H32" authorId="1" shapeId="0" xr:uid="{00000000-0006-0000-0500-00007E000000}">
      <text>
        <r>
          <rPr>
            <b/>
            <sz val="10"/>
            <color indexed="81"/>
            <rFont val="Tahoma"/>
            <family val="2"/>
          </rPr>
          <t>Data Entry Cell, Estimated Useful Life, Signage</t>
        </r>
      </text>
    </comment>
    <comment ref="D33" authorId="1" shapeId="0" xr:uid="{00000000-0006-0000-0500-00007F000000}">
      <text>
        <r>
          <rPr>
            <b/>
            <sz val="10"/>
            <color indexed="81"/>
            <rFont val="Tahoma"/>
            <family val="2"/>
          </rPr>
          <t xml:space="preserve">Data Entry Cell, Quantity, Signage
</t>
        </r>
      </text>
    </comment>
    <comment ref="E33" authorId="1" shapeId="0" xr:uid="{00000000-0006-0000-0500-000080000000}">
      <text>
        <r>
          <rPr>
            <b/>
            <sz val="10"/>
            <color indexed="81"/>
            <rFont val="Tahoma"/>
            <family val="2"/>
          </rPr>
          <t>Data Entry Cell, Unit of Measure, Signage</t>
        </r>
      </text>
    </comment>
    <comment ref="F33" authorId="1" shapeId="0" xr:uid="{00000000-0006-0000-0500-000081000000}">
      <text>
        <r>
          <rPr>
            <b/>
            <sz val="10"/>
            <color indexed="81"/>
            <rFont val="Tahoma"/>
            <family val="2"/>
          </rPr>
          <t>Data Entry Cell, Replacement Cost for one Unit of Measure, Signage</t>
        </r>
      </text>
    </comment>
    <comment ref="G33" authorId="1" shapeId="0" xr:uid="{00000000-0006-0000-0500-000082000000}">
      <text>
        <r>
          <rPr>
            <b/>
            <sz val="10"/>
            <color indexed="81"/>
            <rFont val="Tahoma"/>
            <family val="2"/>
          </rPr>
          <t>Data Entry Cell, Remaining Useful Life, Signage</t>
        </r>
      </text>
    </comment>
    <comment ref="H33" authorId="1" shapeId="0" xr:uid="{00000000-0006-0000-0500-000083000000}">
      <text>
        <r>
          <rPr>
            <b/>
            <sz val="10"/>
            <color indexed="81"/>
            <rFont val="Tahoma"/>
            <family val="2"/>
          </rPr>
          <t>Data Entry Cell, Estimated Useful Life, Signage</t>
        </r>
      </text>
    </comment>
    <comment ref="D34" authorId="1" shapeId="0" xr:uid="{00000000-0006-0000-0500-000084000000}">
      <text>
        <r>
          <rPr>
            <b/>
            <sz val="10"/>
            <color indexed="81"/>
            <rFont val="Tahoma"/>
            <family val="2"/>
          </rPr>
          <t xml:space="preserve">Data Entry Cell, Quantity, Signage
</t>
        </r>
      </text>
    </comment>
    <comment ref="E34" authorId="1" shapeId="0" xr:uid="{00000000-0006-0000-0500-000085000000}">
      <text>
        <r>
          <rPr>
            <b/>
            <sz val="10"/>
            <color indexed="81"/>
            <rFont val="Tahoma"/>
            <family val="2"/>
          </rPr>
          <t>Data Entry Cell, Unit of Measure, Signage</t>
        </r>
      </text>
    </comment>
    <comment ref="D35" authorId="1" shapeId="0" xr:uid="{00000000-0006-0000-0500-000086000000}">
      <text>
        <r>
          <rPr>
            <b/>
            <sz val="10"/>
            <color indexed="81"/>
            <rFont val="Tahoma"/>
            <family val="2"/>
          </rPr>
          <t xml:space="preserve">Data Entry Cell, Quantity, Signage
</t>
        </r>
      </text>
    </comment>
    <comment ref="E35" authorId="1" shapeId="0" xr:uid="{00000000-0006-0000-0500-000087000000}">
      <text>
        <r>
          <rPr>
            <b/>
            <sz val="10"/>
            <color indexed="81"/>
            <rFont val="Tahoma"/>
            <family val="2"/>
          </rPr>
          <t>Data Entry Cell, Unit of Measure, Signage</t>
        </r>
      </text>
    </comment>
    <comment ref="C36" authorId="0" shapeId="0" xr:uid="{00000000-0006-0000-0500-000088000000}">
      <text>
        <r>
          <rPr>
            <b/>
            <sz val="10"/>
            <color indexed="81"/>
            <rFont val="Verdana"/>
            <family val="2"/>
          </rPr>
          <t>Data Entry Cell, Insert the name of Other Interior 1</t>
        </r>
      </text>
    </comment>
    <comment ref="D36" authorId="1" shapeId="0" xr:uid="{00000000-0006-0000-0500-000089000000}">
      <text>
        <r>
          <rPr>
            <b/>
            <sz val="10"/>
            <color indexed="81"/>
            <rFont val="Tahoma"/>
            <family val="2"/>
          </rPr>
          <t xml:space="preserve">Data Entry Cell, Quantity, Signage
</t>
        </r>
      </text>
    </comment>
    <comment ref="E36" authorId="1" shapeId="0" xr:uid="{00000000-0006-0000-0500-00008A000000}">
      <text>
        <r>
          <rPr>
            <b/>
            <sz val="10"/>
            <color indexed="81"/>
            <rFont val="Tahoma"/>
            <family val="2"/>
          </rPr>
          <t>Data Entry Cell, Unit of Measure, Signage</t>
        </r>
      </text>
    </comment>
    <comment ref="F36" authorId="1" shapeId="0" xr:uid="{00000000-0006-0000-0500-00008B000000}">
      <text>
        <r>
          <rPr>
            <b/>
            <sz val="10"/>
            <color indexed="81"/>
            <rFont val="Tahoma"/>
            <family val="2"/>
          </rPr>
          <t>Data Entry Cell, Replacement Cost for one Unit of Measure, Signage</t>
        </r>
      </text>
    </comment>
    <comment ref="G36" authorId="1" shapeId="0" xr:uid="{00000000-0006-0000-0500-00008C000000}">
      <text>
        <r>
          <rPr>
            <b/>
            <sz val="10"/>
            <color indexed="81"/>
            <rFont val="Tahoma"/>
            <family val="2"/>
          </rPr>
          <t>Data Entry Cell, Remaining Useful Life, Signage</t>
        </r>
      </text>
    </comment>
    <comment ref="H36" authorId="1" shapeId="0" xr:uid="{00000000-0006-0000-0500-00008D000000}">
      <text>
        <r>
          <rPr>
            <b/>
            <sz val="10"/>
            <color indexed="81"/>
            <rFont val="Tahoma"/>
            <family val="2"/>
          </rPr>
          <t>Data Entry Cell, Estimated Useful Life, Signage</t>
        </r>
      </text>
    </comment>
    <comment ref="C37" authorId="0" shapeId="0" xr:uid="{00000000-0006-0000-0500-00008E000000}">
      <text>
        <r>
          <rPr>
            <b/>
            <sz val="10"/>
            <color indexed="81"/>
            <rFont val="Verdana"/>
            <family val="2"/>
          </rPr>
          <t>Data Entry Cell, Insert the name of Other Interior 1</t>
        </r>
      </text>
    </comment>
    <comment ref="D37" authorId="1" shapeId="0" xr:uid="{00000000-0006-0000-0500-00008F000000}">
      <text>
        <r>
          <rPr>
            <b/>
            <sz val="10"/>
            <color indexed="81"/>
            <rFont val="Tahoma"/>
            <family val="2"/>
          </rPr>
          <t xml:space="preserve">Data Entry Cell, Quantity, Signage
</t>
        </r>
      </text>
    </comment>
    <comment ref="E37" authorId="1" shapeId="0" xr:uid="{00000000-0006-0000-0500-000090000000}">
      <text>
        <r>
          <rPr>
            <b/>
            <sz val="10"/>
            <color indexed="81"/>
            <rFont val="Tahoma"/>
            <family val="2"/>
          </rPr>
          <t>Data Entry Cell, Unit of Measure, Signage</t>
        </r>
      </text>
    </comment>
    <comment ref="F37" authorId="1" shapeId="0" xr:uid="{00000000-0006-0000-0500-000091000000}">
      <text>
        <r>
          <rPr>
            <b/>
            <sz val="10"/>
            <color indexed="81"/>
            <rFont val="Tahoma"/>
            <family val="2"/>
          </rPr>
          <t>Data Entry Cell, Replacement Cost for one Unit of Measure, Signage</t>
        </r>
      </text>
    </comment>
    <comment ref="G37" authorId="1" shapeId="0" xr:uid="{00000000-0006-0000-0500-000092000000}">
      <text>
        <r>
          <rPr>
            <b/>
            <sz val="10"/>
            <color indexed="81"/>
            <rFont val="Tahoma"/>
            <family val="2"/>
          </rPr>
          <t>Data Entry Cell, Remaining Useful Life, Signage</t>
        </r>
      </text>
    </comment>
    <comment ref="H37" authorId="1" shapeId="0" xr:uid="{00000000-0006-0000-0500-000093000000}">
      <text>
        <r>
          <rPr>
            <b/>
            <sz val="10"/>
            <color indexed="81"/>
            <rFont val="Tahoma"/>
            <family val="2"/>
          </rPr>
          <t>Data Entry Cell, Estimated Useful Life, Signage</t>
        </r>
      </text>
    </comment>
    <comment ref="C38" authorId="0" shapeId="0" xr:uid="{00000000-0006-0000-0500-000094000000}">
      <text>
        <r>
          <rPr>
            <b/>
            <sz val="10"/>
            <color indexed="81"/>
            <rFont val="Verdana"/>
            <family val="2"/>
          </rPr>
          <t>Data Entry Cell, Insert the name of Other Interior 1</t>
        </r>
      </text>
    </comment>
    <comment ref="D38" authorId="1" shapeId="0" xr:uid="{00000000-0006-0000-0500-000095000000}">
      <text>
        <r>
          <rPr>
            <b/>
            <sz val="10"/>
            <color indexed="81"/>
            <rFont val="Tahoma"/>
            <family val="2"/>
          </rPr>
          <t xml:space="preserve">Data Entry Cell, Quantity, Signage
</t>
        </r>
      </text>
    </comment>
    <comment ref="E38" authorId="1" shapeId="0" xr:uid="{00000000-0006-0000-0500-000096000000}">
      <text>
        <r>
          <rPr>
            <b/>
            <sz val="10"/>
            <color indexed="81"/>
            <rFont val="Tahoma"/>
            <family val="2"/>
          </rPr>
          <t>Data Entry Cell, Unit of Measure, Signage</t>
        </r>
      </text>
    </comment>
    <comment ref="F38" authorId="1" shapeId="0" xr:uid="{00000000-0006-0000-0500-000097000000}">
      <text>
        <r>
          <rPr>
            <b/>
            <sz val="10"/>
            <color indexed="81"/>
            <rFont val="Tahoma"/>
            <family val="2"/>
          </rPr>
          <t>Data Entry Cell, Replacement Cost for one Unit of Measure, Signage</t>
        </r>
      </text>
    </comment>
    <comment ref="G38" authorId="1" shapeId="0" xr:uid="{00000000-0006-0000-0500-000098000000}">
      <text>
        <r>
          <rPr>
            <b/>
            <sz val="10"/>
            <color indexed="81"/>
            <rFont val="Tahoma"/>
            <family val="2"/>
          </rPr>
          <t>Data Entry Cell, Remaining Useful Life, Signage</t>
        </r>
      </text>
    </comment>
    <comment ref="H38" authorId="1" shapeId="0" xr:uid="{00000000-0006-0000-0500-000099000000}">
      <text>
        <r>
          <rPr>
            <b/>
            <sz val="10"/>
            <color indexed="81"/>
            <rFont val="Tahoma"/>
            <family val="2"/>
          </rPr>
          <t>Data Entry Cell, Estimated Useful Life, Signage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13026</author>
    <author>Jon Ruona</author>
  </authors>
  <commentList>
    <comment ref="D6" authorId="0" shapeId="0" xr:uid="{00000000-0006-0000-0600-000001000000}">
      <text>
        <r>
          <rPr>
            <b/>
            <sz val="10"/>
            <color indexed="81"/>
            <rFont val="Tahoma"/>
            <family val="2"/>
          </rPr>
          <t>Data Entry Cell, Intended HOME Commitment Date</t>
        </r>
      </text>
    </comment>
    <comment ref="D8" authorId="0" shapeId="0" xr:uid="{00000000-0006-0000-0600-000002000000}">
      <text>
        <r>
          <rPr>
            <b/>
            <sz val="10"/>
            <color indexed="81"/>
            <rFont val="Tahoma"/>
            <family val="2"/>
          </rPr>
          <t>Data Entry Cell, Intended HOME Commitment Date</t>
        </r>
      </text>
    </comment>
    <comment ref="D9" authorId="0" shapeId="0" xr:uid="{00000000-0006-0000-0600-000003000000}">
      <text>
        <r>
          <rPr>
            <b/>
            <sz val="10"/>
            <color indexed="81"/>
            <rFont val="Tahoma"/>
            <family val="2"/>
          </rPr>
          <t>Data Entry Cell, Intended HOME Commitment Date</t>
        </r>
      </text>
    </comment>
    <comment ref="C10" authorId="1" shapeId="0" xr:uid="{00000000-0006-0000-0600-000004000000}">
      <text>
        <r>
          <rPr>
            <b/>
            <sz val="10"/>
            <color indexed="81"/>
            <rFont val="Verdana"/>
            <family val="2"/>
          </rPr>
          <t>Data Entry Cell, Insert the name of Other Construction Milestone #1</t>
        </r>
      </text>
    </comment>
    <comment ref="D10" authorId="0" shapeId="0" xr:uid="{00000000-0006-0000-0600-000005000000}">
      <text>
        <r>
          <rPr>
            <b/>
            <sz val="10"/>
            <color indexed="81"/>
            <rFont val="Tahoma"/>
            <family val="2"/>
          </rPr>
          <t>Data Entry Cell, Other Construction Milestone #1</t>
        </r>
      </text>
    </comment>
    <comment ref="C11" authorId="1" shapeId="0" xr:uid="{00000000-0006-0000-0600-000006000000}">
      <text>
        <r>
          <rPr>
            <b/>
            <sz val="10"/>
            <color indexed="81"/>
            <rFont val="Verdana"/>
            <family val="2"/>
          </rPr>
          <t>Data Entry Cell, Insert the name of Other Construction Milestone #2</t>
        </r>
      </text>
    </comment>
    <comment ref="D11" authorId="0" shapeId="0" xr:uid="{00000000-0006-0000-0600-000007000000}">
      <text>
        <r>
          <rPr>
            <b/>
            <sz val="10"/>
            <color indexed="81"/>
            <rFont val="Tahoma"/>
            <family val="2"/>
          </rPr>
          <t>Data Entry Cell, Other Construction Milestone #2</t>
        </r>
      </text>
    </comment>
    <comment ref="C12" authorId="1" shapeId="0" xr:uid="{00000000-0006-0000-0600-000008000000}">
      <text>
        <r>
          <rPr>
            <b/>
            <sz val="10"/>
            <color indexed="81"/>
            <rFont val="Verdana"/>
            <family val="2"/>
          </rPr>
          <t>Data Entry Cell, Insert the name of Other Construction Milestone #3</t>
        </r>
      </text>
    </comment>
    <comment ref="D12" authorId="0" shapeId="0" xr:uid="{00000000-0006-0000-0600-000009000000}">
      <text>
        <r>
          <rPr>
            <b/>
            <sz val="10"/>
            <color indexed="81"/>
            <rFont val="Tahoma"/>
            <family val="2"/>
          </rPr>
          <t>Data Entry Cell, Other Construction Milestone #3</t>
        </r>
      </text>
    </comment>
    <comment ref="C13" authorId="1" shapeId="0" xr:uid="{00000000-0006-0000-0600-00000A000000}">
      <text>
        <r>
          <rPr>
            <b/>
            <sz val="10"/>
            <color indexed="81"/>
            <rFont val="Verdana"/>
            <family val="2"/>
          </rPr>
          <t>Data Entry Cell, Insert the name of Other Construction Milestone #4</t>
        </r>
      </text>
    </comment>
    <comment ref="D13" authorId="0" shapeId="0" xr:uid="{00000000-0006-0000-0600-00000B000000}">
      <text>
        <r>
          <rPr>
            <b/>
            <sz val="10"/>
            <color indexed="81"/>
            <rFont val="Tahoma"/>
            <family val="2"/>
          </rPr>
          <t>Data Entry Cell, Other Construction Milestone #4</t>
        </r>
      </text>
    </comment>
    <comment ref="D14" authorId="0" shapeId="0" xr:uid="{00000000-0006-0000-0600-00000C000000}">
      <text>
        <r>
          <rPr>
            <b/>
            <sz val="10"/>
            <color indexed="81"/>
            <rFont val="Tahoma"/>
            <family val="2"/>
          </rPr>
          <t>Data Entry Cell, First Building Completion Date</t>
        </r>
      </text>
    </comment>
    <comment ref="D15" authorId="0" shapeId="0" xr:uid="{00000000-0006-0000-0600-00000D000000}">
      <text>
        <r>
          <rPr>
            <b/>
            <sz val="10"/>
            <color indexed="81"/>
            <rFont val="Tahoma"/>
            <family val="2"/>
          </rPr>
          <t>Data Entry Cell, Last Building Completion Date</t>
        </r>
      </text>
    </comment>
    <comment ref="D18" authorId="0" shapeId="0" xr:uid="{00000000-0006-0000-0600-00000E000000}">
      <text>
        <r>
          <rPr>
            <b/>
            <sz val="10"/>
            <color indexed="81"/>
            <rFont val="Tahoma"/>
            <family val="2"/>
          </rPr>
          <t>Data Entry Cell, Last Building Completion Date</t>
        </r>
      </text>
    </comment>
    <comment ref="D20" authorId="0" shapeId="0" xr:uid="{00000000-0006-0000-0600-00000F000000}">
      <text>
        <r>
          <rPr>
            <b/>
            <sz val="10"/>
            <color indexed="81"/>
            <rFont val="Tahoma"/>
            <family val="2"/>
          </rPr>
          <t>Data Entry Cell, Last Building Completion Date</t>
        </r>
      </text>
    </comment>
    <comment ref="C27" authorId="0" shapeId="0" xr:uid="{00000000-0006-0000-0600-000010000000}">
      <text>
        <r>
          <rPr>
            <b/>
            <sz val="10"/>
            <color indexed="81"/>
            <rFont val="Tahoma"/>
            <family val="2"/>
          </rPr>
          <t>Data Entry Cell, Comment on Construction Schedule</t>
        </r>
      </text>
    </comment>
    <comment ref="C34" authorId="0" shapeId="0" xr:uid="{00000000-0006-0000-0600-000011000000}">
      <text>
        <r>
          <rPr>
            <b/>
            <sz val="10"/>
            <color indexed="81"/>
            <rFont val="Tahoma"/>
            <family val="2"/>
          </rPr>
          <t>Data Entry Cell, Comment on Construction Schedule</t>
        </r>
      </text>
    </comment>
    <comment ref="C37" authorId="0" shapeId="0" xr:uid="{00000000-0006-0000-0600-000012000000}">
      <text>
        <r>
          <rPr>
            <b/>
            <sz val="10"/>
            <color indexed="81"/>
            <rFont val="Tahoma"/>
            <family val="2"/>
          </rPr>
          <t>Data Entry Cell, Comment on Construction Schedule</t>
        </r>
      </text>
    </comment>
    <comment ref="C41" authorId="0" shapeId="0" xr:uid="{00000000-0006-0000-0600-000013000000}">
      <text>
        <r>
          <rPr>
            <b/>
            <sz val="10"/>
            <color indexed="81"/>
            <rFont val="Tahoma"/>
            <family val="2"/>
          </rPr>
          <t>Data Entry Cell, Comment on Construction Schedule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s>
  <commentList>
    <comment ref="A6" authorId="0" shapeId="0" xr:uid="{00000000-0006-0000-0700-000001000000}">
      <text>
        <r>
          <rPr>
            <b/>
            <sz val="8"/>
            <color indexed="81"/>
            <rFont val="Tahoma"/>
            <family val="2"/>
          </rPr>
          <t>LIHTC Eligible Basis is equal to the development costs that are considered 'eligible' for the calculation of low income housing tax credits. See the Development Costs worksheet for columns that show 'Acquisition Basis', 'Construction Basis' and 'Costs Outside Basis', and the corresponding guidance for those individual line items.</t>
        </r>
      </text>
    </comment>
    <comment ref="A10" authorId="0" shapeId="0" xr:uid="{00000000-0006-0000-0700-000002000000}">
      <text>
        <r>
          <rPr>
            <b/>
            <sz val="8"/>
            <color indexed="81"/>
            <rFont val="Tahoma"/>
            <family val="2"/>
          </rPr>
          <t xml:space="preserve">In general, any sources of funds that are </t>
        </r>
        <r>
          <rPr>
            <b/>
            <u/>
            <sz val="8"/>
            <color indexed="81"/>
            <rFont val="Tahoma"/>
            <family val="2"/>
          </rPr>
          <t>grants</t>
        </r>
        <r>
          <rPr>
            <b/>
            <sz val="8"/>
            <color indexed="81"/>
            <rFont val="Tahoma"/>
            <family val="2"/>
          </rPr>
          <t xml:space="preserve"> will result in a dollar for dollar reduction in LIHTC eligible basis.  
If the sources of funds include any soft loans or any below-market-interest-rate loans, ask the developer whether any of these loans may result in reduction of LIHTC eligible basis.</t>
        </r>
      </text>
    </comment>
    <comment ref="C11" authorId="0" shapeId="0" xr:uid="{00000000-0006-0000-0700-000003000000}">
      <text>
        <r>
          <rPr>
            <b/>
            <sz val="10"/>
            <color indexed="81"/>
            <rFont val="Verdana"/>
            <family val="2"/>
          </rPr>
          <t>Data Entry Cell, LIHTC Ineligible Source #1</t>
        </r>
      </text>
    </comment>
    <comment ref="D11" authorId="0" shapeId="0" xr:uid="{00000000-0006-0000-0700-000004000000}">
      <text>
        <r>
          <rPr>
            <b/>
            <sz val="10"/>
            <color indexed="81"/>
            <rFont val="Verdana"/>
            <family val="2"/>
          </rPr>
          <t>Data Entry Cell, LIHTC Ineligible Source #1 Acquisition Cost</t>
        </r>
      </text>
    </comment>
    <comment ref="F11" authorId="0" shapeId="0" xr:uid="{00000000-0006-0000-0700-000005000000}">
      <text>
        <r>
          <rPr>
            <b/>
            <sz val="10"/>
            <color indexed="81"/>
            <rFont val="Verdana"/>
            <family val="2"/>
          </rPr>
          <t>Data Entry Cell, LIHTC Ineligible Source #1 Construction Cost</t>
        </r>
      </text>
    </comment>
    <comment ref="C12" authorId="0" shapeId="0" xr:uid="{00000000-0006-0000-0700-000006000000}">
      <text>
        <r>
          <rPr>
            <b/>
            <sz val="10"/>
            <color indexed="81"/>
            <rFont val="Verdana"/>
            <family val="2"/>
          </rPr>
          <t>Data Entry Cell, LIHTC Ineligible Source #2</t>
        </r>
      </text>
    </comment>
    <comment ref="D12" authorId="0" shapeId="0" xr:uid="{00000000-0006-0000-0700-000007000000}">
      <text>
        <r>
          <rPr>
            <b/>
            <sz val="10"/>
            <color indexed="81"/>
            <rFont val="Verdana"/>
            <family val="2"/>
          </rPr>
          <t>Data Entry Cell, LIHTC Ineligible Source #2 Acquisition Cost</t>
        </r>
      </text>
    </comment>
    <comment ref="F12" authorId="0" shapeId="0" xr:uid="{00000000-0006-0000-0700-000008000000}">
      <text>
        <r>
          <rPr>
            <b/>
            <sz val="10"/>
            <color indexed="81"/>
            <rFont val="Verdana"/>
            <family val="2"/>
          </rPr>
          <t>Data Entry Cell, LIHTC Ineligible Source #2 Construction Cost</t>
        </r>
      </text>
    </comment>
    <comment ref="C13" authorId="0" shapeId="0" xr:uid="{00000000-0006-0000-0700-000009000000}">
      <text>
        <r>
          <rPr>
            <b/>
            <sz val="10"/>
            <color indexed="81"/>
            <rFont val="Verdana"/>
            <family val="2"/>
          </rPr>
          <t>Data Entry Cell, LIHTC Ineligible Source #3</t>
        </r>
      </text>
    </comment>
    <comment ref="D13" authorId="0" shapeId="0" xr:uid="{00000000-0006-0000-0700-00000A000000}">
      <text>
        <r>
          <rPr>
            <b/>
            <sz val="10"/>
            <color indexed="81"/>
            <rFont val="Verdana"/>
            <family val="2"/>
          </rPr>
          <t>Data Entry Cell, LIHTC Ineligible Source #3 Acquisition Cost</t>
        </r>
      </text>
    </comment>
    <comment ref="F13" authorId="0" shapeId="0" xr:uid="{00000000-0006-0000-0700-00000B000000}">
      <text>
        <r>
          <rPr>
            <b/>
            <sz val="10"/>
            <color indexed="81"/>
            <rFont val="Verdana"/>
            <family val="2"/>
          </rPr>
          <t>Data Entry Cell, LIHTC Ineligible Source #3 Construction Cost</t>
        </r>
      </text>
    </comment>
    <comment ref="C14" authorId="0" shapeId="0" xr:uid="{00000000-0006-0000-0700-00000C000000}">
      <text>
        <r>
          <rPr>
            <b/>
            <sz val="10"/>
            <color indexed="81"/>
            <rFont val="Verdana"/>
            <family val="2"/>
          </rPr>
          <t>Data Entry Cell, LIHTC Ineligible Source #4</t>
        </r>
      </text>
    </comment>
    <comment ref="D14" authorId="0" shapeId="0" xr:uid="{00000000-0006-0000-0700-00000D000000}">
      <text>
        <r>
          <rPr>
            <b/>
            <sz val="10"/>
            <color indexed="81"/>
            <rFont val="Verdana"/>
            <family val="2"/>
          </rPr>
          <t>Data Entry Cell, LIHTC Ineligible Source #4 Acquisition Cost</t>
        </r>
      </text>
    </comment>
    <comment ref="F14" authorId="0" shapeId="0" xr:uid="{00000000-0006-0000-0700-00000E000000}">
      <text>
        <r>
          <rPr>
            <b/>
            <sz val="10"/>
            <color indexed="81"/>
            <rFont val="Verdana"/>
            <family val="2"/>
          </rPr>
          <t>Data Entry Cell, LIHTC Ineligible Source #4 Construction Cost</t>
        </r>
      </text>
    </comment>
    <comment ref="C15" authorId="0" shapeId="0" xr:uid="{00000000-0006-0000-0700-00000F000000}">
      <text>
        <r>
          <rPr>
            <b/>
            <sz val="10"/>
            <color indexed="81"/>
            <rFont val="Verdana"/>
            <family val="2"/>
          </rPr>
          <t xml:space="preserve">Data Entry Cell, LIHTC Ineligible Source #5
</t>
        </r>
      </text>
    </comment>
    <comment ref="D15" authorId="0" shapeId="0" xr:uid="{00000000-0006-0000-0700-000010000000}">
      <text>
        <r>
          <rPr>
            <b/>
            <sz val="10"/>
            <color indexed="81"/>
            <rFont val="Verdana"/>
            <family val="2"/>
          </rPr>
          <t>Data Entry Cell, LIHTC Ineligible Source #5 Acquisition Cost</t>
        </r>
      </text>
    </comment>
    <comment ref="F15" authorId="0" shapeId="0" xr:uid="{00000000-0006-0000-0700-000011000000}">
      <text>
        <r>
          <rPr>
            <b/>
            <sz val="10"/>
            <color indexed="81"/>
            <rFont val="Verdana"/>
            <family val="2"/>
          </rPr>
          <t>Data Entry Cell, LIHTC Ineligible Source #5 Construction Cost</t>
        </r>
      </text>
    </comment>
    <comment ref="C16" authorId="0" shapeId="0" xr:uid="{00000000-0006-0000-0700-000012000000}">
      <text>
        <r>
          <rPr>
            <b/>
            <sz val="10"/>
            <color indexed="81"/>
            <rFont val="Verdana"/>
            <family val="2"/>
          </rPr>
          <t>Data Entry Cell, LIHTC Ineligible Source #6</t>
        </r>
      </text>
    </comment>
    <comment ref="D16" authorId="0" shapeId="0" xr:uid="{00000000-0006-0000-0700-000013000000}">
      <text>
        <r>
          <rPr>
            <b/>
            <sz val="10"/>
            <color indexed="81"/>
            <rFont val="Verdana"/>
            <family val="2"/>
          </rPr>
          <t>Data Entry Cell, LIHTC Ineligible Source #6 Acquisition Cost</t>
        </r>
      </text>
    </comment>
    <comment ref="F16" authorId="0" shapeId="0" xr:uid="{00000000-0006-0000-0700-000014000000}">
      <text>
        <r>
          <rPr>
            <b/>
            <sz val="10"/>
            <color indexed="81"/>
            <rFont val="Verdana"/>
            <family val="2"/>
          </rPr>
          <t>Data Entry Cell, LIHTC Ineligible Source #6 Construction Cost</t>
        </r>
      </text>
    </comment>
    <comment ref="C17" authorId="0" shapeId="0" xr:uid="{00000000-0006-0000-0700-000015000000}">
      <text>
        <r>
          <rPr>
            <b/>
            <sz val="10"/>
            <color indexed="81"/>
            <rFont val="Verdana"/>
            <family val="2"/>
          </rPr>
          <t>Data Entry Cell, LIHTC Ineligible Source #7</t>
        </r>
      </text>
    </comment>
    <comment ref="D17" authorId="0" shapeId="0" xr:uid="{00000000-0006-0000-0700-000016000000}">
      <text>
        <r>
          <rPr>
            <b/>
            <sz val="10"/>
            <color indexed="81"/>
            <rFont val="Verdana"/>
            <family val="2"/>
          </rPr>
          <t>Data Entry Cell, LIHTC Ineligible Source #7 Acquisition Cost</t>
        </r>
      </text>
    </comment>
    <comment ref="F17" authorId="0" shapeId="0" xr:uid="{00000000-0006-0000-0700-000017000000}">
      <text>
        <r>
          <rPr>
            <b/>
            <sz val="10"/>
            <color indexed="81"/>
            <rFont val="Verdana"/>
            <family val="2"/>
          </rPr>
          <t>Data Entry Cell, LIHTC Ineligible Source #7 Construction Cost</t>
        </r>
      </text>
    </comment>
    <comment ref="C18" authorId="0" shapeId="0" xr:uid="{00000000-0006-0000-0700-000018000000}">
      <text>
        <r>
          <rPr>
            <b/>
            <sz val="10"/>
            <color indexed="81"/>
            <rFont val="Verdana"/>
            <family val="2"/>
          </rPr>
          <t>Data Entry Cell, LIHTC Ineligible Source #8</t>
        </r>
      </text>
    </comment>
    <comment ref="D18" authorId="0" shapeId="0" xr:uid="{00000000-0006-0000-0700-000019000000}">
      <text>
        <r>
          <rPr>
            <b/>
            <sz val="10"/>
            <color indexed="81"/>
            <rFont val="Verdana"/>
            <family val="2"/>
          </rPr>
          <t>Data Entry Cell, LIHTC Ineligible Source #8 Acquisition Cost</t>
        </r>
      </text>
    </comment>
    <comment ref="F18" authorId="0" shapeId="0" xr:uid="{00000000-0006-0000-0700-00001A000000}">
      <text>
        <r>
          <rPr>
            <b/>
            <sz val="10"/>
            <color indexed="81"/>
            <rFont val="Verdana"/>
            <family val="2"/>
          </rPr>
          <t>Data Entry Cell, LIHTC Ineligible Source #8 Construction Cost</t>
        </r>
      </text>
    </comment>
    <comment ref="A37" authorId="0" shapeId="0" xr:uid="{00000000-0006-0000-0700-00001B000000}">
      <text>
        <r>
          <rPr>
            <b/>
            <sz val="8"/>
            <color indexed="81"/>
            <rFont val="Tahoma"/>
            <family val="2"/>
          </rPr>
          <t xml:space="preserve">The LIHTC program rules provide that the 'applicable fraction' (the percentage of the project that is eligible for LIHTCs) is the lowest of (a) the fraction of </t>
        </r>
        <r>
          <rPr>
            <b/>
            <u/>
            <sz val="8"/>
            <color indexed="81"/>
            <rFont val="Tahoma"/>
            <family val="2"/>
          </rPr>
          <t>units</t>
        </r>
        <r>
          <rPr>
            <b/>
            <sz val="8"/>
            <color indexed="81"/>
            <rFont val="Tahoma"/>
            <family val="2"/>
          </rPr>
          <t xml:space="preserve"> that are LIHTC-restricted and (b) the fraction of </t>
        </r>
        <r>
          <rPr>
            <b/>
            <u/>
            <sz val="8"/>
            <color indexed="81"/>
            <rFont val="Tahoma"/>
            <family val="2"/>
          </rPr>
          <t>square feet</t>
        </r>
        <r>
          <rPr>
            <b/>
            <sz val="8"/>
            <color indexed="81"/>
            <rFont val="Tahoma"/>
            <family val="2"/>
          </rPr>
          <t xml:space="preserve"> in LIHTC-restricted units.
LIHTC rules require that this calculation be made on a building-by-building basis, so the computation here (which is calculated on a project-wide basis) is a rough estimate.</t>
        </r>
        <r>
          <rPr>
            <sz val="8"/>
            <color indexed="81"/>
            <rFont val="Tahoma"/>
            <family val="2"/>
          </rPr>
          <t xml:space="preserve">
</t>
        </r>
      </text>
    </comment>
    <comment ref="A43" authorId="0" shapeId="0" xr:uid="{00000000-0006-0000-0700-00001C000000}">
      <text>
        <r>
          <rPr>
            <b/>
            <sz val="8"/>
            <color indexed="81"/>
            <rFont val="Tahoma"/>
            <family val="2"/>
          </rPr>
          <t>Generally, if the project is located in a 'Qualified Census Tract' (QCT) or a 'Difficult Development Area' (DDA), the project may be eligible for a 'boost' factor of 130% rather than the normal 100%.  
Additionally, for 9% LIHTC projects (but not for 4% LIHTC projects), the state LIHTC allocating agency may have authority to award a 'boost' above 100% and up to 130%.</t>
        </r>
        <r>
          <rPr>
            <sz val="8"/>
            <color indexed="81"/>
            <rFont val="Tahoma"/>
            <family val="2"/>
          </rPr>
          <t xml:space="preserve">
</t>
        </r>
      </text>
    </comment>
    <comment ref="G43" authorId="0" shapeId="0" xr:uid="{00000000-0006-0000-0700-00001D000000}">
      <text>
        <r>
          <rPr>
            <b/>
            <sz val="10"/>
            <color indexed="81"/>
            <rFont val="Verdana"/>
            <family val="2"/>
          </rPr>
          <t>Data Entry Cell, Basis Boost Factor %</t>
        </r>
      </text>
    </comment>
    <comment ref="A45" authorId="0" shapeId="0" xr:uid="{00000000-0006-0000-0700-00001E000000}">
      <text>
        <r>
          <rPr>
            <b/>
            <sz val="8"/>
            <color indexed="81"/>
            <rFont val="Tahoma"/>
            <family val="2"/>
          </rPr>
          <t>The Internal Revenue Service publishes LIHTC factors monthly.  The factor for 4% LIHTCs typically is between 3% and 3.75%.  The factor for 9% LIHTCs typically is between 8% and 9%.</t>
        </r>
        <r>
          <rPr>
            <sz val="8"/>
            <color indexed="81"/>
            <rFont val="Tahoma"/>
            <family val="2"/>
          </rPr>
          <t xml:space="preserve">
</t>
        </r>
      </text>
    </comment>
    <comment ref="D45" authorId="0" shapeId="0" xr:uid="{00000000-0006-0000-0700-00001F000000}">
      <text>
        <r>
          <rPr>
            <b/>
            <sz val="10"/>
            <color indexed="81"/>
            <rFont val="Verdana"/>
            <family val="2"/>
          </rPr>
          <t>Data Entry Cell, Credit Factor, Acquisition</t>
        </r>
      </text>
    </comment>
    <comment ref="F45" authorId="0" shapeId="0" xr:uid="{00000000-0006-0000-0700-000020000000}">
      <text>
        <r>
          <rPr>
            <b/>
            <sz val="10"/>
            <color indexed="81"/>
            <rFont val="Verdana"/>
            <family val="2"/>
          </rPr>
          <t>Data Entry Cell, Credit Factor, Construction</t>
        </r>
      </text>
    </comment>
    <comment ref="A49" authorId="0" shapeId="0" xr:uid="{00000000-0006-0000-0700-000021000000}">
      <text>
        <r>
          <rPr>
            <b/>
            <sz val="8"/>
            <color indexed="81"/>
            <rFont val="Tahoma"/>
            <family val="2"/>
          </rPr>
          <t>The LIHTC equity price can be found in the commitment letter from the LIHTC equity investor.  Pricing has varied widely in prior years, with a typical range between 75 cents and 95 cents, but with higher and lower prices occurring occasionally.</t>
        </r>
      </text>
    </comment>
    <comment ref="F49" authorId="0" shapeId="0" xr:uid="{00000000-0006-0000-0700-000022000000}">
      <text>
        <r>
          <rPr>
            <b/>
            <sz val="10"/>
            <color indexed="81"/>
            <rFont val="Verdana"/>
            <family val="2"/>
          </rPr>
          <t>Data Entry Cell, LIHTC Equity Price (per dollar), Construction</t>
        </r>
      </text>
    </comment>
    <comment ref="A54" authorId="0" shapeId="0" xr:uid="{00000000-0006-0000-0700-000023000000}">
      <text>
        <r>
          <rPr>
            <b/>
            <sz val="8"/>
            <color indexed="81"/>
            <rFont val="Tahoma"/>
            <family val="2"/>
          </rPr>
          <t>The Proposed LIHTC Equity amount is from the Sources of Funds statement on the Sources and Uses tab.</t>
        </r>
      </text>
    </comment>
    <comment ref="C56" authorId="1" shapeId="0" xr:uid="{00000000-0006-0000-0700-000024000000}">
      <text>
        <r>
          <rPr>
            <b/>
            <sz val="10"/>
            <color indexed="81"/>
            <rFont val="Tahoma"/>
            <family val="2"/>
          </rPr>
          <t>Data Entry Cell, Comment on Construction Schedule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s>
  <commentList>
    <comment ref="A1" authorId="0" shapeId="0" xr:uid="{00000000-0006-0000-0800-000001000000}">
      <text>
        <r>
          <rPr>
            <b/>
            <sz val="8"/>
            <color indexed="81"/>
            <rFont val="Tahoma"/>
            <family val="2"/>
          </rPr>
          <t>Use this tab to enter the estimated operating expenses for the project.</t>
        </r>
      </text>
    </comment>
    <comment ref="A5" authorId="0" shapeId="0" xr:uid="{00000000-0006-0000-0800-000002000000}">
      <text>
        <r>
          <rPr>
            <b/>
            <sz val="8"/>
            <color indexed="81"/>
            <rFont val="Tahoma"/>
            <family val="2"/>
          </rPr>
          <t xml:space="preserve">Management Fee.  The day-to-day operations of most properties are often handled by a property management company, which will charge a fee in addition to actual costs such as staff salaries and legal fees.  Enter an approximate annual management fee for the property.  </t>
        </r>
      </text>
    </comment>
    <comment ref="D5" authorId="1" shapeId="0" xr:uid="{00000000-0006-0000-0800-000003000000}">
      <text>
        <r>
          <rPr>
            <b/>
            <sz val="10"/>
            <color indexed="81"/>
            <rFont val="Tahoma"/>
            <family val="2"/>
          </rPr>
          <t>Data Entry Cell, Management Fee</t>
        </r>
      </text>
    </comment>
    <comment ref="G5" authorId="1" shapeId="0" xr:uid="{00000000-0006-0000-0800-000004000000}">
      <text>
        <r>
          <rPr>
            <b/>
            <sz val="10"/>
            <color indexed="81"/>
            <rFont val="Tahoma"/>
            <family val="2"/>
          </rPr>
          <t>Data Entry Cell, Comment on Management Fee</t>
        </r>
      </text>
    </comment>
    <comment ref="A6" authorId="0" shapeId="0" xr:uid="{00000000-0006-0000-0800-000005000000}">
      <text>
        <r>
          <rPr>
            <b/>
            <sz val="8"/>
            <color indexed="81"/>
            <rFont val="Tahoma"/>
            <family val="2"/>
          </rPr>
          <t>Management Administrative Payroll Costs.  Management on-site staff include front desk staff, accountants, etc.  Enter the approximate annual cost of the management administrative payroll.</t>
        </r>
      </text>
    </comment>
    <comment ref="D6" authorId="1" shapeId="0" xr:uid="{00000000-0006-0000-0800-000006000000}">
      <text>
        <r>
          <rPr>
            <b/>
            <sz val="10"/>
            <color indexed="81"/>
            <rFont val="Tahoma"/>
            <family val="2"/>
          </rPr>
          <t xml:space="preserve">Data Entry Cell, Management Administrative Payroll Costs </t>
        </r>
      </text>
    </comment>
    <comment ref="G6" authorId="1" shapeId="0" xr:uid="{00000000-0006-0000-0800-000007000000}">
      <text>
        <r>
          <rPr>
            <b/>
            <sz val="10"/>
            <color indexed="81"/>
            <rFont val="Tahoma"/>
            <family val="2"/>
          </rPr>
          <t xml:space="preserve">Data Entry Cell, Comment on Management Administrative Payroll Costs </t>
        </r>
      </text>
    </comment>
    <comment ref="A7" authorId="0" shapeId="0" xr:uid="{00000000-0006-0000-0800-000008000000}">
      <text>
        <r>
          <rPr>
            <b/>
            <sz val="8"/>
            <color indexed="81"/>
            <rFont val="Tahoma"/>
            <family val="2"/>
          </rPr>
          <t>Advertising / Marketing.  An adequate marketing budget can make the difference between a property at full occupancy and a property with a high percentage of vacant units.  Enter the annual advertising / marketing budget.</t>
        </r>
      </text>
    </comment>
    <comment ref="D7" authorId="1" shapeId="0" xr:uid="{00000000-0006-0000-0800-000009000000}">
      <text>
        <r>
          <rPr>
            <b/>
            <sz val="10"/>
            <color indexed="81"/>
            <rFont val="Tahoma"/>
            <family val="2"/>
          </rPr>
          <t>Data Entry Cell, Renting / Marketing Expenses</t>
        </r>
      </text>
    </comment>
    <comment ref="G7" authorId="1" shapeId="0" xr:uid="{00000000-0006-0000-0800-00000A000000}">
      <text>
        <r>
          <rPr>
            <b/>
            <sz val="10"/>
            <color indexed="81"/>
            <rFont val="Tahoma"/>
            <family val="2"/>
          </rPr>
          <t>Data Entry Cell, Comment on Renting / Marketing Expenses</t>
        </r>
      </text>
    </comment>
    <comment ref="A8" authorId="0" shapeId="0" xr:uid="{00000000-0006-0000-0800-00000B000000}">
      <text>
        <r>
          <rPr>
            <b/>
            <sz val="8"/>
            <color indexed="81"/>
            <rFont val="Tahoma"/>
            <family val="2"/>
          </rPr>
          <t>Legal Fees.  Enter the approximate annual expense of legal assistance with contracts, lease agreements, etc.</t>
        </r>
      </text>
    </comment>
    <comment ref="D8" authorId="1" shapeId="0" xr:uid="{00000000-0006-0000-0800-00000C000000}">
      <text>
        <r>
          <rPr>
            <b/>
            <sz val="10"/>
            <color indexed="81"/>
            <rFont val="Tahoma"/>
            <family val="2"/>
          </rPr>
          <t xml:space="preserve">Data Entry Cell, Legal Fees </t>
        </r>
      </text>
    </comment>
    <comment ref="G8" authorId="1" shapeId="0" xr:uid="{00000000-0006-0000-0800-00000D000000}">
      <text>
        <r>
          <rPr>
            <b/>
            <sz val="10"/>
            <color indexed="81"/>
            <rFont val="Tahoma"/>
            <family val="2"/>
          </rPr>
          <t xml:space="preserve">Data Entry Cell, Comment on Legal Fees </t>
        </r>
      </text>
    </comment>
    <comment ref="A9" authorId="0" shapeId="0" xr:uid="{00000000-0006-0000-0800-00000E000000}">
      <text>
        <r>
          <rPr>
            <b/>
            <sz val="8"/>
            <color indexed="81"/>
            <rFont val="Tahoma"/>
            <family val="2"/>
          </rPr>
          <t xml:space="preserve">Accounting / Audit Fees.  Enter the annual expense associated with ongoing accounting assistance and any audit requirements.  
</t>
        </r>
      </text>
    </comment>
    <comment ref="D9" authorId="1" shapeId="0" xr:uid="{00000000-0006-0000-0800-00000F000000}">
      <text>
        <r>
          <rPr>
            <b/>
            <sz val="10"/>
            <color indexed="81"/>
            <rFont val="Tahoma"/>
            <family val="2"/>
          </rPr>
          <t xml:space="preserve">Data Entry Cell, Accounting/
Audit Fees </t>
        </r>
      </text>
    </comment>
    <comment ref="G9" authorId="1" shapeId="0" xr:uid="{00000000-0006-0000-0800-000010000000}">
      <text>
        <r>
          <rPr>
            <b/>
            <sz val="10"/>
            <color indexed="81"/>
            <rFont val="Tahoma"/>
            <family val="2"/>
          </rPr>
          <t xml:space="preserve">Data Entry Cell, Comment on Accounting/
Audit Fees </t>
        </r>
      </text>
    </comment>
    <comment ref="A10" authorId="0" shapeId="0" xr:uid="{00000000-0006-0000-0800-000011000000}">
      <text>
        <r>
          <rPr>
            <b/>
            <sz val="8"/>
            <color indexed="81"/>
            <rFont val="Tahoma"/>
            <family val="2"/>
          </rPr>
          <t>Telephone / Office Supplies.  Enter the annual cost of these routine expenses.</t>
        </r>
      </text>
    </comment>
    <comment ref="D10" authorId="1" shapeId="0" xr:uid="{00000000-0006-0000-0800-000012000000}">
      <text>
        <r>
          <rPr>
            <b/>
            <sz val="10"/>
            <color indexed="81"/>
            <rFont val="Tahoma"/>
            <family val="2"/>
          </rPr>
          <t xml:space="preserve">Data Entry Cell, Telephone Cost </t>
        </r>
      </text>
    </comment>
    <comment ref="G10" authorId="1" shapeId="0" xr:uid="{00000000-0006-0000-0800-000013000000}">
      <text>
        <r>
          <rPr>
            <b/>
            <sz val="10"/>
            <color indexed="81"/>
            <rFont val="Tahoma"/>
            <family val="2"/>
          </rPr>
          <t xml:space="preserve">Data Entry Cell, Comment on Telephone Cost </t>
        </r>
      </text>
    </comment>
    <comment ref="D11" authorId="1" shapeId="0" xr:uid="{00000000-0006-0000-0800-000014000000}">
      <text>
        <r>
          <rPr>
            <b/>
            <sz val="10"/>
            <color indexed="81"/>
            <rFont val="Tahoma"/>
            <family val="2"/>
          </rPr>
          <t xml:space="preserve">Data Entry Cell, Office Supplies Cost </t>
        </r>
      </text>
    </comment>
    <comment ref="G11" authorId="1" shapeId="0" xr:uid="{00000000-0006-0000-0800-000015000000}">
      <text>
        <r>
          <rPr>
            <b/>
            <sz val="10"/>
            <color indexed="81"/>
            <rFont val="Tahoma"/>
            <family val="2"/>
          </rPr>
          <t xml:space="preserve">Data Entry Cell, Comment on Office Supplies Cost </t>
        </r>
      </text>
    </comment>
    <comment ref="A12" authorId="0" shapeId="0" xr:uid="{00000000-0006-0000-0800-000016000000}">
      <text>
        <r>
          <rPr>
            <b/>
            <sz val="8"/>
            <color indexed="81"/>
            <rFont val="Tahoma"/>
            <family val="2"/>
          </rPr>
          <t xml:space="preserve">PJ Monitoring Fee.  24 CFR 92.504(d)(1) allows the PJ to charge a monitoring fee but requires that the monitoring fee be included in the underwriting.  
</t>
        </r>
      </text>
    </comment>
    <comment ref="D12" authorId="1" shapeId="0" xr:uid="{00000000-0006-0000-0800-000017000000}">
      <text>
        <r>
          <rPr>
            <b/>
            <sz val="10"/>
            <color indexed="81"/>
            <rFont val="Tahoma"/>
            <family val="2"/>
          </rPr>
          <t>Data Entry Cell, PJ Monitoring Fee</t>
        </r>
      </text>
    </comment>
    <comment ref="G12" authorId="1" shapeId="0" xr:uid="{00000000-0006-0000-0800-000018000000}">
      <text>
        <r>
          <rPr>
            <b/>
            <sz val="10"/>
            <color indexed="81"/>
            <rFont val="Tahoma"/>
            <family val="2"/>
          </rPr>
          <t xml:space="preserve">Data Entry Cell, Comment on PJ Monitoring Fee </t>
        </r>
      </text>
    </comment>
    <comment ref="A13" authorId="0" shapeId="0" xr:uid="{00000000-0006-0000-0800-000019000000}">
      <text>
        <r>
          <rPr>
            <b/>
            <sz val="8"/>
            <color indexed="81"/>
            <rFont val="Tahoma"/>
            <family val="2"/>
          </rPr>
          <t xml:space="preserve">Use the Other Administrative / Management Expenses field to enter related costs that are not represented by the other items in this category.  Enter a label (replacing the “Other Administrative / Management Expenses” text) and an amount.  If you do not need to use this field, simply leave it blank.
</t>
        </r>
      </text>
    </comment>
    <comment ref="C13" authorId="0" shapeId="0" xr:uid="{00000000-0006-0000-0800-00001A000000}">
      <text>
        <r>
          <rPr>
            <b/>
            <sz val="10"/>
            <color indexed="81"/>
            <rFont val="Verdana"/>
            <family val="2"/>
          </rPr>
          <t>Data Entry Cell, Insert the name of Other Administrative / Management Expenses #1</t>
        </r>
      </text>
    </comment>
    <comment ref="D13" authorId="1" shapeId="0" xr:uid="{00000000-0006-0000-0800-00001B000000}">
      <text>
        <r>
          <rPr>
            <b/>
            <sz val="10"/>
            <color indexed="81"/>
            <rFont val="Tahoma"/>
            <family val="2"/>
          </rPr>
          <t>Data Entry Cell, Other Administrative / Management Expenses #1</t>
        </r>
      </text>
    </comment>
    <comment ref="G13" authorId="1" shapeId="0" xr:uid="{00000000-0006-0000-0800-00001C000000}">
      <text>
        <r>
          <rPr>
            <b/>
            <sz val="10"/>
            <color indexed="81"/>
            <rFont val="Tahoma"/>
            <family val="2"/>
          </rPr>
          <t>Data Entry Cell, Comment on Other Administrative Expenses #1</t>
        </r>
      </text>
    </comment>
    <comment ref="C14" authorId="0" shapeId="0" xr:uid="{00000000-0006-0000-0800-00001D000000}">
      <text>
        <r>
          <rPr>
            <b/>
            <sz val="10"/>
            <color indexed="81"/>
            <rFont val="Verdana"/>
            <family val="2"/>
          </rPr>
          <t>Data Entry Cell, Insert the name of Other Administrative / Management Expenses #2</t>
        </r>
      </text>
    </comment>
    <comment ref="D14" authorId="1" shapeId="0" xr:uid="{00000000-0006-0000-0800-00001E000000}">
      <text>
        <r>
          <rPr>
            <b/>
            <sz val="10"/>
            <color indexed="81"/>
            <rFont val="Tahoma"/>
            <family val="2"/>
          </rPr>
          <t>Data Entry Cell, Other Administrative / Management Expenses #2</t>
        </r>
      </text>
    </comment>
    <comment ref="G14" authorId="1" shapeId="0" xr:uid="{00000000-0006-0000-0800-00001F000000}">
      <text>
        <r>
          <rPr>
            <b/>
            <sz val="10"/>
            <color indexed="81"/>
            <rFont val="Tahoma"/>
            <family val="2"/>
          </rPr>
          <t>Data Entry Cell, Comment on Other Administrative Expenses #2</t>
        </r>
      </text>
    </comment>
    <comment ref="A16" authorId="0" shapeId="0" xr:uid="{00000000-0006-0000-0800-000020000000}">
      <text>
        <r>
          <rPr>
            <b/>
            <sz val="8"/>
            <color indexed="81"/>
            <rFont val="Tahoma"/>
            <family val="2"/>
          </rPr>
          <t>Security.  Enter an estimate of annual security costs, such as a night watchman or alarm system maintenance.</t>
        </r>
      </text>
    </comment>
    <comment ref="D16" authorId="1" shapeId="0" xr:uid="{00000000-0006-0000-0800-000021000000}">
      <text>
        <r>
          <rPr>
            <b/>
            <sz val="10"/>
            <color indexed="81"/>
            <rFont val="Tahoma"/>
            <family val="2"/>
          </rPr>
          <t xml:space="preserve">Data Entry Cell, Security Cost </t>
        </r>
      </text>
    </comment>
    <comment ref="G16" authorId="1" shapeId="0" xr:uid="{00000000-0006-0000-0800-000022000000}">
      <text>
        <r>
          <rPr>
            <b/>
            <sz val="10"/>
            <color indexed="81"/>
            <rFont val="Tahoma"/>
            <family val="2"/>
          </rPr>
          <t xml:space="preserve">Data Entry Cell, Comment on Security Cost </t>
        </r>
      </text>
    </comment>
    <comment ref="A17" authorId="0" shapeId="0" xr:uid="{00000000-0006-0000-0800-000023000000}">
      <text>
        <r>
          <rPr>
            <b/>
            <sz val="8"/>
            <color indexed="81"/>
            <rFont val="Tahoma"/>
            <family val="2"/>
          </rPr>
          <t>Operations and Maintenance Administrative Payroll Costs.  Properties usually employ at least one maintenance staff person.  Enter a annual estimate of the operations and the maintenance administrative payroll.</t>
        </r>
      </text>
    </comment>
    <comment ref="D17" authorId="1" shapeId="0" xr:uid="{00000000-0006-0000-0800-000024000000}">
      <text>
        <r>
          <rPr>
            <b/>
            <sz val="10"/>
            <color indexed="81"/>
            <rFont val="Tahoma"/>
            <family val="2"/>
          </rPr>
          <t xml:space="preserve">Data Entry Cell, Operations and Maintenance Administrative Payroll Costs </t>
        </r>
      </text>
    </comment>
    <comment ref="G17" authorId="1" shapeId="0" xr:uid="{00000000-0006-0000-0800-000025000000}">
      <text>
        <r>
          <rPr>
            <b/>
            <sz val="10"/>
            <color indexed="81"/>
            <rFont val="Tahoma"/>
            <family val="2"/>
          </rPr>
          <t xml:space="preserve">Data Entry Cell, Comment on Operations and Maintenance Administrative Payroll Costs </t>
        </r>
      </text>
    </comment>
    <comment ref="A18" authorId="0" shapeId="0" xr:uid="{00000000-0006-0000-0800-000026000000}">
      <text>
        <r>
          <rPr>
            <b/>
            <sz val="8"/>
            <color indexed="81"/>
            <rFont val="Tahoma"/>
            <family val="2"/>
          </rPr>
          <t>Repairs Supplies and Contracts. Enter the annual budget for routine 3rd party repairs contracts and supplies, excluding costs already entered.</t>
        </r>
      </text>
    </comment>
    <comment ref="D18" authorId="1" shapeId="0" xr:uid="{00000000-0006-0000-0800-000027000000}">
      <text>
        <r>
          <rPr>
            <b/>
            <sz val="10"/>
            <color indexed="81"/>
            <rFont val="Tahoma"/>
            <family val="2"/>
          </rPr>
          <t>Data Entry Cell, Routine Repairs and Supplies Cost</t>
        </r>
      </text>
    </comment>
    <comment ref="G18" authorId="1" shapeId="0" xr:uid="{00000000-0006-0000-0800-000028000000}">
      <text>
        <r>
          <rPr>
            <b/>
            <sz val="10"/>
            <color indexed="81"/>
            <rFont val="Tahoma"/>
            <family val="2"/>
          </rPr>
          <t>Data Entry Cell, Comment on Routine Repairs and Supplies Cost</t>
        </r>
      </text>
    </comment>
    <comment ref="D19" authorId="1" shapeId="0" xr:uid="{00000000-0006-0000-0800-000029000000}">
      <text>
        <r>
          <rPr>
            <b/>
            <sz val="10"/>
            <color indexed="81"/>
            <rFont val="Tahoma"/>
            <family val="2"/>
          </rPr>
          <t>Data Entry Cell, Repairs Contracts Cost</t>
        </r>
      </text>
    </comment>
    <comment ref="G19" authorId="1" shapeId="0" xr:uid="{00000000-0006-0000-0800-00002A000000}">
      <text>
        <r>
          <rPr>
            <b/>
            <sz val="10"/>
            <color indexed="81"/>
            <rFont val="Tahoma"/>
            <family val="2"/>
          </rPr>
          <t>Data Entry Cell, Comment on Repairs Contracts Cost</t>
        </r>
      </text>
    </comment>
    <comment ref="A20" authorId="0" shapeId="0" xr:uid="{00000000-0006-0000-0800-00002B000000}">
      <text>
        <r>
          <rPr>
            <b/>
            <sz val="8"/>
            <color indexed="81"/>
            <rFont val="Tahoma"/>
            <family val="2"/>
          </rPr>
          <t>Elevator (if any).  Enter an estimated annual cost for keeping all elevators on the property in working order, including the cost of any required inspections.</t>
        </r>
      </text>
    </comment>
    <comment ref="D20" authorId="1" shapeId="0" xr:uid="{00000000-0006-0000-0800-00002C000000}">
      <text>
        <r>
          <rPr>
            <b/>
            <sz val="10"/>
            <color indexed="81"/>
            <rFont val="Tahoma"/>
            <family val="2"/>
          </rPr>
          <t xml:space="preserve">Data Entry Cell, Elevator Cost (if any) </t>
        </r>
      </text>
    </comment>
    <comment ref="G20" authorId="1" shapeId="0" xr:uid="{00000000-0006-0000-0800-00002D000000}">
      <text>
        <r>
          <rPr>
            <b/>
            <sz val="10"/>
            <color indexed="81"/>
            <rFont val="Tahoma"/>
            <family val="2"/>
          </rPr>
          <t xml:space="preserve">Data Entry Cell, Comment on Elevator Cost (if any) </t>
        </r>
      </text>
    </comment>
    <comment ref="A21" authorId="0" shapeId="0" xr:uid="{00000000-0006-0000-0800-00002E000000}">
      <text>
        <r>
          <rPr>
            <b/>
            <sz val="8"/>
            <color indexed="81"/>
            <rFont val="Tahoma"/>
            <family val="2"/>
          </rPr>
          <t>Other Mechanical Equipment.  Estimate the annual cost of maintaining other mechanical equipment on the property.</t>
        </r>
      </text>
    </comment>
    <comment ref="D21" authorId="1" shapeId="0" xr:uid="{00000000-0006-0000-0800-00002F000000}">
      <text>
        <r>
          <rPr>
            <b/>
            <sz val="10"/>
            <color indexed="81"/>
            <rFont val="Tahoma"/>
            <family val="2"/>
          </rPr>
          <t xml:space="preserve">Data Entry Cell, Other Mechanical Equipment Cost </t>
        </r>
      </text>
    </comment>
    <comment ref="G21" authorId="1" shapeId="0" xr:uid="{00000000-0006-0000-0800-000030000000}">
      <text>
        <r>
          <rPr>
            <b/>
            <sz val="10"/>
            <color indexed="81"/>
            <rFont val="Tahoma"/>
            <family val="2"/>
          </rPr>
          <t xml:space="preserve">Data Entry Cell, Comment on Other Mechanical Equipment Cost </t>
        </r>
      </text>
    </comment>
    <comment ref="A22" authorId="0" shapeId="0" xr:uid="{00000000-0006-0000-0800-000031000000}">
      <text>
        <r>
          <rPr>
            <b/>
            <sz val="8"/>
            <color indexed="81"/>
            <rFont val="Tahoma"/>
            <family val="2"/>
          </rPr>
          <t>Interior Painting.  Interior painting is important for making the project appealing for current and potential tenants.  Enter the annual interior painting budget.</t>
        </r>
      </text>
    </comment>
    <comment ref="D22" authorId="1" shapeId="0" xr:uid="{00000000-0006-0000-0800-000032000000}">
      <text>
        <r>
          <rPr>
            <b/>
            <sz val="10"/>
            <color indexed="81"/>
            <rFont val="Tahoma"/>
            <family val="2"/>
          </rPr>
          <t>Data Entry Cell, Interior Painting Cost</t>
        </r>
      </text>
    </comment>
    <comment ref="G22" authorId="1" shapeId="0" xr:uid="{00000000-0006-0000-0800-000033000000}">
      <text>
        <r>
          <rPr>
            <b/>
            <sz val="10"/>
            <color indexed="81"/>
            <rFont val="Tahoma"/>
            <family val="2"/>
          </rPr>
          <t>Data Entry Cell, Comment on Interior Painting Cost</t>
        </r>
      </text>
    </comment>
    <comment ref="A23" authorId="0" shapeId="0" xr:uid="{00000000-0006-0000-0800-000034000000}">
      <text>
        <r>
          <rPr>
            <b/>
            <sz val="8"/>
            <color indexed="81"/>
            <rFont val="Tahoma"/>
            <family val="2"/>
          </rPr>
          <t xml:space="preserve">Exterminating / Lawn and Landscaping / Garbage Removal / Snow Removal.  Enter an approximate annual cost for these items.  </t>
        </r>
      </text>
    </comment>
    <comment ref="D23" authorId="1" shapeId="0" xr:uid="{00000000-0006-0000-0800-000035000000}">
      <text>
        <r>
          <rPr>
            <b/>
            <sz val="10"/>
            <color indexed="81"/>
            <rFont val="Tahoma"/>
            <family val="2"/>
          </rPr>
          <t>Data Entry Cell, Exterminating Cost</t>
        </r>
      </text>
    </comment>
    <comment ref="G23" authorId="1" shapeId="0" xr:uid="{00000000-0006-0000-0800-000036000000}">
      <text>
        <r>
          <rPr>
            <b/>
            <sz val="10"/>
            <color indexed="81"/>
            <rFont val="Tahoma"/>
            <family val="2"/>
          </rPr>
          <t>Data Entry Cell, Comment on Exterminating Cost</t>
        </r>
      </text>
    </comment>
    <comment ref="D24" authorId="1" shapeId="0" xr:uid="{00000000-0006-0000-0800-000037000000}">
      <text>
        <r>
          <rPr>
            <b/>
            <sz val="10"/>
            <color indexed="81"/>
            <rFont val="Tahoma"/>
            <family val="2"/>
          </rPr>
          <t xml:space="preserve">Data Entry Cell, Lawn and Landscaping Cost </t>
        </r>
      </text>
    </comment>
    <comment ref="G24" authorId="1" shapeId="0" xr:uid="{00000000-0006-0000-0800-000038000000}">
      <text>
        <r>
          <rPr>
            <b/>
            <sz val="10"/>
            <color indexed="81"/>
            <rFont val="Tahoma"/>
            <family val="2"/>
          </rPr>
          <t xml:space="preserve">Data Entry Cell, Comment on Lawn and Landscaping Cost </t>
        </r>
      </text>
    </comment>
    <comment ref="D25" authorId="1" shapeId="0" xr:uid="{00000000-0006-0000-0800-000039000000}">
      <text>
        <r>
          <rPr>
            <b/>
            <sz val="10"/>
            <color indexed="81"/>
            <rFont val="Tahoma"/>
            <family val="2"/>
          </rPr>
          <t xml:space="preserve">Data Entry Cell, Garbage Removal Cost </t>
        </r>
      </text>
    </comment>
    <comment ref="G25" authorId="1" shapeId="0" xr:uid="{00000000-0006-0000-0800-00003A000000}">
      <text>
        <r>
          <rPr>
            <b/>
            <sz val="10"/>
            <color indexed="81"/>
            <rFont val="Tahoma"/>
            <family val="2"/>
          </rPr>
          <t xml:space="preserve">Data Entry Cell, Comment on Garbage Removal Cost </t>
        </r>
      </text>
    </comment>
    <comment ref="D26" authorId="1" shapeId="0" xr:uid="{00000000-0006-0000-0800-00003B000000}">
      <text>
        <r>
          <rPr>
            <b/>
            <sz val="10"/>
            <color indexed="81"/>
            <rFont val="Tahoma"/>
            <family val="2"/>
          </rPr>
          <t xml:space="preserve">Data Entry Cell, Snow Removal Cost </t>
        </r>
      </text>
    </comment>
    <comment ref="G26" authorId="1" shapeId="0" xr:uid="{00000000-0006-0000-0800-00003C000000}">
      <text>
        <r>
          <rPr>
            <b/>
            <sz val="10"/>
            <color indexed="81"/>
            <rFont val="Tahoma"/>
            <family val="2"/>
          </rPr>
          <t xml:space="preserve">Data Entry Cell, Comment on Snow Removal Cost </t>
        </r>
      </text>
    </comment>
    <comment ref="A27" authorId="0" shapeId="0" xr:uid="{00000000-0006-0000-0800-00003D000000}">
      <text>
        <r>
          <rPr>
            <b/>
            <sz val="8"/>
            <color indexed="81"/>
            <rFont val="Tahoma"/>
            <family val="2"/>
          </rPr>
          <t>Resident Services.  Enter the annual budget for services for residents.</t>
        </r>
      </text>
    </comment>
    <comment ref="D27" authorId="1" shapeId="0" xr:uid="{00000000-0006-0000-0800-00003E000000}">
      <text>
        <r>
          <rPr>
            <b/>
            <sz val="10"/>
            <color indexed="81"/>
            <rFont val="Tahoma"/>
            <family val="2"/>
          </rPr>
          <t xml:space="preserve">Data Entry Cell, Resident Services Cost </t>
        </r>
      </text>
    </comment>
    <comment ref="G27" authorId="1" shapeId="0" xr:uid="{00000000-0006-0000-0800-00003F000000}">
      <text>
        <r>
          <rPr>
            <b/>
            <sz val="10"/>
            <color indexed="81"/>
            <rFont val="Tahoma"/>
            <family val="2"/>
          </rPr>
          <t xml:space="preserve">Data Entry Cell, Comment on Resident Services Cost </t>
        </r>
      </text>
    </comment>
    <comment ref="A28" authorId="0" shapeId="0" xr:uid="{00000000-0006-0000-0800-000040000000}">
      <text>
        <r>
          <rPr>
            <b/>
            <sz val="8"/>
            <color indexed="81"/>
            <rFont val="Tahoma"/>
            <family val="2"/>
          </rPr>
          <t>Use the Other Operations and Maintenance Expenses field to enter related costs that are not represented by the other items in this category.  Enter a label (replacing the “Other Operations and Maintenance Expenses” text) and an amount.  If you do not need to use this field, simply leave it blank.</t>
        </r>
      </text>
    </comment>
    <comment ref="C28" authorId="0" shapeId="0" xr:uid="{00000000-0006-0000-0800-000041000000}">
      <text>
        <r>
          <rPr>
            <b/>
            <sz val="10"/>
            <color indexed="81"/>
            <rFont val="Verdana"/>
            <family val="2"/>
          </rPr>
          <t>Data Entry Cell, Insert the name of Other Operations &amp; Maintenance Costs #1</t>
        </r>
      </text>
    </comment>
    <comment ref="D28" authorId="1" shapeId="0" xr:uid="{00000000-0006-0000-0800-000042000000}">
      <text>
        <r>
          <rPr>
            <b/>
            <sz val="10"/>
            <color indexed="81"/>
            <rFont val="Tahoma"/>
            <family val="2"/>
          </rPr>
          <t>Data Entry Cell, Other Operations &amp; Maintenance Costs #1</t>
        </r>
      </text>
    </comment>
    <comment ref="G28" authorId="1" shapeId="0" xr:uid="{00000000-0006-0000-0800-000043000000}">
      <text>
        <r>
          <rPr>
            <b/>
            <sz val="10"/>
            <color indexed="81"/>
            <rFont val="Tahoma"/>
            <family val="2"/>
          </rPr>
          <t>Data Entry Cell, Comment on Other Maintenance Costs #1</t>
        </r>
      </text>
    </comment>
    <comment ref="C29" authorId="0" shapeId="0" xr:uid="{00000000-0006-0000-0800-000044000000}">
      <text>
        <r>
          <rPr>
            <b/>
            <sz val="10"/>
            <color indexed="81"/>
            <rFont val="Verdana"/>
            <family val="2"/>
          </rPr>
          <t>Data Entry Cell, Insert the name of Other Operations &amp; Maintenance Costs #2</t>
        </r>
      </text>
    </comment>
    <comment ref="D29" authorId="1" shapeId="0" xr:uid="{00000000-0006-0000-0800-000045000000}">
      <text>
        <r>
          <rPr>
            <b/>
            <sz val="10"/>
            <color indexed="81"/>
            <rFont val="Tahoma"/>
            <family val="2"/>
          </rPr>
          <t>Data Entry Cell, Other  Operations &amp; Maintenance Costs #2</t>
        </r>
      </text>
    </comment>
    <comment ref="G29" authorId="1" shapeId="0" xr:uid="{00000000-0006-0000-0800-000046000000}">
      <text>
        <r>
          <rPr>
            <b/>
            <sz val="10"/>
            <color indexed="81"/>
            <rFont val="Tahoma"/>
            <family val="2"/>
          </rPr>
          <t>Data Entry Cell, Comment on Other  Maintenance Costs #2</t>
        </r>
      </text>
    </comment>
    <comment ref="A31" authorId="0" shapeId="0" xr:uid="{00000000-0006-0000-0800-000047000000}">
      <text>
        <r>
          <rPr>
            <b/>
            <sz val="8"/>
            <color indexed="81"/>
            <rFont val="Tahoma"/>
            <family val="2"/>
          </rPr>
          <t>Enter the annual cost of utilities paid by the property for Electricity; Natural Gas, Oil, and Other Fuel; and Sewer and Water.  Note that these costs should not include any utilities costs paid directly by tenants.</t>
        </r>
      </text>
    </comment>
    <comment ref="D31" authorId="1" shapeId="0" xr:uid="{00000000-0006-0000-0800-000048000000}">
      <text>
        <r>
          <rPr>
            <b/>
            <sz val="10"/>
            <color indexed="81"/>
            <rFont val="Tahoma"/>
            <family val="2"/>
          </rPr>
          <t xml:space="preserve">Data Entry Cell, Electricity Cost </t>
        </r>
      </text>
    </comment>
    <comment ref="G31" authorId="1" shapeId="0" xr:uid="{00000000-0006-0000-0800-000049000000}">
      <text>
        <r>
          <rPr>
            <b/>
            <sz val="10"/>
            <color indexed="81"/>
            <rFont val="Tahoma"/>
            <family val="2"/>
          </rPr>
          <t xml:space="preserve">Data Entry Cell, Comment on Electricity Cost </t>
        </r>
      </text>
    </comment>
    <comment ref="D32" authorId="1" shapeId="0" xr:uid="{00000000-0006-0000-0800-00004A000000}">
      <text>
        <r>
          <rPr>
            <b/>
            <sz val="10"/>
            <color indexed="81"/>
            <rFont val="Tahoma"/>
            <family val="2"/>
          </rPr>
          <t xml:space="preserve">Data Entry Cell, Natural Gas, Oil, Other Fuel Cost </t>
        </r>
      </text>
    </comment>
    <comment ref="G32" authorId="1" shapeId="0" xr:uid="{00000000-0006-0000-0800-00004B000000}">
      <text>
        <r>
          <rPr>
            <b/>
            <sz val="10"/>
            <color indexed="81"/>
            <rFont val="Tahoma"/>
            <family val="2"/>
          </rPr>
          <t xml:space="preserve">Data Entry Cell, Comment on Natural Gas, Oil, Other Fuel Cost </t>
        </r>
      </text>
    </comment>
    <comment ref="D33" authorId="1" shapeId="0" xr:uid="{00000000-0006-0000-0800-00004C000000}">
      <text>
        <r>
          <rPr>
            <b/>
            <sz val="10"/>
            <color indexed="81"/>
            <rFont val="Tahoma"/>
            <family val="2"/>
          </rPr>
          <t>Data Entry Cell, Sewer and Water Cost</t>
        </r>
      </text>
    </comment>
    <comment ref="G33" authorId="1" shapeId="0" xr:uid="{00000000-0006-0000-0800-00004D000000}">
      <text>
        <r>
          <rPr>
            <b/>
            <sz val="10"/>
            <color indexed="81"/>
            <rFont val="Tahoma"/>
            <family val="2"/>
          </rPr>
          <t>Data Entry Cell, Comment on Sewer and Water Cost</t>
        </r>
      </text>
    </comment>
    <comment ref="A34" authorId="0" shapeId="0" xr:uid="{00000000-0006-0000-0800-00004E000000}">
      <text>
        <r>
          <rPr>
            <b/>
            <sz val="8"/>
            <color indexed="81"/>
            <rFont val="Tahoma"/>
            <family val="2"/>
          </rPr>
          <t>Use the Other Utilities Paid by the Property field to enter related costs that are not represented by the other items in this category.  Enter a label (replacing the “Other Utilities Paid by the Property” text) and an amount.  If you do not need to use this field, simply leave it blank.</t>
        </r>
      </text>
    </comment>
    <comment ref="C34" authorId="0" shapeId="0" xr:uid="{00000000-0006-0000-0800-00004F000000}">
      <text>
        <r>
          <rPr>
            <b/>
            <sz val="10"/>
            <color indexed="81"/>
            <rFont val="Verdana"/>
            <family val="2"/>
          </rPr>
          <t>Data Entry Cell, Insert the name of Other Utilities Paid by the Property</t>
        </r>
      </text>
    </comment>
    <comment ref="D34" authorId="1" shapeId="0" xr:uid="{00000000-0006-0000-0800-000050000000}">
      <text>
        <r>
          <rPr>
            <b/>
            <sz val="10"/>
            <color indexed="81"/>
            <rFont val="Tahoma"/>
            <family val="2"/>
          </rPr>
          <t>Data Entry Cell, Other Utilities Paid by the Property</t>
        </r>
      </text>
    </comment>
    <comment ref="G34" authorId="1" shapeId="0" xr:uid="{00000000-0006-0000-0800-000051000000}">
      <text>
        <r>
          <rPr>
            <b/>
            <sz val="10"/>
            <color indexed="81"/>
            <rFont val="Tahoma"/>
            <family val="2"/>
          </rPr>
          <t>Data Entry Cell, Comment on Other Utilities Paid by the Property</t>
        </r>
      </text>
    </comment>
    <comment ref="A36" authorId="0" shapeId="0" xr:uid="{00000000-0006-0000-0800-000052000000}">
      <text>
        <r>
          <rPr>
            <b/>
            <sz val="8"/>
            <color indexed="81"/>
            <rFont val="Tahoma"/>
            <family val="2"/>
          </rPr>
          <t>Real Estate Taxes and Other Taxes and Licenses.  Contact your local taxing and licensing authorities (local government, school districts, utility districts) to estimate these amounts for the project and enter that estimate on an annual basis.
Payroll Taxes (rates) should be available from the state, county, and/or city as applicable by jurisdiction.</t>
        </r>
      </text>
    </comment>
    <comment ref="D36" authorId="1" shapeId="0" xr:uid="{00000000-0006-0000-0800-000053000000}">
      <text>
        <r>
          <rPr>
            <b/>
            <sz val="10"/>
            <color indexed="81"/>
            <rFont val="Tahoma"/>
            <family val="2"/>
          </rPr>
          <t>Data Entry Cell, Real Estate Taxes Cost</t>
        </r>
      </text>
    </comment>
    <comment ref="G36" authorId="1" shapeId="0" xr:uid="{00000000-0006-0000-0800-000054000000}">
      <text>
        <r>
          <rPr>
            <b/>
            <sz val="10"/>
            <color indexed="81"/>
            <rFont val="Tahoma"/>
            <family val="2"/>
          </rPr>
          <t>Data Entry Cell, Comment on Real Estate Taxes Cost</t>
        </r>
      </text>
    </comment>
    <comment ref="D37" authorId="1" shapeId="0" xr:uid="{00000000-0006-0000-0800-000055000000}">
      <text>
        <r>
          <rPr>
            <b/>
            <sz val="10"/>
            <color indexed="81"/>
            <rFont val="Tahoma"/>
            <family val="2"/>
          </rPr>
          <t>Data Entry Cell, Payroll Taxes Cost</t>
        </r>
      </text>
    </comment>
    <comment ref="G37" authorId="1" shapeId="0" xr:uid="{00000000-0006-0000-0800-000056000000}">
      <text>
        <r>
          <rPr>
            <b/>
            <sz val="10"/>
            <color indexed="81"/>
            <rFont val="Tahoma"/>
            <family val="2"/>
          </rPr>
          <t>Data Entry Cell, Comment on Payroll Taxes Cost</t>
        </r>
      </text>
    </comment>
    <comment ref="D38" authorId="1" shapeId="0" xr:uid="{00000000-0006-0000-0800-000057000000}">
      <text>
        <r>
          <rPr>
            <b/>
            <sz val="10"/>
            <color indexed="81"/>
            <rFont val="Tahoma"/>
            <family val="2"/>
          </rPr>
          <t>Data Entry Cell, Other Taxes and Licenses Cost</t>
        </r>
      </text>
    </comment>
    <comment ref="G38" authorId="1" shapeId="0" xr:uid="{00000000-0006-0000-0800-000058000000}">
      <text>
        <r>
          <rPr>
            <b/>
            <sz val="10"/>
            <color indexed="81"/>
            <rFont val="Tahoma"/>
            <family val="2"/>
          </rPr>
          <t>Data Entry Cell, Comment on Other Taxes and Licenses Cost</t>
        </r>
      </text>
    </comment>
    <comment ref="A39" authorId="0" shapeId="0" xr:uid="{00000000-0006-0000-0800-000059000000}">
      <text>
        <r>
          <rPr>
            <b/>
            <sz val="8"/>
            <color indexed="81"/>
            <rFont val="Tahoma"/>
            <family val="2"/>
          </rPr>
          <t>Property Insurance.  Consult an insurance company for a quote of annual insurance costs for the project.</t>
        </r>
      </text>
    </comment>
    <comment ref="D39" authorId="1" shapeId="0" xr:uid="{00000000-0006-0000-0800-00005A000000}">
      <text>
        <r>
          <rPr>
            <b/>
            <sz val="10"/>
            <color indexed="81"/>
            <rFont val="Tahoma"/>
            <family val="2"/>
          </rPr>
          <t xml:space="preserve">Data Entry Cell, Property Insurance Cost </t>
        </r>
      </text>
    </comment>
    <comment ref="G39" authorId="1" shapeId="0" xr:uid="{00000000-0006-0000-0800-00005B000000}">
      <text>
        <r>
          <rPr>
            <b/>
            <sz val="10"/>
            <color indexed="81"/>
            <rFont val="Tahoma"/>
            <family val="2"/>
          </rPr>
          <t xml:space="preserve">Data Entry Cell, Comment on Property Insurance Cost </t>
        </r>
      </text>
    </comment>
    <comment ref="A40" authorId="0" shapeId="0" xr:uid="{00000000-0006-0000-0800-00005C000000}">
      <text>
        <r>
          <rPr>
            <b/>
            <sz val="8"/>
            <color indexed="81"/>
            <rFont val="Tahoma"/>
            <family val="2"/>
          </rPr>
          <t>Workers Compensation Insurance / Health Insurance / Other Employee Benefits will vary by jurisdiction and size of staff. You may wish to seek professional advice to calculate appropriate expenses for these line items.</t>
        </r>
      </text>
    </comment>
    <comment ref="D40" authorId="1" shapeId="0" xr:uid="{00000000-0006-0000-0800-00005D000000}">
      <text>
        <r>
          <rPr>
            <b/>
            <sz val="10"/>
            <color indexed="81"/>
            <rFont val="Tahoma"/>
            <family val="2"/>
          </rPr>
          <t>Data Entry Cell, Workers Compensation Insurance Cost</t>
        </r>
      </text>
    </comment>
    <comment ref="G40" authorId="1" shapeId="0" xr:uid="{00000000-0006-0000-0800-00005E000000}">
      <text>
        <r>
          <rPr>
            <b/>
            <sz val="10"/>
            <color indexed="81"/>
            <rFont val="Tahoma"/>
            <family val="2"/>
          </rPr>
          <t>Data Entry Cell, Comment on Workers Compensation Insurance Cost</t>
        </r>
      </text>
    </comment>
    <comment ref="D41" authorId="1" shapeId="0" xr:uid="{00000000-0006-0000-0800-00005F000000}">
      <text>
        <r>
          <rPr>
            <b/>
            <sz val="10"/>
            <color indexed="81"/>
            <rFont val="Tahoma"/>
            <family val="2"/>
          </rPr>
          <t>Data Entry Cell, Health Insurance / Other Employee Benefits Cost</t>
        </r>
      </text>
    </comment>
    <comment ref="G41" authorId="1" shapeId="0" xr:uid="{00000000-0006-0000-0800-000060000000}">
      <text>
        <r>
          <rPr>
            <b/>
            <sz val="10"/>
            <color indexed="81"/>
            <rFont val="Tahoma"/>
            <family val="2"/>
          </rPr>
          <t>Data Entry Cell, Comment on Health Insurance / Other Employee Benefits Cost</t>
        </r>
      </text>
    </comment>
    <comment ref="A42" authorId="0" shapeId="0" xr:uid="{00000000-0006-0000-0800-000061000000}">
      <text>
        <r>
          <rPr>
            <b/>
            <sz val="8"/>
            <color indexed="81"/>
            <rFont val="Tahoma"/>
            <family val="2"/>
          </rPr>
          <t>Other Operating Expenses.  Some properties may incur other operating expenses, not included elsewhere on the Operating Expenses tab.  To accommodate atypical operating expenses, the Template provides two Other Operating Expenses fields.  For each expense you wish to add, enter a label (replacing the “Other Operating Expense” text) and an amount.  Leave blank any of the fields that you do not need.</t>
        </r>
      </text>
    </comment>
    <comment ref="C42" authorId="0" shapeId="0" xr:uid="{00000000-0006-0000-0800-000062000000}">
      <text>
        <r>
          <rPr>
            <b/>
            <sz val="10"/>
            <color indexed="81"/>
            <rFont val="Verdana"/>
            <family val="2"/>
          </rPr>
          <t>Data Entry Cell, Insert the name of Other Operating Expense #1</t>
        </r>
      </text>
    </comment>
    <comment ref="D42" authorId="1" shapeId="0" xr:uid="{00000000-0006-0000-0800-000063000000}">
      <text>
        <r>
          <rPr>
            <b/>
            <sz val="10"/>
            <color indexed="81"/>
            <rFont val="Tahoma"/>
            <family val="2"/>
          </rPr>
          <t xml:space="preserve">Data Entry Cell, Other Operating Expense #1 </t>
        </r>
      </text>
    </comment>
    <comment ref="G42" authorId="1" shapeId="0" xr:uid="{00000000-0006-0000-0800-000064000000}">
      <text>
        <r>
          <rPr>
            <b/>
            <sz val="10"/>
            <color indexed="81"/>
            <rFont val="Tahoma"/>
            <family val="2"/>
          </rPr>
          <t xml:space="preserve">Data Entry Cell, Comment on Other Operating Expense #1 </t>
        </r>
      </text>
    </comment>
    <comment ref="C43" authorId="0" shapeId="0" xr:uid="{00000000-0006-0000-0800-000065000000}">
      <text>
        <r>
          <rPr>
            <b/>
            <sz val="10"/>
            <color indexed="81"/>
            <rFont val="Verdana"/>
            <family val="2"/>
          </rPr>
          <t>Data Entry Cell, Insert the name of Other Operating Expense #2</t>
        </r>
      </text>
    </comment>
    <comment ref="D43" authorId="1" shapeId="0" xr:uid="{00000000-0006-0000-0800-000066000000}">
      <text>
        <r>
          <rPr>
            <b/>
            <sz val="10"/>
            <color indexed="81"/>
            <rFont val="Tahoma"/>
            <family val="2"/>
          </rPr>
          <t xml:space="preserve">Data Entry Cell, Other Operating Expense #2 </t>
        </r>
      </text>
    </comment>
    <comment ref="G43" authorId="1" shapeId="0" xr:uid="{00000000-0006-0000-0800-000067000000}">
      <text>
        <r>
          <rPr>
            <b/>
            <sz val="10"/>
            <color indexed="81"/>
            <rFont val="Tahoma"/>
            <family val="2"/>
          </rPr>
          <t xml:space="preserve">Data Entry Cell, Comment on Other Operating Expense #2 </t>
        </r>
      </text>
    </comment>
    <comment ref="A47" authorId="0" shapeId="0" xr:uid="{00000000-0006-0000-0800-000068000000}">
      <text>
        <r>
          <rPr>
            <b/>
            <sz val="8"/>
            <color indexed="81"/>
            <rFont val="Tahoma"/>
            <family val="2"/>
          </rPr>
          <t>Reserve for Replacement.  Deposits to the Reserve are used to pay for replacements of long-lived building systems such as floor coverings, appliances, HVAC systems, roofs and windows. The appropriate annual deposit varies widely across properties.  Rather than using a rule of thumb, the best strategy is to obtain a capital needs assessment and to use the results to determine the reserve deposit amount that is appropriate for this property.</t>
        </r>
      </text>
    </comment>
    <comment ref="D47" authorId="1" shapeId="0" xr:uid="{00000000-0006-0000-0800-000069000000}">
      <text>
        <r>
          <rPr>
            <b/>
            <sz val="10"/>
            <color indexed="81"/>
            <rFont val="Tahoma"/>
            <family val="2"/>
          </rPr>
          <t>Data Entry Cell, Reserve for Replacement Deposit</t>
        </r>
      </text>
    </comment>
    <comment ref="G47" authorId="1" shapeId="0" xr:uid="{00000000-0006-0000-0800-00006A000000}">
      <text>
        <r>
          <rPr>
            <b/>
            <sz val="10"/>
            <color indexed="81"/>
            <rFont val="Tahoma"/>
            <family val="2"/>
          </rPr>
          <t>Data Entry Cell, Comment on Reserve for Replacement Deposit</t>
        </r>
      </text>
    </comment>
    <comment ref="C57" authorId="1" shapeId="0" xr:uid="{00000000-0006-0000-0800-00006B000000}">
      <text>
        <r>
          <rPr>
            <b/>
            <sz val="10"/>
            <color indexed="81"/>
            <rFont val="Tahoma"/>
            <family val="2"/>
          </rPr>
          <t>Data Entry Cell, Comment on Operating Expense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s>
  <commentList>
    <comment ref="A1" authorId="0" shapeId="0" xr:uid="{00000000-0006-0000-0900-000001000000}">
      <text>
        <r>
          <rPr>
            <b/>
            <sz val="8"/>
            <color indexed="81"/>
            <rFont val="Tahoma"/>
            <family val="2"/>
          </rPr>
          <t>On this tab, you will enter the key business terms for the first mortgage loan, compare the proposed first mortgage amount to financial benchmarks, and enter the key business terms for all other loans.</t>
        </r>
      </text>
    </comment>
    <comment ref="A4" authorId="0" shapeId="0" xr:uid="{00000000-0006-0000-0900-000002000000}">
      <text>
        <r>
          <rPr>
            <b/>
            <sz val="8"/>
            <color indexed="81"/>
            <rFont val="Tahoma"/>
            <family val="2"/>
          </rPr>
          <t>This section summarizes the Net Operating Income (NOI) of the project, using information you entered on previous tabs.  The NOI is an important factor in sizing the first mortgage loan.</t>
        </r>
      </text>
    </comment>
    <comment ref="A18" authorId="0" shapeId="0" xr:uid="{00000000-0006-0000-0900-000003000000}">
      <text>
        <r>
          <rPr>
            <b/>
            <sz val="8"/>
            <color indexed="81"/>
            <rFont val="Tahoma"/>
            <family val="2"/>
          </rPr>
          <t>Capitalization Rate is the estimated annual NOI of the project, divided by the market value. For example, a capitalization rate of 10% indicates that if the property were purchased for cash, the purchaser would expect to earn a 10% return in year one. 
Consult with realtors familiar with your regional housing market or with project appraisal reports to determine a reasonable capitalization rate for your project.
The Template uses the Capitalization Rate to calculate the value of the project for each year of the Operating Pro-Forma.  In addition, when the project is sold, the capitalization rate can be used to estimate the sale price of the project.  However, if you would rather enter a specific value for the project at sale, use the Value of Project at Sale field below.</t>
        </r>
        <r>
          <rPr>
            <sz val="8"/>
            <color indexed="81"/>
            <rFont val="Tahoma"/>
            <family val="2"/>
          </rPr>
          <t xml:space="preserve">
</t>
        </r>
      </text>
    </comment>
    <comment ref="D18" authorId="1" shapeId="0" xr:uid="{00000000-0006-0000-0900-000004000000}">
      <text>
        <r>
          <rPr>
            <b/>
            <sz val="10"/>
            <color indexed="81"/>
            <rFont val="Tahoma"/>
            <family val="2"/>
          </rPr>
          <t>Data Entry Cell, Capitalization Rate</t>
        </r>
      </text>
    </comment>
    <comment ref="A20" authorId="0" shapeId="0" xr:uid="{00000000-0006-0000-0900-000005000000}">
      <text>
        <r>
          <rPr>
            <b/>
            <sz val="8"/>
            <color indexed="81"/>
            <rFont val="Tahoma"/>
            <family val="2"/>
          </rPr>
          <t>This is the lender's estimate of what the project will be worth after completion and lease-up.  This information will be used by the lender to compute the loan to value ratio (which is discussed below).</t>
        </r>
      </text>
    </comment>
    <comment ref="D20" authorId="1" shapeId="0" xr:uid="{00000000-0006-0000-0900-000006000000}">
      <text>
        <r>
          <rPr>
            <b/>
            <sz val="10"/>
            <color indexed="81"/>
            <rFont val="Tahoma"/>
            <family val="2"/>
          </rPr>
          <t xml:space="preserve">Data Entry Cell, Lender's Appraised Value for the Project  </t>
        </r>
      </text>
    </comment>
    <comment ref="A21" authorId="0" shapeId="0" xr:uid="{00000000-0006-0000-0900-000007000000}">
      <text>
        <r>
          <rPr>
            <b/>
            <sz val="8"/>
            <color indexed="81"/>
            <rFont val="Tahoma"/>
            <family val="2"/>
          </rPr>
          <t xml:space="preserve">This is an optional field used by the Template to determine the amount that will be paid for the project when it is sold.  If this field is left blank, the Template will use the Capitalization Rate to determine the project’s value when sold (the year of sale is entered on the Pro Forma Assumptions tab). </t>
        </r>
      </text>
    </comment>
    <comment ref="D21" authorId="1" shapeId="0" xr:uid="{00000000-0006-0000-0900-000008000000}">
      <text>
        <r>
          <rPr>
            <b/>
            <sz val="10"/>
            <color indexed="81"/>
            <rFont val="Tahoma"/>
            <family val="2"/>
          </rPr>
          <t>Data Entry Cell, Value of Project at Sale</t>
        </r>
      </text>
    </comment>
    <comment ref="C24" authorId="1" shapeId="0" xr:uid="{00000000-0006-0000-0900-000009000000}">
      <text>
        <r>
          <rPr>
            <b/>
            <sz val="10"/>
            <color indexed="81"/>
            <rFont val="Tahoma"/>
            <family val="2"/>
          </rPr>
          <t>Data Entry Cell, Comment on Capitalization Rate and Value</t>
        </r>
      </text>
    </comment>
    <comment ref="A28" authorId="0" shapeId="0" xr:uid="{00000000-0006-0000-0900-00000A000000}">
      <text>
        <r>
          <rPr>
            <b/>
            <sz val="8"/>
            <color indexed="81"/>
            <rFont val="Tahoma"/>
            <family val="2"/>
          </rPr>
          <t>The Template assumes that a 'first mortgage loan' has a fixed interest rate, has a fixed monthly principal and interest payment that must be made regardless of the project's actual NOI, and is self-amortizing (i.e., has no balloon payment).
If your project’s first mortgage financing will involve a more complex or irregular schedule of payments, create a custom loan below, and leave all inputs related to the first mortgage at zero.</t>
        </r>
        <r>
          <rPr>
            <sz val="8"/>
            <color indexed="81"/>
            <rFont val="Tahoma"/>
            <family val="2"/>
          </rPr>
          <t xml:space="preserve">
</t>
        </r>
      </text>
    </comment>
    <comment ref="A29" authorId="0" shapeId="0" xr:uid="{00000000-0006-0000-0900-00000B000000}">
      <text>
        <r>
          <rPr>
            <b/>
            <sz val="8"/>
            <color indexed="81"/>
            <rFont val="Tahoma"/>
            <family val="2"/>
          </rPr>
          <t>Minimum Debt Service Coverage is the ratio is used by lenders to assess a project’s ability to honor its monthly mortgage payments.  The debt service coverage ratio is the project’s net operating income (NOI) divided by the amount of debt service payments.  The higher the debt service coverage (DSC), the safer the loan. Enter the minimum debt service coverage ratio required by your first mortgage lender as a percentage.
Note that the debt service coverage constraint is calculated using the NOI from Year 2 of operations.  Because the rent-up period occurs during Year 1, the Year 1 NOI may not represent stabilized property income.</t>
        </r>
      </text>
    </comment>
    <comment ref="D29" authorId="1" shapeId="0" xr:uid="{00000000-0006-0000-0900-00000C000000}">
      <text>
        <r>
          <rPr>
            <b/>
            <sz val="10"/>
            <color indexed="81"/>
            <rFont val="Tahoma"/>
            <family val="2"/>
          </rPr>
          <t>Data Entry Cell, Minimum Debt Service Coverage</t>
        </r>
      </text>
    </comment>
    <comment ref="A30" authorId="0" shapeId="0" xr:uid="{00000000-0006-0000-0900-00000D000000}">
      <text>
        <r>
          <rPr>
            <b/>
            <sz val="8"/>
            <color indexed="81"/>
            <rFont val="Tahoma"/>
            <family val="2"/>
          </rPr>
          <t xml:space="preserve">Maximum Loan to Value is the ratio is used by lenders to compare the loan amount to the market value of the project in order to evaluate the lender's ability to recover loaned funds in the event of foreclosure.  The loan to value (LTV) ratio is calculated by dividing the loan amount by the appraised value of the project.  The lower the LTV, the safer the loan.  Enter the maximum loan to value percentage required by your lender.
</t>
        </r>
      </text>
    </comment>
    <comment ref="D30" authorId="1" shapeId="0" xr:uid="{00000000-0006-0000-0900-00000E000000}">
      <text>
        <r>
          <rPr>
            <b/>
            <sz val="10"/>
            <color indexed="81"/>
            <rFont val="Tahoma"/>
            <family val="2"/>
          </rPr>
          <t>Data Entry Cell, Maximum Loan to Value</t>
        </r>
      </text>
    </comment>
    <comment ref="D31" authorId="1" shapeId="0" xr:uid="{00000000-0006-0000-0900-00000F000000}">
      <text>
        <r>
          <rPr>
            <b/>
            <sz val="10"/>
            <color indexed="81"/>
            <rFont val="Tahoma"/>
            <family val="2"/>
          </rPr>
          <t>Data Entry Cell, First Mortgage Interest Rate</t>
        </r>
      </text>
    </comment>
    <comment ref="A32" authorId="0" shapeId="0" xr:uid="{00000000-0006-0000-0900-000010000000}">
      <text>
        <r>
          <rPr>
            <b/>
            <sz val="8"/>
            <color indexed="81"/>
            <rFont val="Tahoma"/>
            <family val="2"/>
          </rPr>
          <t>If the loan includes a monthly or annual charge in addition to interest, enter that here (as a percentage per year).  The most common example is FHA-insured loans, which include a 'mortgage insurance premium' in addition to interest.  
Other loans may include a 'guaranty fee' or a 'credit enhancement fee'.</t>
        </r>
      </text>
    </comment>
    <comment ref="D32" authorId="1" shapeId="0" xr:uid="{00000000-0006-0000-0900-000011000000}">
      <text>
        <r>
          <rPr>
            <b/>
            <sz val="10"/>
            <color indexed="81"/>
            <rFont val="Tahoma"/>
            <family val="2"/>
          </rPr>
          <t>Data Entry Cell,  Mortgage Insurance Premium</t>
        </r>
      </text>
    </comment>
    <comment ref="A33" authorId="0" shapeId="0" xr:uid="{00000000-0006-0000-0900-000012000000}">
      <text>
        <r>
          <rPr>
            <b/>
            <sz val="8"/>
            <color indexed="81"/>
            <rFont val="Tahoma"/>
            <family val="2"/>
          </rPr>
          <t xml:space="preserve">This is </t>
        </r>
        <r>
          <rPr>
            <b/>
            <u/>
            <sz val="8"/>
            <color indexed="81"/>
            <rFont val="Tahoma"/>
            <family val="2"/>
          </rPr>
          <t>both</t>
        </r>
        <r>
          <rPr>
            <b/>
            <sz val="8"/>
            <color indexed="81"/>
            <rFont val="Tahoma"/>
            <family val="2"/>
          </rPr>
          <t xml:space="preserve"> the term and amortization period for the first mortgage.  “Term” refers to the number of years the project will make principal and interest payments on the loan.  “Amortization Period” refers to the time it takes to retire a debt through equal periodic payments.  Many loans have terms and amortization periods of 15, 20, 25, or 30 years.  Although the loan term is entered in years, the Template calculates interest assuming a series of monthly payments.
On the Operating Pro Forma tab, this information will be used to calculate the monthly principal and interest payments.  If the property is sold before the end of the loan term, the Template assumes the property will pay off the first mortgage loan in the year of the project sale.
</t>
        </r>
        <r>
          <rPr>
            <sz val="8"/>
            <color indexed="81"/>
            <rFont val="Tahoma"/>
            <family val="2"/>
          </rPr>
          <t xml:space="preserve">
</t>
        </r>
      </text>
    </comment>
    <comment ref="D33" authorId="1" shapeId="0" xr:uid="{00000000-0006-0000-0900-000013000000}">
      <text>
        <r>
          <rPr>
            <b/>
            <sz val="10"/>
            <color indexed="81"/>
            <rFont val="Tahoma"/>
            <family val="2"/>
          </rPr>
          <t>Data Entry Cell, First Mortgage Loan Term (years)</t>
        </r>
      </text>
    </comment>
    <comment ref="A34" authorId="0" shapeId="0" xr:uid="{00000000-0006-0000-0900-000014000000}">
      <text>
        <r>
          <rPr>
            <b/>
            <sz val="8"/>
            <color indexed="81"/>
            <rFont val="Tahoma"/>
            <family val="2"/>
          </rPr>
          <t>Enter the name of the first mortgage lender who will be providing this loan.</t>
        </r>
        <r>
          <rPr>
            <sz val="8"/>
            <color indexed="81"/>
            <rFont val="Tahoma"/>
            <family val="2"/>
          </rPr>
          <t xml:space="preserve">
</t>
        </r>
      </text>
    </comment>
    <comment ref="D34" authorId="1" shapeId="0" xr:uid="{00000000-0006-0000-0900-000015000000}">
      <text>
        <r>
          <rPr>
            <b/>
            <sz val="10"/>
            <color indexed="81"/>
            <rFont val="Tahoma"/>
            <family val="2"/>
          </rPr>
          <t>Data Entry Cell, First Mortgage Lender</t>
        </r>
      </text>
    </comment>
    <comment ref="C36" authorId="1" shapeId="0" xr:uid="{00000000-0006-0000-0900-000016000000}">
      <text>
        <r>
          <rPr>
            <b/>
            <sz val="10"/>
            <color indexed="81"/>
            <rFont val="Tahoma"/>
            <family val="2"/>
          </rPr>
          <t>Data Entry Cell, Comment on First Mortgage Characteristics</t>
        </r>
      </text>
    </comment>
    <comment ref="A44" authorId="0" shapeId="0" xr:uid="{00000000-0006-0000-0900-000017000000}">
      <text>
        <r>
          <rPr>
            <b/>
            <sz val="8"/>
            <color indexed="81"/>
            <rFont val="Tahoma"/>
            <family val="2"/>
          </rPr>
          <t xml:space="preserve">Enter the lender's proposed first mortgage loan amount here.  </t>
        </r>
        <r>
          <rPr>
            <sz val="8"/>
            <color indexed="81"/>
            <rFont val="Tahoma"/>
            <family val="2"/>
          </rPr>
          <t xml:space="preserve">
</t>
        </r>
      </text>
    </comment>
    <comment ref="D44" authorId="1" shapeId="0" xr:uid="{00000000-0006-0000-0900-000018000000}">
      <text>
        <r>
          <rPr>
            <b/>
            <sz val="10"/>
            <color indexed="81"/>
            <rFont val="Tahoma"/>
            <family val="2"/>
          </rPr>
          <t>Data Entry Cell, Lender's Loan Amount</t>
        </r>
      </text>
    </comment>
    <comment ref="D45" authorId="1" shapeId="0" xr:uid="{00000000-0006-0000-0900-000019000000}">
      <text>
        <r>
          <rPr>
            <b/>
            <sz val="10"/>
            <color indexed="81"/>
            <rFont val="Tahoma"/>
            <family val="2"/>
          </rPr>
          <t>Data Entry Cell, Is this First Mortgage Loan funded by HOME program? Yes/No</t>
        </r>
      </text>
    </comment>
    <comment ref="A53" authorId="0" shapeId="0" xr:uid="{00000000-0006-0000-0900-00001A000000}">
      <text>
        <r>
          <rPr>
            <b/>
            <sz val="8"/>
            <color indexed="81"/>
            <rFont val="Tahoma"/>
            <family val="2"/>
          </rPr>
          <t>First mortgage lenders typically charge some fees that are a percentage of the loan amount.  If the project's first mortgage loan includes these types of 'variable' fees, enter the appropriate percentage here.</t>
        </r>
        <r>
          <rPr>
            <sz val="8"/>
            <color indexed="81"/>
            <rFont val="Tahoma"/>
            <family val="2"/>
          </rPr>
          <t xml:space="preserve">
</t>
        </r>
      </text>
    </comment>
    <comment ref="D53" authorId="1" shapeId="0" xr:uid="{00000000-0006-0000-0900-00001B000000}">
      <text>
        <r>
          <rPr>
            <b/>
            <sz val="10"/>
            <color indexed="81"/>
            <rFont val="Tahoma"/>
            <family val="2"/>
          </rPr>
          <t>Data Entry Cell, First Mortgage Points</t>
        </r>
      </text>
    </comment>
    <comment ref="A57" authorId="0" shapeId="0" xr:uid="{00000000-0006-0000-0900-00001C000000}">
      <text>
        <r>
          <rPr>
            <b/>
            <sz val="8"/>
            <color indexed="81"/>
            <rFont val="Tahoma"/>
            <family val="2"/>
          </rPr>
          <t>In the Template, an 'amortizing second mortgage' is a loan other than the first mortgage loan, that has a fixed interest rate, has fixed monthly principal and interest payments that must be made regardless of the property's actual NOI, and is self-amortizing,   If the project has a junior loan with a more irregular payment stream, create a Custom Loan below and leave the Amortizing Second Mortgage section blank.</t>
        </r>
        <r>
          <rPr>
            <sz val="8"/>
            <color indexed="81"/>
            <rFont val="Tahoma"/>
            <family val="2"/>
          </rPr>
          <t xml:space="preserve">
</t>
        </r>
      </text>
    </comment>
    <comment ref="D58" authorId="1" shapeId="0" xr:uid="{00000000-0006-0000-0900-00001D000000}">
      <text>
        <r>
          <rPr>
            <b/>
            <sz val="10"/>
            <color indexed="81"/>
            <rFont val="Tahoma"/>
            <family val="2"/>
          </rPr>
          <t>Data Entry Cell, Amortizing Second Mortgage Amount</t>
        </r>
      </text>
    </comment>
    <comment ref="D59" authorId="1" shapeId="0" xr:uid="{00000000-0006-0000-0900-00001E000000}">
      <text>
        <r>
          <rPr>
            <b/>
            <sz val="10"/>
            <color indexed="81"/>
            <rFont val="Tahoma"/>
            <family val="2"/>
          </rPr>
          <t>Data Entry Cell, Is this 2nd Mortgage Loan funded by HOME program? Yes/No</t>
        </r>
      </text>
    </comment>
    <comment ref="D60" authorId="1" shapeId="0" xr:uid="{00000000-0006-0000-0900-00001F000000}">
      <text>
        <r>
          <rPr>
            <b/>
            <sz val="10"/>
            <color indexed="81"/>
            <rFont val="Tahoma"/>
            <family val="2"/>
          </rPr>
          <t>Data Entry Cell, Amortizing Second Mortgage Source</t>
        </r>
      </text>
    </comment>
    <comment ref="D61" authorId="1" shapeId="0" xr:uid="{00000000-0006-0000-0900-000020000000}">
      <text>
        <r>
          <rPr>
            <b/>
            <sz val="10"/>
            <color indexed="81"/>
            <rFont val="Tahoma"/>
            <family val="2"/>
          </rPr>
          <t>Data Entry Cell, Second Mortgage Interest Rate</t>
        </r>
      </text>
    </comment>
    <comment ref="D62" authorId="1" shapeId="0" xr:uid="{00000000-0006-0000-0900-000021000000}">
      <text>
        <r>
          <rPr>
            <b/>
            <sz val="10"/>
            <color indexed="81"/>
            <rFont val="Tahoma"/>
            <family val="2"/>
          </rPr>
          <t>Data Entry Cell, Second Mortgage Loan Term (years)</t>
        </r>
      </text>
    </comment>
    <comment ref="A65" authorId="0" shapeId="0" xr:uid="{00000000-0006-0000-0900-000022000000}">
      <text>
        <r>
          <rPr>
            <b/>
            <sz val="8"/>
            <color indexed="81"/>
            <rFont val="Tahoma"/>
            <family val="2"/>
          </rPr>
          <t>Typically it is undesirable for deferred payment loans (or any other loan with a balloon payment) to mature before the property is intended to be sold.  The Template provides the intended year of sale here, so you can use it to compare to the proposed term of the loans below.</t>
        </r>
      </text>
    </comment>
    <comment ref="A67" authorId="0" shapeId="0" xr:uid="{00000000-0006-0000-0900-000023000000}">
      <text>
        <r>
          <rPr>
            <b/>
            <sz val="8"/>
            <color indexed="81"/>
            <rFont val="Tahoma"/>
            <family val="2"/>
          </rPr>
          <t>In the Template, a 'deferred loan' will not receive any payments during its term.</t>
        </r>
        <r>
          <rPr>
            <sz val="8"/>
            <color indexed="81"/>
            <rFont val="Tahoma"/>
            <family val="2"/>
          </rPr>
          <t xml:space="preserve">
</t>
        </r>
      </text>
    </comment>
    <comment ref="D68" authorId="1" shapeId="0" xr:uid="{00000000-0006-0000-0900-000024000000}">
      <text>
        <r>
          <rPr>
            <b/>
            <sz val="10"/>
            <color indexed="81"/>
            <rFont val="Tahoma"/>
            <family val="2"/>
          </rPr>
          <t>Data Entry Cell, Deferred Payment Loan #1 Name</t>
        </r>
      </text>
    </comment>
    <comment ref="D69" authorId="1" shapeId="0" xr:uid="{00000000-0006-0000-0900-000025000000}">
      <text>
        <r>
          <rPr>
            <b/>
            <sz val="10"/>
            <color indexed="81"/>
            <rFont val="Tahoma"/>
            <family val="2"/>
          </rPr>
          <t xml:space="preserve">Data Entry Cell, Deferred Payment Loan #1 Amount </t>
        </r>
      </text>
    </comment>
    <comment ref="D70" authorId="1" shapeId="0" xr:uid="{00000000-0006-0000-0900-000026000000}">
      <text>
        <r>
          <rPr>
            <b/>
            <sz val="10"/>
            <color indexed="81"/>
            <rFont val="Tahoma"/>
            <family val="2"/>
          </rPr>
          <t>Data Entry Cell, Is this Deferred Loan #1 funded by HOME program? Yes/No</t>
        </r>
      </text>
    </comment>
    <comment ref="D71" authorId="1" shapeId="0" xr:uid="{00000000-0006-0000-0900-000027000000}">
      <text>
        <r>
          <rPr>
            <b/>
            <sz val="10"/>
            <color indexed="81"/>
            <rFont val="Tahoma"/>
            <family val="2"/>
          </rPr>
          <t>Data Entry Cell, Deferred Payment Loan #1 Source</t>
        </r>
      </text>
    </comment>
    <comment ref="D72" authorId="1" shapeId="0" xr:uid="{00000000-0006-0000-0900-000028000000}">
      <text>
        <r>
          <rPr>
            <b/>
            <sz val="10"/>
            <color indexed="81"/>
            <rFont val="Tahoma"/>
            <family val="2"/>
          </rPr>
          <t>Data Entry Cell, Deferred Payment Loan #1 Interest Rate</t>
        </r>
      </text>
    </comment>
    <comment ref="D73" authorId="1" shapeId="0" xr:uid="{00000000-0006-0000-0900-000029000000}">
      <text>
        <r>
          <rPr>
            <b/>
            <sz val="10"/>
            <color indexed="81"/>
            <rFont val="Tahoma"/>
            <family val="2"/>
          </rPr>
          <t>Data Entry Cell, Deferred Payment Loan #1 Year of Pay-Out (Maturity)</t>
        </r>
      </text>
    </comment>
    <comment ref="A77" authorId="0" shapeId="0" xr:uid="{00000000-0006-0000-0900-00002A000000}">
      <text>
        <r>
          <rPr>
            <b/>
            <sz val="8"/>
            <color indexed="81"/>
            <rFont val="Tahoma"/>
            <family val="2"/>
          </rPr>
          <t>In the Template, a 'deferred loan' will not receive any payments during its term.</t>
        </r>
        <r>
          <rPr>
            <sz val="8"/>
            <color indexed="81"/>
            <rFont val="Tahoma"/>
            <family val="2"/>
          </rPr>
          <t xml:space="preserve">
</t>
        </r>
      </text>
    </comment>
    <comment ref="D78" authorId="1" shapeId="0" xr:uid="{00000000-0006-0000-0900-00002B000000}">
      <text>
        <r>
          <rPr>
            <b/>
            <sz val="10"/>
            <color indexed="81"/>
            <rFont val="Tahoma"/>
            <family val="2"/>
          </rPr>
          <t>Data Entry Cell, Deferred Payment Loan #2 Name</t>
        </r>
      </text>
    </comment>
    <comment ref="D79" authorId="1" shapeId="0" xr:uid="{00000000-0006-0000-0900-00002C000000}">
      <text>
        <r>
          <rPr>
            <b/>
            <sz val="10"/>
            <color indexed="81"/>
            <rFont val="Tahoma"/>
            <family val="2"/>
          </rPr>
          <t xml:space="preserve">Data Entry Cell, Deferred Payment Loan #2 Amount </t>
        </r>
      </text>
    </comment>
    <comment ref="D80" authorId="1" shapeId="0" xr:uid="{00000000-0006-0000-0900-00002D000000}">
      <text>
        <r>
          <rPr>
            <b/>
            <sz val="10"/>
            <color indexed="81"/>
            <rFont val="Tahoma"/>
            <family val="2"/>
          </rPr>
          <t>Data Entry Cell, Is this Deferred Loan #2 funded by HOME program? Yes/No</t>
        </r>
      </text>
    </comment>
    <comment ref="D81" authorId="1" shapeId="0" xr:uid="{00000000-0006-0000-0900-00002E000000}">
      <text>
        <r>
          <rPr>
            <b/>
            <sz val="10"/>
            <color indexed="81"/>
            <rFont val="Tahoma"/>
            <family val="2"/>
          </rPr>
          <t>Data Entry Cell, Deferred Payment Loan #2 Source</t>
        </r>
      </text>
    </comment>
    <comment ref="D82" authorId="1" shapeId="0" xr:uid="{00000000-0006-0000-0900-00002F000000}">
      <text>
        <r>
          <rPr>
            <b/>
            <sz val="10"/>
            <color indexed="81"/>
            <rFont val="Tahoma"/>
            <family val="2"/>
          </rPr>
          <t>Data Entry Cell, Deferred Payment Loan #2 Interest Rate</t>
        </r>
      </text>
    </comment>
    <comment ref="D83" authorId="1" shapeId="0" xr:uid="{00000000-0006-0000-0900-000030000000}">
      <text>
        <r>
          <rPr>
            <b/>
            <sz val="10"/>
            <color indexed="81"/>
            <rFont val="Tahoma"/>
            <family val="2"/>
          </rPr>
          <t>Data Entry Cell, Deferred Payment Loan #2 Year of Pay-Out (Maturity)</t>
        </r>
      </text>
    </comment>
    <comment ref="A87" authorId="0" shapeId="0" xr:uid="{00000000-0006-0000-0900-000031000000}">
      <text>
        <r>
          <rPr>
            <b/>
            <sz val="8"/>
            <color indexed="81"/>
            <rFont val="Tahoma"/>
            <family val="2"/>
          </rPr>
          <t>In the Template, a 'custom loan' will have some payments during its term but is not an 'amortizing second mortgage'.  You can enter the estimated payment stream on the Operating Pro Forma tab.</t>
        </r>
        <r>
          <rPr>
            <sz val="8"/>
            <color indexed="81"/>
            <rFont val="Tahoma"/>
            <family val="2"/>
          </rPr>
          <t xml:space="preserve">
</t>
        </r>
      </text>
    </comment>
    <comment ref="D88" authorId="1" shapeId="0" xr:uid="{00000000-0006-0000-0900-000032000000}">
      <text>
        <r>
          <rPr>
            <b/>
            <sz val="10"/>
            <color indexed="81"/>
            <rFont val="Tahoma"/>
            <family val="2"/>
          </rPr>
          <t>Data Entry Cell, Custom Loan #1 Name</t>
        </r>
      </text>
    </comment>
    <comment ref="D89" authorId="1" shapeId="0" xr:uid="{00000000-0006-0000-0900-000033000000}">
      <text>
        <r>
          <rPr>
            <b/>
            <sz val="10"/>
            <color indexed="81"/>
            <rFont val="Tahoma"/>
            <family val="2"/>
          </rPr>
          <t xml:space="preserve">Data Entry Cell, Custom Loan #1 Amount </t>
        </r>
      </text>
    </comment>
    <comment ref="D90" authorId="1" shapeId="0" xr:uid="{00000000-0006-0000-0900-000034000000}">
      <text>
        <r>
          <rPr>
            <b/>
            <sz val="10"/>
            <color indexed="81"/>
            <rFont val="Tahoma"/>
            <family val="2"/>
          </rPr>
          <t>Data Entry Cell, Is this Custom Loan #1 funded by HOME program? Yes/No</t>
        </r>
      </text>
    </comment>
    <comment ref="D91" authorId="1" shapeId="0" xr:uid="{00000000-0006-0000-0900-000035000000}">
      <text>
        <r>
          <rPr>
            <b/>
            <sz val="10"/>
            <color indexed="81"/>
            <rFont val="Tahoma"/>
            <family val="2"/>
          </rPr>
          <t>Data Entry Cell, Custom Loan #1 Source</t>
        </r>
      </text>
    </comment>
    <comment ref="D92" authorId="1" shapeId="0" xr:uid="{00000000-0006-0000-0900-000036000000}">
      <text>
        <r>
          <rPr>
            <b/>
            <sz val="10"/>
            <color indexed="81"/>
            <rFont val="Tahoma"/>
            <family val="2"/>
          </rPr>
          <t>Data Entry Cell, Custom Loan #1 Interest Rate</t>
        </r>
      </text>
    </comment>
    <comment ref="D93" authorId="1" shapeId="0" xr:uid="{00000000-0006-0000-0900-000037000000}">
      <text>
        <r>
          <rPr>
            <b/>
            <sz val="10"/>
            <color indexed="81"/>
            <rFont val="Tahoma"/>
            <family val="2"/>
          </rPr>
          <t>Data Entry Cell, Custom Loan #1 Year of Pay-Out (Maturity)</t>
        </r>
      </text>
    </comment>
    <comment ref="A98" authorId="0" shapeId="0" xr:uid="{00000000-0006-0000-0900-000038000000}">
      <text>
        <r>
          <rPr>
            <b/>
            <sz val="8"/>
            <color indexed="81"/>
            <rFont val="Tahoma"/>
            <family val="2"/>
          </rPr>
          <t>In the Template, a 'custom loan' will have some payments during its term but is not an 'amortizing second mortgage'.  You can enter the estimated payment stream on the Operating Pro Forma tab.</t>
        </r>
        <r>
          <rPr>
            <sz val="8"/>
            <color indexed="81"/>
            <rFont val="Tahoma"/>
            <family val="2"/>
          </rPr>
          <t xml:space="preserve">
</t>
        </r>
      </text>
    </comment>
    <comment ref="D99" authorId="1" shapeId="0" xr:uid="{00000000-0006-0000-0900-000039000000}">
      <text>
        <r>
          <rPr>
            <b/>
            <sz val="10"/>
            <color indexed="81"/>
            <rFont val="Tahoma"/>
            <family val="2"/>
          </rPr>
          <t>Data Entry Cell, Custom Loan #2 Name</t>
        </r>
      </text>
    </comment>
    <comment ref="D100" authorId="1" shapeId="0" xr:uid="{00000000-0006-0000-0900-00003A000000}">
      <text>
        <r>
          <rPr>
            <b/>
            <sz val="10"/>
            <color indexed="81"/>
            <rFont val="Tahoma"/>
            <family val="2"/>
          </rPr>
          <t xml:space="preserve">Data Entry Cell, Custom Loan #2 Amount </t>
        </r>
      </text>
    </comment>
    <comment ref="D101" authorId="1" shapeId="0" xr:uid="{00000000-0006-0000-0900-00003B000000}">
      <text>
        <r>
          <rPr>
            <b/>
            <sz val="10"/>
            <color indexed="81"/>
            <rFont val="Tahoma"/>
            <family val="2"/>
          </rPr>
          <t>Data Entry Cell, Is this Custom Loan #2 funded by HOME program? Yes/No</t>
        </r>
      </text>
    </comment>
    <comment ref="D102" authorId="1" shapeId="0" xr:uid="{00000000-0006-0000-0900-00003C000000}">
      <text>
        <r>
          <rPr>
            <b/>
            <sz val="10"/>
            <color indexed="81"/>
            <rFont val="Tahoma"/>
            <family val="2"/>
          </rPr>
          <t>Data Entry Cell, Custom Loan #2 Source</t>
        </r>
      </text>
    </comment>
    <comment ref="D103" authorId="1" shapeId="0" xr:uid="{00000000-0006-0000-0900-00003D000000}">
      <text>
        <r>
          <rPr>
            <b/>
            <sz val="10"/>
            <color indexed="81"/>
            <rFont val="Tahoma"/>
            <family val="2"/>
          </rPr>
          <t>Data Entry Cell, Custom Loan #2 Interest Rate</t>
        </r>
      </text>
    </comment>
    <comment ref="D104" authorId="1" shapeId="0" xr:uid="{00000000-0006-0000-0900-00003E000000}">
      <text>
        <r>
          <rPr>
            <b/>
            <sz val="10"/>
            <color indexed="81"/>
            <rFont val="Tahoma"/>
            <family val="2"/>
          </rPr>
          <t>Data Entry Cell, Custom Loan #2 Year of Pay-Out (Maturity)</t>
        </r>
      </text>
    </comment>
    <comment ref="C108" authorId="1" shapeId="0" xr:uid="{00000000-0006-0000-0900-00003F000000}">
      <text>
        <r>
          <rPr>
            <b/>
            <sz val="10"/>
            <color indexed="81"/>
            <rFont val="Tahoma"/>
            <family val="2"/>
          </rPr>
          <t>Data Entry Cell, Comment on Junior Loans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s>
  <commentList>
    <comment ref="A7" authorId="0" shapeId="0" xr:uid="{00000000-0006-0000-0A00-000001000000}">
      <text>
        <r>
          <rPr>
            <b/>
            <sz val="8"/>
            <color indexed="81"/>
            <rFont val="Tahoma"/>
            <family val="2"/>
          </rPr>
          <t>Use this section to enter information on all sources of funding (including HOME funding).</t>
        </r>
      </text>
    </comment>
    <comment ref="A8" authorId="0" shapeId="0" xr:uid="{00000000-0006-0000-0A00-000002000000}">
      <text>
        <r>
          <rPr>
            <b/>
            <sz val="8"/>
            <color indexed="81"/>
            <rFont val="Tahoma"/>
            <family val="2"/>
          </rPr>
          <t>The Template provides the calculated maxmium first mortgage amount in column H, so that you can compare it to the proposed first mortgage amount.  If column H is hidden, use the radio button below to reveal the hidden columns.</t>
        </r>
      </text>
    </comment>
    <comment ref="F8" authorId="0" shapeId="0" xr:uid="{00000000-0006-0000-0A00-000003000000}">
      <text>
        <r>
          <rPr>
            <b/>
            <sz val="10"/>
            <color indexed="81"/>
            <rFont val="Verdana"/>
            <family val="2"/>
          </rPr>
          <t>Data Entry Cell, Comment on First Mortgage</t>
        </r>
      </text>
    </comment>
    <comment ref="F9" authorId="0" shapeId="0" xr:uid="{00000000-0006-0000-0A00-000004000000}">
      <text>
        <r>
          <rPr>
            <b/>
            <sz val="10"/>
            <color indexed="81"/>
            <rFont val="Verdana"/>
            <family val="2"/>
          </rPr>
          <t>Data Entry Cell, Comment on HOME Loan</t>
        </r>
      </text>
    </comment>
    <comment ref="F10" authorId="0" shapeId="0" xr:uid="{00000000-0006-0000-0A00-000005000000}">
      <text>
        <r>
          <rPr>
            <b/>
            <sz val="10"/>
            <color indexed="81"/>
            <rFont val="Verdana"/>
            <family val="2"/>
          </rPr>
          <t>Data Entry Cell, Comment on Deferred Loan #1 (described in column C)</t>
        </r>
      </text>
    </comment>
    <comment ref="F11" authorId="0" shapeId="0" xr:uid="{00000000-0006-0000-0A00-000006000000}">
      <text>
        <r>
          <rPr>
            <b/>
            <sz val="10"/>
            <color indexed="81"/>
            <rFont val="Verdana"/>
            <family val="2"/>
          </rPr>
          <t>Data Entry Cell, Comment on Deferred Loan #2 (described in column C)</t>
        </r>
      </text>
    </comment>
    <comment ref="F12" authorId="0" shapeId="0" xr:uid="{00000000-0006-0000-0A00-000007000000}">
      <text>
        <r>
          <rPr>
            <b/>
            <sz val="10"/>
            <color indexed="81"/>
            <rFont val="Verdana"/>
            <family val="2"/>
          </rPr>
          <t>Data Entry Cell, Comment on Custom Loan #1 (described in column C)</t>
        </r>
      </text>
    </comment>
    <comment ref="F13" authorId="0" shapeId="0" xr:uid="{00000000-0006-0000-0A00-000008000000}">
      <text>
        <r>
          <rPr>
            <b/>
            <sz val="10"/>
            <color indexed="81"/>
            <rFont val="Verdana"/>
            <family val="2"/>
          </rPr>
          <t>Data Entry Cell, Comment on Custom Loan #2 (described in column C)</t>
        </r>
      </text>
    </comment>
    <comment ref="A14" authorId="0" shapeId="0" xr:uid="{00000000-0006-0000-0A00-000009000000}">
      <text>
        <r>
          <rPr>
            <b/>
            <sz val="8"/>
            <color indexed="81"/>
            <rFont val="Tahoma"/>
            <family val="2"/>
          </rPr>
          <t xml:space="preserve">Usually, deferred developer fee is the source of funds that is utilized in order to balance sources and uses at the end of your analysis of the development budget.  If developer fee is deferred, that reduces the funding gap that needs to be filled with HOME funds.  On the other hand, only the portion of developer fee that is </t>
        </r>
        <r>
          <rPr>
            <b/>
            <u/>
            <sz val="8"/>
            <color indexed="81"/>
            <rFont val="Tahoma"/>
            <family val="2"/>
          </rPr>
          <t>not</t>
        </r>
        <r>
          <rPr>
            <b/>
            <sz val="8"/>
            <color indexed="81"/>
            <rFont val="Tahoma"/>
            <family val="2"/>
          </rPr>
          <t xml:space="preserve"> deferred is available to cover cost overruns.</t>
        </r>
      </text>
    </comment>
    <comment ref="D14" authorId="1" shapeId="0" xr:uid="{00000000-0006-0000-0A00-00000A000000}">
      <text>
        <r>
          <rPr>
            <b/>
            <sz val="10"/>
            <color indexed="81"/>
            <rFont val="Tahoma"/>
            <family val="2"/>
          </rPr>
          <t>Data Entry Cell, Deferred Developer Fee</t>
        </r>
      </text>
    </comment>
    <comment ref="E14" authorId="1" shapeId="0" xr:uid="{00000000-0006-0000-0A00-00000B000000}">
      <text>
        <r>
          <rPr>
            <b/>
            <sz val="10"/>
            <color indexed="81"/>
            <rFont val="Tahoma"/>
            <family val="2"/>
          </rPr>
          <t>Data Entry Cell, Deferred Developer Fee, Is this a HOME Source? Yes/No</t>
        </r>
      </text>
    </comment>
    <comment ref="F14" authorId="0" shapeId="0" xr:uid="{00000000-0006-0000-0A00-00000C000000}">
      <text>
        <r>
          <rPr>
            <b/>
            <sz val="10"/>
            <color indexed="81"/>
            <rFont val="Verdana"/>
            <family val="2"/>
          </rPr>
          <t>Data Entry Cell, Comment on Deferred Developer Fee</t>
        </r>
      </text>
    </comment>
    <comment ref="A15" authorId="0" shapeId="0" xr:uid="{00000000-0006-0000-0A00-00000D000000}">
      <text>
        <r>
          <rPr>
            <b/>
            <sz val="8"/>
            <color indexed="81"/>
            <rFont val="Tahoma"/>
            <family val="2"/>
          </rPr>
          <t xml:space="preserve">The amount of developer equity invested in a project is an important demonstration of the developer’s commitment to a project’s success.  The more developer equity invested in a project, the more lenders may be willing to provide financing on favorable terms.
In addition to contributing to the Template’s calculations concerning project financing, Developer Investment will be used to calculate the project’s return on investment on the Operating Pro Forma tab.
</t>
        </r>
        <r>
          <rPr>
            <sz val="8"/>
            <color indexed="81"/>
            <rFont val="Tahoma"/>
            <family val="2"/>
          </rPr>
          <t xml:space="preserve">
</t>
        </r>
        <r>
          <rPr>
            <b/>
            <sz val="8"/>
            <color indexed="81"/>
            <rFont val="Tahoma"/>
            <family val="2"/>
          </rPr>
          <t>Sometimes, developers contribute equity in the form of cash.  Developers sometimes also contribute land and/or buildings at a below-market price (in this situation, generally you would enter the Acquisition Costs at market value [on the Development Costs tab], plus a Developer Investment equal to any discount below market value [on this tab]).</t>
        </r>
      </text>
    </comment>
    <comment ref="D15" authorId="1" shapeId="0" xr:uid="{00000000-0006-0000-0A00-00000E000000}">
      <text>
        <r>
          <rPr>
            <b/>
            <sz val="10"/>
            <color indexed="81"/>
            <rFont val="Tahoma"/>
            <family val="2"/>
          </rPr>
          <t>Data Entry Cell, Developer Cash Investment</t>
        </r>
      </text>
    </comment>
    <comment ref="E15" authorId="1" shapeId="0" xr:uid="{00000000-0006-0000-0A00-00000F000000}">
      <text>
        <r>
          <rPr>
            <b/>
            <sz val="10"/>
            <color indexed="81"/>
            <rFont val="Tahoma"/>
            <family val="2"/>
          </rPr>
          <t>Data Entry Cell, Developer Cash Investment, Is this a HOME Source? Yes/No</t>
        </r>
      </text>
    </comment>
    <comment ref="F15" authorId="0" shapeId="0" xr:uid="{00000000-0006-0000-0A00-000010000000}">
      <text>
        <r>
          <rPr>
            <b/>
            <sz val="10"/>
            <color indexed="81"/>
            <rFont val="Verdana"/>
            <family val="2"/>
          </rPr>
          <t>Data Entry Cell, Comment on Developer Cash Investment</t>
        </r>
      </text>
    </comment>
    <comment ref="A16" authorId="0" shapeId="0" xr:uid="{00000000-0006-0000-0A00-000011000000}">
      <text>
        <r>
          <rPr>
            <b/>
            <sz val="8"/>
            <color indexed="81"/>
            <rFont val="Tahoma"/>
            <family val="2"/>
          </rPr>
          <t>The Template provides the calculated LIHTC equity amount in column H, so that you can compare it to the proposed LIHTC equity amount.  If column H is hidden, use the radio button below to reveal the hidden columns.</t>
        </r>
      </text>
    </comment>
    <comment ref="D16" authorId="1" shapeId="0" xr:uid="{00000000-0006-0000-0A00-000012000000}">
      <text>
        <r>
          <rPr>
            <b/>
            <sz val="10"/>
            <color indexed="81"/>
            <rFont val="Tahoma"/>
            <family val="2"/>
          </rPr>
          <t>Data Entry Cell, Tax Credit Equity</t>
        </r>
      </text>
    </comment>
    <comment ref="E16" authorId="1" shapeId="0" xr:uid="{00000000-0006-0000-0A00-000013000000}">
      <text>
        <r>
          <rPr>
            <b/>
            <sz val="10"/>
            <color indexed="81"/>
            <rFont val="Tahoma"/>
            <family val="2"/>
          </rPr>
          <t>Data Entry Cell, Tax Credit Equity, Is this a HOME Source? Yes/No</t>
        </r>
      </text>
    </comment>
    <comment ref="F16" authorId="0" shapeId="0" xr:uid="{00000000-0006-0000-0A00-000014000000}">
      <text>
        <r>
          <rPr>
            <b/>
            <sz val="10"/>
            <color indexed="81"/>
            <rFont val="Verdana"/>
            <family val="2"/>
          </rPr>
          <t>Data Entry Cell, Comment on Tax Credit Equity</t>
        </r>
      </text>
    </comment>
    <comment ref="A17" authorId="0" shapeId="0" xr:uid="{00000000-0006-0000-0A00-000015000000}">
      <text>
        <r>
          <rPr>
            <b/>
            <sz val="8"/>
            <color indexed="81"/>
            <rFont val="Tahoma"/>
            <family val="2"/>
          </rPr>
          <t>Other sources of funds might include CDBG loans, loans from a state affordable housing trust fund, or foundation grants / loans.</t>
        </r>
      </text>
    </comment>
    <comment ref="C17" authorId="0" shapeId="0" xr:uid="{00000000-0006-0000-0A00-000016000000}">
      <text>
        <r>
          <rPr>
            <b/>
            <sz val="10"/>
            <color indexed="81"/>
            <rFont val="Verdana"/>
            <family val="2"/>
          </rPr>
          <t>Data Entry Cell, Insert Name of Other Source #1</t>
        </r>
      </text>
    </comment>
    <comment ref="D17" authorId="1" shapeId="0" xr:uid="{00000000-0006-0000-0A00-000017000000}">
      <text>
        <r>
          <rPr>
            <b/>
            <sz val="10"/>
            <color indexed="81"/>
            <rFont val="Tahoma"/>
            <family val="2"/>
          </rPr>
          <t>Data Entry Cell, Other Source #1</t>
        </r>
      </text>
    </comment>
    <comment ref="E17" authorId="1" shapeId="0" xr:uid="{00000000-0006-0000-0A00-000018000000}">
      <text>
        <r>
          <rPr>
            <b/>
            <sz val="10"/>
            <color indexed="81"/>
            <rFont val="Tahoma"/>
            <family val="2"/>
          </rPr>
          <t>Data Entry Cell, Other Source #1, Is this a HOME Source? Yes/No</t>
        </r>
      </text>
    </comment>
    <comment ref="F17" authorId="0" shapeId="0" xr:uid="{00000000-0006-0000-0A00-000019000000}">
      <text>
        <r>
          <rPr>
            <b/>
            <sz val="10"/>
            <color indexed="81"/>
            <rFont val="Verdana"/>
            <family val="2"/>
          </rPr>
          <t>Data Entry Cell, Comment on Other Source #1</t>
        </r>
      </text>
    </comment>
    <comment ref="C18" authorId="0" shapeId="0" xr:uid="{00000000-0006-0000-0A00-00001A000000}">
      <text>
        <r>
          <rPr>
            <b/>
            <sz val="10"/>
            <color indexed="81"/>
            <rFont val="Verdana"/>
            <family val="2"/>
          </rPr>
          <t>Data Entry Cell, Insert Name of Other Source #6</t>
        </r>
      </text>
    </comment>
    <comment ref="D18" authorId="1" shapeId="0" xr:uid="{00000000-0006-0000-0A00-00001B000000}">
      <text>
        <r>
          <rPr>
            <b/>
            <sz val="10"/>
            <color indexed="81"/>
            <rFont val="Tahoma"/>
            <family val="2"/>
          </rPr>
          <t>Data Entry Cell, Other Source #2</t>
        </r>
      </text>
    </comment>
    <comment ref="E18" authorId="1" shapeId="0" xr:uid="{00000000-0006-0000-0A00-00001C000000}">
      <text>
        <r>
          <rPr>
            <b/>
            <sz val="10"/>
            <color indexed="81"/>
            <rFont val="Tahoma"/>
            <family val="2"/>
          </rPr>
          <t>Data Entry Cell, Other Source #2, Is this a HOME Source? Yes/No</t>
        </r>
      </text>
    </comment>
    <comment ref="F18" authorId="0" shapeId="0" xr:uid="{00000000-0006-0000-0A00-00001D000000}">
      <text>
        <r>
          <rPr>
            <b/>
            <sz val="10"/>
            <color indexed="81"/>
            <rFont val="Verdana"/>
            <family val="2"/>
          </rPr>
          <t>Data Entry Cell, Comment on Other Source #2</t>
        </r>
      </text>
    </comment>
    <comment ref="C19" authorId="0" shapeId="0" xr:uid="{00000000-0006-0000-0A00-00001E000000}">
      <text>
        <r>
          <rPr>
            <b/>
            <sz val="10"/>
            <color indexed="81"/>
            <rFont val="Verdana"/>
            <family val="2"/>
          </rPr>
          <t>Data Entry Cell, Insert Name of Other Source #1</t>
        </r>
      </text>
    </comment>
    <comment ref="D19" authorId="1" shapeId="0" xr:uid="{00000000-0006-0000-0A00-00001F000000}">
      <text>
        <r>
          <rPr>
            <b/>
            <sz val="10"/>
            <color indexed="81"/>
            <rFont val="Tahoma"/>
            <family val="2"/>
          </rPr>
          <t>Data Entry Cell, Other Source #3</t>
        </r>
      </text>
    </comment>
    <comment ref="E19" authorId="1" shapeId="0" xr:uid="{00000000-0006-0000-0A00-000020000000}">
      <text>
        <r>
          <rPr>
            <b/>
            <sz val="10"/>
            <color indexed="81"/>
            <rFont val="Tahoma"/>
            <family val="2"/>
          </rPr>
          <t>Data Entry Cell, Other Source #3, Is this a HOME Source? Yes/No</t>
        </r>
      </text>
    </comment>
    <comment ref="F19" authorId="0" shapeId="0" xr:uid="{00000000-0006-0000-0A00-000021000000}">
      <text>
        <r>
          <rPr>
            <b/>
            <sz val="10"/>
            <color indexed="81"/>
            <rFont val="Verdana"/>
            <family val="2"/>
          </rPr>
          <t>Data Entry Cell, Comment on Other Source #3</t>
        </r>
      </text>
    </comment>
    <comment ref="C20" authorId="0" shapeId="0" xr:uid="{00000000-0006-0000-0A00-000022000000}">
      <text>
        <r>
          <rPr>
            <b/>
            <sz val="10"/>
            <color indexed="81"/>
            <rFont val="Verdana"/>
            <family val="2"/>
          </rPr>
          <t>Data Entry Cell, Insert Name of Other Source #1</t>
        </r>
      </text>
    </comment>
    <comment ref="D20" authorId="1" shapeId="0" xr:uid="{00000000-0006-0000-0A00-000023000000}">
      <text>
        <r>
          <rPr>
            <b/>
            <sz val="10"/>
            <color indexed="81"/>
            <rFont val="Tahoma"/>
            <family val="2"/>
          </rPr>
          <t>Data Entry Cell, Other Source #4</t>
        </r>
      </text>
    </comment>
    <comment ref="E20" authorId="1" shapeId="0" xr:uid="{00000000-0006-0000-0A00-000024000000}">
      <text>
        <r>
          <rPr>
            <b/>
            <sz val="10"/>
            <color indexed="81"/>
            <rFont val="Tahoma"/>
            <family val="2"/>
          </rPr>
          <t>Data Entry Cell, Other Source #4, Is this a HOME Source? Yes/No</t>
        </r>
      </text>
    </comment>
    <comment ref="F20" authorId="0" shapeId="0" xr:uid="{00000000-0006-0000-0A00-000025000000}">
      <text>
        <r>
          <rPr>
            <b/>
            <sz val="10"/>
            <color indexed="81"/>
            <rFont val="Verdana"/>
            <family val="2"/>
          </rPr>
          <t>Data Entry Cell, Comment on Other Source #4</t>
        </r>
      </text>
    </comment>
    <comment ref="C21" authorId="0" shapeId="0" xr:uid="{00000000-0006-0000-0A00-000026000000}">
      <text>
        <r>
          <rPr>
            <b/>
            <sz val="10"/>
            <color indexed="81"/>
            <rFont val="Verdana"/>
            <family val="2"/>
          </rPr>
          <t>Data Entry Cell, Insert Name of Other Source #1</t>
        </r>
      </text>
    </comment>
    <comment ref="D21" authorId="1" shapeId="0" xr:uid="{00000000-0006-0000-0A00-000027000000}">
      <text>
        <r>
          <rPr>
            <b/>
            <sz val="10"/>
            <color indexed="81"/>
            <rFont val="Tahoma"/>
            <family val="2"/>
          </rPr>
          <t>Data Entry Cell, Other Source #5</t>
        </r>
      </text>
    </comment>
    <comment ref="E21" authorId="1" shapeId="0" xr:uid="{00000000-0006-0000-0A00-000028000000}">
      <text>
        <r>
          <rPr>
            <b/>
            <sz val="10"/>
            <color indexed="81"/>
            <rFont val="Tahoma"/>
            <family val="2"/>
          </rPr>
          <t>Data Entry Cell, Other Source #5, Is this a HOME Source? Yes/No</t>
        </r>
      </text>
    </comment>
    <comment ref="F21" authorId="0" shapeId="0" xr:uid="{00000000-0006-0000-0A00-000029000000}">
      <text>
        <r>
          <rPr>
            <b/>
            <sz val="10"/>
            <color indexed="81"/>
            <rFont val="Verdana"/>
            <family val="2"/>
          </rPr>
          <t>Data Entry Cell, Comment on Other Source #5</t>
        </r>
      </text>
    </comment>
    <comment ref="C22" authorId="0" shapeId="0" xr:uid="{00000000-0006-0000-0A00-00002A000000}">
      <text>
        <r>
          <rPr>
            <b/>
            <sz val="10"/>
            <color indexed="81"/>
            <rFont val="Verdana"/>
            <family val="2"/>
          </rPr>
          <t>Data Entry Cell, Insert Name of Other Source #1</t>
        </r>
      </text>
    </comment>
    <comment ref="D22" authorId="1" shapeId="0" xr:uid="{00000000-0006-0000-0A00-00002B000000}">
      <text>
        <r>
          <rPr>
            <b/>
            <sz val="10"/>
            <color indexed="81"/>
            <rFont val="Tahoma"/>
            <family val="2"/>
          </rPr>
          <t>Data Entry Cell, Other Source #6</t>
        </r>
      </text>
    </comment>
    <comment ref="E22" authorId="1" shapeId="0" xr:uid="{00000000-0006-0000-0A00-00002C000000}">
      <text>
        <r>
          <rPr>
            <b/>
            <sz val="10"/>
            <color indexed="81"/>
            <rFont val="Tahoma"/>
            <family val="2"/>
          </rPr>
          <t>Data Entry Cell, Other Source #6, Is this a HOME Source? Yes/No</t>
        </r>
      </text>
    </comment>
    <comment ref="F22" authorId="0" shapeId="0" xr:uid="{00000000-0006-0000-0A00-00002D000000}">
      <text>
        <r>
          <rPr>
            <b/>
            <sz val="10"/>
            <color indexed="81"/>
            <rFont val="Verdana"/>
            <family val="2"/>
          </rPr>
          <t>Data Entry Cell, Comment on Other Source #6</t>
        </r>
      </text>
    </comment>
    <comment ref="A25" authorId="0" shapeId="0" xr:uid="{00000000-0006-0000-0A00-00002E000000}">
      <text>
        <r>
          <rPr>
            <b/>
            <sz val="8"/>
            <color indexed="81"/>
            <rFont val="Tahoma"/>
            <family val="2"/>
          </rPr>
          <t>This amount is calculated based on the entries in column E above.  Please make sure that all HOME-funded sources have "Yes" in column E.</t>
        </r>
      </text>
    </comment>
    <comment ref="A26" authorId="0" shapeId="0" xr:uid="{00000000-0006-0000-0A00-00002F000000}">
      <text>
        <r>
          <rPr>
            <b/>
            <sz val="8"/>
            <color indexed="81"/>
            <rFont val="Tahoma"/>
            <family val="2"/>
          </rPr>
          <t>Deferred Developer Fee plus Developer Cash Investment.</t>
        </r>
      </text>
    </comment>
    <comment ref="A28" authorId="0" shapeId="0" xr:uid="{00000000-0006-0000-0A00-000030000000}">
      <text>
        <r>
          <rPr>
            <b/>
            <sz val="8"/>
            <color indexed="81"/>
            <rFont val="Tahoma"/>
            <family val="2"/>
          </rPr>
          <t>These totals come from the Development Costs tab.</t>
        </r>
      </text>
    </comment>
    <comment ref="E29" authorId="0" shapeId="0" xr:uid="{00000000-0006-0000-0A00-000031000000}">
      <text>
        <r>
          <rPr>
            <b/>
            <sz val="10"/>
            <color indexed="81"/>
            <rFont val="Verdana"/>
            <family val="2"/>
          </rPr>
          <t>Data Entry Cell, Comment on Acquisition Costs</t>
        </r>
      </text>
    </comment>
    <comment ref="E30" authorId="0" shapeId="0" xr:uid="{00000000-0006-0000-0A00-000032000000}">
      <text>
        <r>
          <rPr>
            <b/>
            <sz val="10"/>
            <color indexed="81"/>
            <rFont val="Verdana"/>
            <family val="2"/>
          </rPr>
          <t>Data Entry Cell, Comment on Site Work Costs</t>
        </r>
      </text>
    </comment>
    <comment ref="E31" authorId="0" shapeId="0" xr:uid="{00000000-0006-0000-0A00-000033000000}">
      <text>
        <r>
          <rPr>
            <b/>
            <sz val="10"/>
            <color indexed="81"/>
            <rFont val="Verdana"/>
            <family val="2"/>
          </rPr>
          <t>Data Entry Cell, Comment on Construction / Rehabilitation Costs</t>
        </r>
      </text>
    </comment>
    <comment ref="E32" authorId="0" shapeId="0" xr:uid="{00000000-0006-0000-0A00-000034000000}">
      <text>
        <r>
          <rPr>
            <b/>
            <sz val="10"/>
            <color indexed="81"/>
            <rFont val="Verdana"/>
            <family val="2"/>
          </rPr>
          <t>Data Entry Cell, Comment on Architectural / Engineering Costs</t>
        </r>
      </text>
    </comment>
    <comment ref="E33" authorId="0" shapeId="0" xr:uid="{00000000-0006-0000-0A00-000035000000}">
      <text>
        <r>
          <rPr>
            <b/>
            <sz val="10"/>
            <color indexed="81"/>
            <rFont val="Verdana"/>
            <family val="2"/>
          </rPr>
          <t>Data Entry Cell, Comment on Other Owner Costs</t>
        </r>
      </text>
    </comment>
    <comment ref="E34" authorId="0" shapeId="0" xr:uid="{00000000-0006-0000-0A00-000036000000}">
      <text>
        <r>
          <rPr>
            <b/>
            <sz val="10"/>
            <color indexed="81"/>
            <rFont val="Verdana"/>
            <family val="2"/>
          </rPr>
          <t>Data Entry Cell, Comment on Construction Interest Cost</t>
        </r>
      </text>
    </comment>
    <comment ref="E35" authorId="0" shapeId="0" xr:uid="{00000000-0006-0000-0A00-000037000000}">
      <text>
        <r>
          <rPr>
            <b/>
            <sz val="10"/>
            <color indexed="81"/>
            <rFont val="Verdana"/>
            <family val="2"/>
          </rPr>
          <t>Data Entry Cell, Comment on Other Interim Financing Costs</t>
        </r>
      </text>
    </comment>
    <comment ref="E36" authorId="0" shapeId="0" xr:uid="{00000000-0006-0000-0A00-000038000000}">
      <text>
        <r>
          <rPr>
            <b/>
            <sz val="10"/>
            <color indexed="81"/>
            <rFont val="Verdana"/>
            <family val="2"/>
          </rPr>
          <t>Data Entry Cell, Comment on Permanent Financing Costs</t>
        </r>
      </text>
    </comment>
    <comment ref="E37" authorId="0" shapeId="0" xr:uid="{00000000-0006-0000-0A00-000039000000}">
      <text>
        <r>
          <rPr>
            <b/>
            <sz val="10"/>
            <color indexed="81"/>
            <rFont val="Verdana"/>
            <family val="2"/>
          </rPr>
          <t>Data Entry Cell, Comment on Developer's Fee</t>
        </r>
      </text>
    </comment>
    <comment ref="E38" authorId="0" shapeId="0" xr:uid="{00000000-0006-0000-0A00-00003A000000}">
      <text>
        <r>
          <rPr>
            <b/>
            <sz val="10"/>
            <color indexed="81"/>
            <rFont val="Verdana"/>
            <family val="2"/>
          </rPr>
          <t>Data Entry Cell, Comment on Initial Project Reserves</t>
        </r>
      </text>
    </comment>
    <comment ref="E39" authorId="0" shapeId="0" xr:uid="{00000000-0006-0000-0A00-00003B000000}">
      <text>
        <r>
          <rPr>
            <b/>
            <sz val="10"/>
            <color indexed="81"/>
            <rFont val="Verdana"/>
            <family val="2"/>
          </rPr>
          <t>Data Entry Cell, Comment on Project Management Costs</t>
        </r>
      </text>
    </comment>
    <comment ref="E40" authorId="0" shapeId="0" xr:uid="{00000000-0006-0000-0A00-00003C000000}">
      <text>
        <r>
          <rPr>
            <b/>
            <sz val="10"/>
            <color indexed="81"/>
            <rFont val="Verdana"/>
            <family val="2"/>
          </rPr>
          <t>Data Entry Cell, Comment on Other Development Costs</t>
        </r>
      </text>
    </comment>
    <comment ref="C47" authorId="1" shapeId="0" xr:uid="{00000000-0006-0000-0A00-00003D000000}">
      <text>
        <r>
          <rPr>
            <b/>
            <sz val="10"/>
            <color indexed="81"/>
            <rFont val="Tahoma"/>
            <family val="2"/>
          </rPr>
          <t>Data Entry Cell, Comment on Sources and Uses of Funds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s>
  <commentList>
    <comment ref="A1" authorId="0" shapeId="0" xr:uid="{00000000-0006-0000-0B00-000001000000}">
      <text>
        <r>
          <rPr>
            <b/>
            <sz val="8"/>
            <color indexed="81"/>
            <rFont val="Tahoma"/>
            <family val="2"/>
          </rPr>
          <t xml:space="preserve">The purpose of this tab is to enable the underwriter to make a more accurate estimate of construction interest costs, and to ensure that there will be sufficient sources of funds each month to cover anticipated development costs that must be paid that month.  </t>
        </r>
      </text>
    </comment>
    <comment ref="A7" authorId="0" shapeId="0" xr:uid="{00000000-0006-0000-0B00-000002000000}">
      <text>
        <r>
          <rPr>
            <b/>
            <sz val="8"/>
            <color indexed="81"/>
            <rFont val="Tahoma"/>
            <family val="2"/>
          </rPr>
          <t>On each line in the Development Costs section, the Total amount comes from the Development Costs sheet.  The Monthly amounts are pre-populated with formulas that reflect the typical timing of each line item over the construction period, but each cell can be modified by the user as desired.
For typical projects, the user will need to make timing adjustments only to the Developer Fee line and to the Sources of Funds lines.
For each of the Soft Costs, it is a good idea to verify the timing; sometimes a cost might typically be paid at the end of the construction period but, in your project, might be paid as part of the first draw.
The user should pay careful attention to the Developer Fee line, because the timing of developer fee payment varies widely from project to project.</t>
        </r>
      </text>
    </comment>
    <comment ref="E9" authorId="1" shapeId="0" xr:uid="{00000000-0006-0000-0B00-000003000000}">
      <text>
        <r>
          <rPr>
            <b/>
            <sz val="10"/>
            <color indexed="81"/>
            <rFont val="Tahoma"/>
            <family val="2"/>
          </rPr>
          <t>Data Entry Cell, Land Cost</t>
        </r>
      </text>
    </comment>
    <comment ref="F9" authorId="1" shapeId="0" xr:uid="{00000000-0006-0000-0B00-000004000000}">
      <text>
        <r>
          <rPr>
            <b/>
            <sz val="10"/>
            <color indexed="81"/>
            <rFont val="Tahoma"/>
            <family val="2"/>
          </rPr>
          <t>Data Entry Cell, Land Cost</t>
        </r>
      </text>
    </comment>
    <comment ref="G9" authorId="1" shapeId="0" xr:uid="{00000000-0006-0000-0B00-000005000000}">
      <text>
        <r>
          <rPr>
            <b/>
            <sz val="10"/>
            <color indexed="81"/>
            <rFont val="Tahoma"/>
            <family val="2"/>
          </rPr>
          <t>Data Entry Cell, Land Cost</t>
        </r>
      </text>
    </comment>
    <comment ref="H9" authorId="1" shapeId="0" xr:uid="{00000000-0006-0000-0B00-000006000000}">
      <text>
        <r>
          <rPr>
            <b/>
            <sz val="10"/>
            <color indexed="81"/>
            <rFont val="Tahoma"/>
            <family val="2"/>
          </rPr>
          <t>Data Entry Cell, Land Cost</t>
        </r>
      </text>
    </comment>
    <comment ref="I9" authorId="1" shapeId="0" xr:uid="{00000000-0006-0000-0B00-000007000000}">
      <text>
        <r>
          <rPr>
            <b/>
            <sz val="10"/>
            <color indexed="81"/>
            <rFont val="Tahoma"/>
            <family val="2"/>
          </rPr>
          <t>Data Entry Cell, Land Cost</t>
        </r>
      </text>
    </comment>
    <comment ref="J9" authorId="1" shapeId="0" xr:uid="{00000000-0006-0000-0B00-000008000000}">
      <text>
        <r>
          <rPr>
            <b/>
            <sz val="10"/>
            <color indexed="81"/>
            <rFont val="Tahoma"/>
            <family val="2"/>
          </rPr>
          <t>Data Entry Cell, Land Cost</t>
        </r>
      </text>
    </comment>
    <comment ref="K9" authorId="1" shapeId="0" xr:uid="{00000000-0006-0000-0B00-000009000000}">
      <text>
        <r>
          <rPr>
            <b/>
            <sz val="10"/>
            <color indexed="81"/>
            <rFont val="Tahoma"/>
            <family val="2"/>
          </rPr>
          <t>Data Entry Cell, Land Cost</t>
        </r>
      </text>
    </comment>
    <comment ref="L9" authorId="1" shapeId="0" xr:uid="{00000000-0006-0000-0B00-00000A000000}">
      <text>
        <r>
          <rPr>
            <b/>
            <sz val="10"/>
            <color indexed="81"/>
            <rFont val="Tahoma"/>
            <family val="2"/>
          </rPr>
          <t>Data Entry Cell, Land Cost</t>
        </r>
      </text>
    </comment>
    <comment ref="M9" authorId="1" shapeId="0" xr:uid="{00000000-0006-0000-0B00-00000B000000}">
      <text>
        <r>
          <rPr>
            <b/>
            <sz val="10"/>
            <color indexed="81"/>
            <rFont val="Tahoma"/>
            <family val="2"/>
          </rPr>
          <t>Data Entry Cell, Land Cost</t>
        </r>
      </text>
    </comment>
    <comment ref="N9" authorId="1" shapeId="0" xr:uid="{00000000-0006-0000-0B00-00000C000000}">
      <text>
        <r>
          <rPr>
            <b/>
            <sz val="10"/>
            <color indexed="81"/>
            <rFont val="Tahoma"/>
            <family val="2"/>
          </rPr>
          <t>Data Entry Cell, Land Cost</t>
        </r>
      </text>
    </comment>
    <comment ref="O9" authorId="1" shapeId="0" xr:uid="{00000000-0006-0000-0B00-00000D000000}">
      <text>
        <r>
          <rPr>
            <b/>
            <sz val="10"/>
            <color indexed="81"/>
            <rFont val="Tahoma"/>
            <family val="2"/>
          </rPr>
          <t>Data Entry Cell, Land Cost</t>
        </r>
      </text>
    </comment>
    <comment ref="P9" authorId="1" shapeId="0" xr:uid="{00000000-0006-0000-0B00-00000E000000}">
      <text>
        <r>
          <rPr>
            <b/>
            <sz val="10"/>
            <color indexed="81"/>
            <rFont val="Tahoma"/>
            <family val="2"/>
          </rPr>
          <t>Data Entry Cell, Land Cost</t>
        </r>
      </text>
    </comment>
    <comment ref="Q9" authorId="1" shapeId="0" xr:uid="{00000000-0006-0000-0B00-00000F000000}">
      <text>
        <r>
          <rPr>
            <b/>
            <sz val="10"/>
            <color indexed="81"/>
            <rFont val="Tahoma"/>
            <family val="2"/>
          </rPr>
          <t>Data Entry Cell, Land Cost</t>
        </r>
      </text>
    </comment>
    <comment ref="R9" authorId="1" shapeId="0" xr:uid="{00000000-0006-0000-0B00-000010000000}">
      <text>
        <r>
          <rPr>
            <b/>
            <sz val="10"/>
            <color indexed="81"/>
            <rFont val="Tahoma"/>
            <family val="2"/>
          </rPr>
          <t>Data Entry Cell, Land Cost</t>
        </r>
      </text>
    </comment>
    <comment ref="S9" authorId="1" shapeId="0" xr:uid="{00000000-0006-0000-0B00-000011000000}">
      <text>
        <r>
          <rPr>
            <b/>
            <sz val="10"/>
            <color indexed="81"/>
            <rFont val="Tahoma"/>
            <family val="2"/>
          </rPr>
          <t>Data Entry Cell, Land Cost</t>
        </r>
      </text>
    </comment>
    <comment ref="T9" authorId="1" shapeId="0" xr:uid="{00000000-0006-0000-0B00-000012000000}">
      <text>
        <r>
          <rPr>
            <b/>
            <sz val="10"/>
            <color indexed="81"/>
            <rFont val="Tahoma"/>
            <family val="2"/>
          </rPr>
          <t>Data Entry Cell, Land Cost</t>
        </r>
      </text>
    </comment>
    <comment ref="U9" authorId="1" shapeId="0" xr:uid="{00000000-0006-0000-0B00-000013000000}">
      <text>
        <r>
          <rPr>
            <b/>
            <sz val="10"/>
            <color indexed="81"/>
            <rFont val="Tahoma"/>
            <family val="2"/>
          </rPr>
          <t>Data Entry Cell, Land Cost</t>
        </r>
      </text>
    </comment>
    <comment ref="V9" authorId="1" shapeId="0" xr:uid="{00000000-0006-0000-0B00-000014000000}">
      <text>
        <r>
          <rPr>
            <b/>
            <sz val="10"/>
            <color indexed="81"/>
            <rFont val="Tahoma"/>
            <family val="2"/>
          </rPr>
          <t>Data Entry Cell, Land Cost</t>
        </r>
      </text>
    </comment>
    <comment ref="W9" authorId="1" shapeId="0" xr:uid="{00000000-0006-0000-0B00-000015000000}">
      <text>
        <r>
          <rPr>
            <b/>
            <sz val="10"/>
            <color indexed="81"/>
            <rFont val="Tahoma"/>
            <family val="2"/>
          </rPr>
          <t>Data Entry Cell, Land Cost</t>
        </r>
      </text>
    </comment>
    <comment ref="X9" authorId="1" shapeId="0" xr:uid="{00000000-0006-0000-0B00-000016000000}">
      <text>
        <r>
          <rPr>
            <b/>
            <sz val="10"/>
            <color indexed="81"/>
            <rFont val="Tahoma"/>
            <family val="2"/>
          </rPr>
          <t>Data Entry Cell, Land Cost</t>
        </r>
      </text>
    </comment>
    <comment ref="Y9" authorId="1" shapeId="0" xr:uid="{00000000-0006-0000-0B00-000017000000}">
      <text>
        <r>
          <rPr>
            <b/>
            <sz val="10"/>
            <color indexed="81"/>
            <rFont val="Tahoma"/>
            <family val="2"/>
          </rPr>
          <t>Data Entry Cell, Land Cost</t>
        </r>
      </text>
    </comment>
    <comment ref="Z9" authorId="1" shapeId="0" xr:uid="{00000000-0006-0000-0B00-000018000000}">
      <text>
        <r>
          <rPr>
            <b/>
            <sz val="10"/>
            <color indexed="81"/>
            <rFont val="Tahoma"/>
            <family val="2"/>
          </rPr>
          <t>Data Entry Cell, Land Cost</t>
        </r>
      </text>
    </comment>
    <comment ref="AA9" authorId="1" shapeId="0" xr:uid="{00000000-0006-0000-0B00-000019000000}">
      <text>
        <r>
          <rPr>
            <b/>
            <sz val="10"/>
            <color indexed="81"/>
            <rFont val="Tahoma"/>
            <family val="2"/>
          </rPr>
          <t>Data Entry Cell, Land Cost</t>
        </r>
      </text>
    </comment>
    <comment ref="AB9" authorId="1" shapeId="0" xr:uid="{00000000-0006-0000-0B00-00001A000000}">
      <text>
        <r>
          <rPr>
            <b/>
            <sz val="10"/>
            <color indexed="81"/>
            <rFont val="Tahoma"/>
            <family val="2"/>
          </rPr>
          <t>Data Entry Cell, Land Cost</t>
        </r>
      </text>
    </comment>
    <comment ref="AC9" authorId="1" shapeId="0" xr:uid="{00000000-0006-0000-0B00-00001B000000}">
      <text>
        <r>
          <rPr>
            <b/>
            <sz val="10"/>
            <color indexed="81"/>
            <rFont val="Tahoma"/>
            <family val="2"/>
          </rPr>
          <t>Data Entry Cell, Land Cost</t>
        </r>
      </text>
    </comment>
    <comment ref="E10" authorId="1" shapeId="0" xr:uid="{00000000-0006-0000-0B00-00001C000000}">
      <text>
        <r>
          <rPr>
            <b/>
            <sz val="10"/>
            <color indexed="81"/>
            <rFont val="Tahoma"/>
            <family val="2"/>
          </rPr>
          <t>Data Entry Cell, Existing Structure Cost</t>
        </r>
      </text>
    </comment>
    <comment ref="F10" authorId="1" shapeId="0" xr:uid="{00000000-0006-0000-0B00-00001D000000}">
      <text>
        <r>
          <rPr>
            <b/>
            <sz val="10"/>
            <color indexed="81"/>
            <rFont val="Tahoma"/>
            <family val="2"/>
          </rPr>
          <t>Data Entry Cell, Existing Structure Cost</t>
        </r>
      </text>
    </comment>
    <comment ref="G10" authorId="1" shapeId="0" xr:uid="{00000000-0006-0000-0B00-00001E000000}">
      <text>
        <r>
          <rPr>
            <b/>
            <sz val="10"/>
            <color indexed="81"/>
            <rFont val="Tahoma"/>
            <family val="2"/>
          </rPr>
          <t>Data Entry Cell, Existing Structure Cost</t>
        </r>
      </text>
    </comment>
    <comment ref="H10" authorId="1" shapeId="0" xr:uid="{00000000-0006-0000-0B00-00001F000000}">
      <text>
        <r>
          <rPr>
            <b/>
            <sz val="10"/>
            <color indexed="81"/>
            <rFont val="Tahoma"/>
            <family val="2"/>
          </rPr>
          <t>Data Entry Cell, Existing Structure Cost</t>
        </r>
      </text>
    </comment>
    <comment ref="I10" authorId="1" shapeId="0" xr:uid="{00000000-0006-0000-0B00-000020000000}">
      <text>
        <r>
          <rPr>
            <b/>
            <sz val="10"/>
            <color indexed="81"/>
            <rFont val="Tahoma"/>
            <family val="2"/>
          </rPr>
          <t>Data Entry Cell, Existing Structure Cost</t>
        </r>
      </text>
    </comment>
    <comment ref="J10" authorId="1" shapeId="0" xr:uid="{00000000-0006-0000-0B00-000021000000}">
      <text>
        <r>
          <rPr>
            <b/>
            <sz val="10"/>
            <color indexed="81"/>
            <rFont val="Tahoma"/>
            <family val="2"/>
          </rPr>
          <t>Data Entry Cell, Existing Structure Cost</t>
        </r>
      </text>
    </comment>
    <comment ref="K10" authorId="1" shapeId="0" xr:uid="{00000000-0006-0000-0B00-000022000000}">
      <text>
        <r>
          <rPr>
            <b/>
            <sz val="10"/>
            <color indexed="81"/>
            <rFont val="Tahoma"/>
            <family val="2"/>
          </rPr>
          <t>Data Entry Cell, Existing Structure Cost</t>
        </r>
      </text>
    </comment>
    <comment ref="L10" authorId="1" shapeId="0" xr:uid="{00000000-0006-0000-0B00-000023000000}">
      <text>
        <r>
          <rPr>
            <b/>
            <sz val="10"/>
            <color indexed="81"/>
            <rFont val="Tahoma"/>
            <family val="2"/>
          </rPr>
          <t>Data Entry Cell, Existing Structure Cost</t>
        </r>
      </text>
    </comment>
    <comment ref="M10" authorId="1" shapeId="0" xr:uid="{00000000-0006-0000-0B00-000024000000}">
      <text>
        <r>
          <rPr>
            <b/>
            <sz val="10"/>
            <color indexed="81"/>
            <rFont val="Tahoma"/>
            <family val="2"/>
          </rPr>
          <t>Data Entry Cell, Existing Structure Cost</t>
        </r>
      </text>
    </comment>
    <comment ref="N10" authorId="1" shapeId="0" xr:uid="{00000000-0006-0000-0B00-000025000000}">
      <text>
        <r>
          <rPr>
            <b/>
            <sz val="10"/>
            <color indexed="81"/>
            <rFont val="Tahoma"/>
            <family val="2"/>
          </rPr>
          <t>Data Entry Cell, Existing Structure Cost</t>
        </r>
      </text>
    </comment>
    <comment ref="O10" authorId="1" shapeId="0" xr:uid="{00000000-0006-0000-0B00-000026000000}">
      <text>
        <r>
          <rPr>
            <b/>
            <sz val="10"/>
            <color indexed="81"/>
            <rFont val="Tahoma"/>
            <family val="2"/>
          </rPr>
          <t>Data Entry Cell, Existing Structure Cost</t>
        </r>
      </text>
    </comment>
    <comment ref="P10" authorId="1" shapeId="0" xr:uid="{00000000-0006-0000-0B00-000027000000}">
      <text>
        <r>
          <rPr>
            <b/>
            <sz val="10"/>
            <color indexed="81"/>
            <rFont val="Tahoma"/>
            <family val="2"/>
          </rPr>
          <t>Data Entry Cell, Existing Structure Cost</t>
        </r>
      </text>
    </comment>
    <comment ref="Q10" authorId="1" shapeId="0" xr:uid="{00000000-0006-0000-0B00-000028000000}">
      <text>
        <r>
          <rPr>
            <b/>
            <sz val="10"/>
            <color indexed="81"/>
            <rFont val="Tahoma"/>
            <family val="2"/>
          </rPr>
          <t>Data Entry Cell, Existing Structure Cost</t>
        </r>
      </text>
    </comment>
    <comment ref="R10" authorId="1" shapeId="0" xr:uid="{00000000-0006-0000-0B00-000029000000}">
      <text>
        <r>
          <rPr>
            <b/>
            <sz val="10"/>
            <color indexed="81"/>
            <rFont val="Tahoma"/>
            <family val="2"/>
          </rPr>
          <t>Data Entry Cell, Existing Structure Cost</t>
        </r>
      </text>
    </comment>
    <comment ref="S10" authorId="1" shapeId="0" xr:uid="{00000000-0006-0000-0B00-00002A000000}">
      <text>
        <r>
          <rPr>
            <b/>
            <sz val="10"/>
            <color indexed="81"/>
            <rFont val="Tahoma"/>
            <family val="2"/>
          </rPr>
          <t>Data Entry Cell, Existing Structure Cost</t>
        </r>
      </text>
    </comment>
    <comment ref="T10" authorId="1" shapeId="0" xr:uid="{00000000-0006-0000-0B00-00002B000000}">
      <text>
        <r>
          <rPr>
            <b/>
            <sz val="10"/>
            <color indexed="81"/>
            <rFont val="Tahoma"/>
            <family val="2"/>
          </rPr>
          <t>Data Entry Cell, Existing Structure Cost</t>
        </r>
      </text>
    </comment>
    <comment ref="U10" authorId="1" shapeId="0" xr:uid="{00000000-0006-0000-0B00-00002C000000}">
      <text>
        <r>
          <rPr>
            <b/>
            <sz val="10"/>
            <color indexed="81"/>
            <rFont val="Tahoma"/>
            <family val="2"/>
          </rPr>
          <t>Data Entry Cell, Existing Structure Cost</t>
        </r>
      </text>
    </comment>
    <comment ref="V10" authorId="1" shapeId="0" xr:uid="{00000000-0006-0000-0B00-00002D000000}">
      <text>
        <r>
          <rPr>
            <b/>
            <sz val="10"/>
            <color indexed="81"/>
            <rFont val="Tahoma"/>
            <family val="2"/>
          </rPr>
          <t>Data Entry Cell, Existing Structure Cost</t>
        </r>
      </text>
    </comment>
    <comment ref="W10" authorId="1" shapeId="0" xr:uid="{00000000-0006-0000-0B00-00002E000000}">
      <text>
        <r>
          <rPr>
            <b/>
            <sz val="10"/>
            <color indexed="81"/>
            <rFont val="Tahoma"/>
            <family val="2"/>
          </rPr>
          <t>Data Entry Cell, Existing Structure Cost</t>
        </r>
      </text>
    </comment>
    <comment ref="X10" authorId="1" shapeId="0" xr:uid="{00000000-0006-0000-0B00-00002F000000}">
      <text>
        <r>
          <rPr>
            <b/>
            <sz val="10"/>
            <color indexed="81"/>
            <rFont val="Tahoma"/>
            <family val="2"/>
          </rPr>
          <t>Data Entry Cell, Existing Structure Cost</t>
        </r>
      </text>
    </comment>
    <comment ref="Y10" authorId="1" shapeId="0" xr:uid="{00000000-0006-0000-0B00-000030000000}">
      <text>
        <r>
          <rPr>
            <b/>
            <sz val="10"/>
            <color indexed="81"/>
            <rFont val="Tahoma"/>
            <family val="2"/>
          </rPr>
          <t>Data Entry Cell, Existing Structure Cost</t>
        </r>
      </text>
    </comment>
    <comment ref="Z10" authorId="1" shapeId="0" xr:uid="{00000000-0006-0000-0B00-000031000000}">
      <text>
        <r>
          <rPr>
            <b/>
            <sz val="10"/>
            <color indexed="81"/>
            <rFont val="Tahoma"/>
            <family val="2"/>
          </rPr>
          <t>Data Entry Cell, Existing Structure Cost</t>
        </r>
      </text>
    </comment>
    <comment ref="AA10" authorId="1" shapeId="0" xr:uid="{00000000-0006-0000-0B00-000032000000}">
      <text>
        <r>
          <rPr>
            <b/>
            <sz val="10"/>
            <color indexed="81"/>
            <rFont val="Tahoma"/>
            <family val="2"/>
          </rPr>
          <t>Data Entry Cell, Existing Structure Cost</t>
        </r>
      </text>
    </comment>
    <comment ref="AB10" authorId="1" shapeId="0" xr:uid="{00000000-0006-0000-0B00-000033000000}">
      <text>
        <r>
          <rPr>
            <b/>
            <sz val="10"/>
            <color indexed="81"/>
            <rFont val="Tahoma"/>
            <family val="2"/>
          </rPr>
          <t>Data Entry Cell, Existing Structure Cost</t>
        </r>
      </text>
    </comment>
    <comment ref="AC10" authorId="1" shapeId="0" xr:uid="{00000000-0006-0000-0B00-000034000000}">
      <text>
        <r>
          <rPr>
            <b/>
            <sz val="10"/>
            <color indexed="81"/>
            <rFont val="Tahoma"/>
            <family val="2"/>
          </rPr>
          <t>Data Entry Cell, Existing Structure Cost</t>
        </r>
      </text>
    </comment>
    <comment ref="E11" authorId="1" shapeId="0" xr:uid="{00000000-0006-0000-0B00-000035000000}">
      <text>
        <r>
          <rPr>
            <b/>
            <sz val="10"/>
            <color indexed="81"/>
            <rFont val="Tahoma"/>
            <family val="2"/>
          </rPr>
          <t>Data Entry Cell, Other Acquisition  Costs</t>
        </r>
      </text>
    </comment>
    <comment ref="F11" authorId="1" shapeId="0" xr:uid="{00000000-0006-0000-0B00-000036000000}">
      <text>
        <r>
          <rPr>
            <b/>
            <sz val="10"/>
            <color indexed="81"/>
            <rFont val="Tahoma"/>
            <family val="2"/>
          </rPr>
          <t>Data Entry Cell, Other Acquisition  Costs</t>
        </r>
      </text>
    </comment>
    <comment ref="G11" authorId="1" shapeId="0" xr:uid="{00000000-0006-0000-0B00-000037000000}">
      <text>
        <r>
          <rPr>
            <b/>
            <sz val="10"/>
            <color indexed="81"/>
            <rFont val="Tahoma"/>
            <family val="2"/>
          </rPr>
          <t>Data Entry Cell, Other Acquisition  Costs</t>
        </r>
      </text>
    </comment>
    <comment ref="H11" authorId="1" shapeId="0" xr:uid="{00000000-0006-0000-0B00-000038000000}">
      <text>
        <r>
          <rPr>
            <b/>
            <sz val="10"/>
            <color indexed="81"/>
            <rFont val="Tahoma"/>
            <family val="2"/>
          </rPr>
          <t>Data Entry Cell, Other Acquisition  Costs</t>
        </r>
      </text>
    </comment>
    <comment ref="I11" authorId="1" shapeId="0" xr:uid="{00000000-0006-0000-0B00-000039000000}">
      <text>
        <r>
          <rPr>
            <b/>
            <sz val="10"/>
            <color indexed="81"/>
            <rFont val="Tahoma"/>
            <family val="2"/>
          </rPr>
          <t>Data Entry Cell, Other Acquisition  Costs</t>
        </r>
      </text>
    </comment>
    <comment ref="J11" authorId="1" shapeId="0" xr:uid="{00000000-0006-0000-0B00-00003A000000}">
      <text>
        <r>
          <rPr>
            <b/>
            <sz val="10"/>
            <color indexed="81"/>
            <rFont val="Tahoma"/>
            <family val="2"/>
          </rPr>
          <t>Data Entry Cell, Other Acquisition  Costs</t>
        </r>
      </text>
    </comment>
    <comment ref="K11" authorId="1" shapeId="0" xr:uid="{00000000-0006-0000-0B00-00003B000000}">
      <text>
        <r>
          <rPr>
            <b/>
            <sz val="10"/>
            <color indexed="81"/>
            <rFont val="Tahoma"/>
            <family val="2"/>
          </rPr>
          <t>Data Entry Cell, Other Acquisition  Costs</t>
        </r>
      </text>
    </comment>
    <comment ref="L11" authorId="1" shapeId="0" xr:uid="{00000000-0006-0000-0B00-00003C000000}">
      <text>
        <r>
          <rPr>
            <b/>
            <sz val="10"/>
            <color indexed="81"/>
            <rFont val="Tahoma"/>
            <family val="2"/>
          </rPr>
          <t>Data Entry Cell, Other Acquisition  Costs</t>
        </r>
      </text>
    </comment>
    <comment ref="M11" authorId="1" shapeId="0" xr:uid="{00000000-0006-0000-0B00-00003D000000}">
      <text>
        <r>
          <rPr>
            <b/>
            <sz val="10"/>
            <color indexed="81"/>
            <rFont val="Tahoma"/>
            <family val="2"/>
          </rPr>
          <t>Data Entry Cell, Other Acquisition  Costs</t>
        </r>
      </text>
    </comment>
    <comment ref="N11" authorId="1" shapeId="0" xr:uid="{00000000-0006-0000-0B00-00003E000000}">
      <text>
        <r>
          <rPr>
            <b/>
            <sz val="10"/>
            <color indexed="81"/>
            <rFont val="Tahoma"/>
            <family val="2"/>
          </rPr>
          <t>Data Entry Cell, Other Acquisition  Costs</t>
        </r>
      </text>
    </comment>
    <comment ref="O11" authorId="1" shapeId="0" xr:uid="{00000000-0006-0000-0B00-00003F000000}">
      <text>
        <r>
          <rPr>
            <b/>
            <sz val="10"/>
            <color indexed="81"/>
            <rFont val="Tahoma"/>
            <family val="2"/>
          </rPr>
          <t>Data Entry Cell, Other Acquisition  Costs</t>
        </r>
      </text>
    </comment>
    <comment ref="P11" authorId="1" shapeId="0" xr:uid="{00000000-0006-0000-0B00-000040000000}">
      <text>
        <r>
          <rPr>
            <b/>
            <sz val="10"/>
            <color indexed="81"/>
            <rFont val="Tahoma"/>
            <family val="2"/>
          </rPr>
          <t>Data Entry Cell, Other Acquisition  Costs</t>
        </r>
      </text>
    </comment>
    <comment ref="Q11" authorId="1" shapeId="0" xr:uid="{00000000-0006-0000-0B00-000041000000}">
      <text>
        <r>
          <rPr>
            <b/>
            <sz val="10"/>
            <color indexed="81"/>
            <rFont val="Tahoma"/>
            <family val="2"/>
          </rPr>
          <t>Data Entry Cell, Other Acquisition  Costs</t>
        </r>
      </text>
    </comment>
    <comment ref="R11" authorId="1" shapeId="0" xr:uid="{00000000-0006-0000-0B00-000042000000}">
      <text>
        <r>
          <rPr>
            <b/>
            <sz val="10"/>
            <color indexed="81"/>
            <rFont val="Tahoma"/>
            <family val="2"/>
          </rPr>
          <t>Data Entry Cell, Other Acquisition  Costs</t>
        </r>
      </text>
    </comment>
    <comment ref="S11" authorId="1" shapeId="0" xr:uid="{00000000-0006-0000-0B00-000043000000}">
      <text>
        <r>
          <rPr>
            <b/>
            <sz val="10"/>
            <color indexed="81"/>
            <rFont val="Tahoma"/>
            <family val="2"/>
          </rPr>
          <t>Data Entry Cell, Other Acquisition  Costs</t>
        </r>
      </text>
    </comment>
    <comment ref="T11" authorId="1" shapeId="0" xr:uid="{00000000-0006-0000-0B00-000044000000}">
      <text>
        <r>
          <rPr>
            <b/>
            <sz val="10"/>
            <color indexed="81"/>
            <rFont val="Tahoma"/>
            <family val="2"/>
          </rPr>
          <t>Data Entry Cell, Other Acquisition  Costs</t>
        </r>
      </text>
    </comment>
    <comment ref="U11" authorId="1" shapeId="0" xr:uid="{00000000-0006-0000-0B00-000045000000}">
      <text>
        <r>
          <rPr>
            <b/>
            <sz val="10"/>
            <color indexed="81"/>
            <rFont val="Tahoma"/>
            <family val="2"/>
          </rPr>
          <t>Data Entry Cell, Other Acquisition  Costs</t>
        </r>
      </text>
    </comment>
    <comment ref="V11" authorId="1" shapeId="0" xr:uid="{00000000-0006-0000-0B00-000046000000}">
      <text>
        <r>
          <rPr>
            <b/>
            <sz val="10"/>
            <color indexed="81"/>
            <rFont val="Tahoma"/>
            <family val="2"/>
          </rPr>
          <t>Data Entry Cell, Other Acquisition  Costs</t>
        </r>
      </text>
    </comment>
    <comment ref="W11" authorId="1" shapeId="0" xr:uid="{00000000-0006-0000-0B00-000047000000}">
      <text>
        <r>
          <rPr>
            <b/>
            <sz val="10"/>
            <color indexed="81"/>
            <rFont val="Tahoma"/>
            <family val="2"/>
          </rPr>
          <t>Data Entry Cell, Other Acquisition  Costs</t>
        </r>
      </text>
    </comment>
    <comment ref="X11" authorId="1" shapeId="0" xr:uid="{00000000-0006-0000-0B00-000048000000}">
      <text>
        <r>
          <rPr>
            <b/>
            <sz val="10"/>
            <color indexed="81"/>
            <rFont val="Tahoma"/>
            <family val="2"/>
          </rPr>
          <t>Data Entry Cell, Other Acquisition  Costs</t>
        </r>
      </text>
    </comment>
    <comment ref="Y11" authorId="1" shapeId="0" xr:uid="{00000000-0006-0000-0B00-000049000000}">
      <text>
        <r>
          <rPr>
            <b/>
            <sz val="10"/>
            <color indexed="81"/>
            <rFont val="Tahoma"/>
            <family val="2"/>
          </rPr>
          <t>Data Entry Cell, Other Acquisition  Costs</t>
        </r>
      </text>
    </comment>
    <comment ref="Z11" authorId="1" shapeId="0" xr:uid="{00000000-0006-0000-0B00-00004A000000}">
      <text>
        <r>
          <rPr>
            <b/>
            <sz val="10"/>
            <color indexed="81"/>
            <rFont val="Tahoma"/>
            <family val="2"/>
          </rPr>
          <t>Data Entry Cell, Other Acquisition  Costs</t>
        </r>
      </text>
    </comment>
    <comment ref="AA11" authorId="1" shapeId="0" xr:uid="{00000000-0006-0000-0B00-00004B000000}">
      <text>
        <r>
          <rPr>
            <b/>
            <sz val="10"/>
            <color indexed="81"/>
            <rFont val="Tahoma"/>
            <family val="2"/>
          </rPr>
          <t>Data Entry Cell, Other Acquisition  Costs</t>
        </r>
      </text>
    </comment>
    <comment ref="AB11" authorId="1" shapeId="0" xr:uid="{00000000-0006-0000-0B00-00004C000000}">
      <text>
        <r>
          <rPr>
            <b/>
            <sz val="10"/>
            <color indexed="81"/>
            <rFont val="Tahoma"/>
            <family val="2"/>
          </rPr>
          <t>Data Entry Cell, Other Acquisition  Costs</t>
        </r>
      </text>
    </comment>
    <comment ref="AC11" authorId="1" shapeId="0" xr:uid="{00000000-0006-0000-0B00-00004D000000}">
      <text>
        <r>
          <rPr>
            <b/>
            <sz val="10"/>
            <color indexed="81"/>
            <rFont val="Tahoma"/>
            <family val="2"/>
          </rPr>
          <t>Data Entry Cell, Other Acquisition  Costs</t>
        </r>
      </text>
    </comment>
    <comment ref="E13" authorId="1" shapeId="0" xr:uid="{00000000-0006-0000-0B00-00004E000000}">
      <text>
        <r>
          <rPr>
            <b/>
            <sz val="10"/>
            <color indexed="81"/>
            <rFont val="Tahoma"/>
            <family val="2"/>
          </rPr>
          <t>Data Entry Cell, Demolition/
Clearance Cost</t>
        </r>
      </text>
    </comment>
    <comment ref="F13" authorId="1" shapeId="0" xr:uid="{00000000-0006-0000-0B00-00004F000000}">
      <text>
        <r>
          <rPr>
            <b/>
            <sz val="10"/>
            <color indexed="81"/>
            <rFont val="Tahoma"/>
            <family val="2"/>
          </rPr>
          <t>Data Entry Cell, Demolition/
Clearance Cost</t>
        </r>
      </text>
    </comment>
    <comment ref="G13" authorId="1" shapeId="0" xr:uid="{00000000-0006-0000-0B00-000050000000}">
      <text>
        <r>
          <rPr>
            <b/>
            <sz val="10"/>
            <color indexed="81"/>
            <rFont val="Tahoma"/>
            <family val="2"/>
          </rPr>
          <t>Data Entry Cell, Demolition/
Clearance Cost</t>
        </r>
      </text>
    </comment>
    <comment ref="H13" authorId="1" shapeId="0" xr:uid="{00000000-0006-0000-0B00-000051000000}">
      <text>
        <r>
          <rPr>
            <b/>
            <sz val="10"/>
            <color indexed="81"/>
            <rFont val="Tahoma"/>
            <family val="2"/>
          </rPr>
          <t>Data Entry Cell, Demolition/
Clearance Cost</t>
        </r>
      </text>
    </comment>
    <comment ref="I13" authorId="1" shapeId="0" xr:uid="{00000000-0006-0000-0B00-000052000000}">
      <text>
        <r>
          <rPr>
            <b/>
            <sz val="10"/>
            <color indexed="81"/>
            <rFont val="Tahoma"/>
            <family val="2"/>
          </rPr>
          <t>Data Entry Cell, Demolition/
Clearance Cost</t>
        </r>
      </text>
    </comment>
    <comment ref="J13" authorId="1" shapeId="0" xr:uid="{00000000-0006-0000-0B00-000053000000}">
      <text>
        <r>
          <rPr>
            <b/>
            <sz val="10"/>
            <color indexed="81"/>
            <rFont val="Tahoma"/>
            <family val="2"/>
          </rPr>
          <t>Data Entry Cell, Demolition/
Clearance Cost</t>
        </r>
      </text>
    </comment>
    <comment ref="K13" authorId="1" shapeId="0" xr:uid="{00000000-0006-0000-0B00-000054000000}">
      <text>
        <r>
          <rPr>
            <b/>
            <sz val="10"/>
            <color indexed="81"/>
            <rFont val="Tahoma"/>
            <family val="2"/>
          </rPr>
          <t>Data Entry Cell, Demolition/
Clearance Cost</t>
        </r>
      </text>
    </comment>
    <comment ref="L13" authorId="1" shapeId="0" xr:uid="{00000000-0006-0000-0B00-000055000000}">
      <text>
        <r>
          <rPr>
            <b/>
            <sz val="10"/>
            <color indexed="81"/>
            <rFont val="Tahoma"/>
            <family val="2"/>
          </rPr>
          <t>Data Entry Cell, Demolition/
Clearance Cost</t>
        </r>
      </text>
    </comment>
    <comment ref="M13" authorId="1" shapeId="0" xr:uid="{00000000-0006-0000-0B00-000056000000}">
      <text>
        <r>
          <rPr>
            <b/>
            <sz val="10"/>
            <color indexed="81"/>
            <rFont val="Tahoma"/>
            <family val="2"/>
          </rPr>
          <t>Data Entry Cell, Demolition/
Clearance Cost</t>
        </r>
      </text>
    </comment>
    <comment ref="N13" authorId="1" shapeId="0" xr:uid="{00000000-0006-0000-0B00-000057000000}">
      <text>
        <r>
          <rPr>
            <b/>
            <sz val="10"/>
            <color indexed="81"/>
            <rFont val="Tahoma"/>
            <family val="2"/>
          </rPr>
          <t>Data Entry Cell, Demolition/
Clearance Cost</t>
        </r>
      </text>
    </comment>
    <comment ref="O13" authorId="1" shapeId="0" xr:uid="{00000000-0006-0000-0B00-000058000000}">
      <text>
        <r>
          <rPr>
            <b/>
            <sz val="10"/>
            <color indexed="81"/>
            <rFont val="Tahoma"/>
            <family val="2"/>
          </rPr>
          <t>Data Entry Cell, Demolition/
Clearance Cost</t>
        </r>
      </text>
    </comment>
    <comment ref="P13" authorId="1" shapeId="0" xr:uid="{00000000-0006-0000-0B00-000059000000}">
      <text>
        <r>
          <rPr>
            <b/>
            <sz val="10"/>
            <color indexed="81"/>
            <rFont val="Tahoma"/>
            <family val="2"/>
          </rPr>
          <t>Data Entry Cell, Demolition/
Clearance Cost</t>
        </r>
      </text>
    </comment>
    <comment ref="Q13" authorId="1" shapeId="0" xr:uid="{00000000-0006-0000-0B00-00005A000000}">
      <text>
        <r>
          <rPr>
            <b/>
            <sz val="10"/>
            <color indexed="81"/>
            <rFont val="Tahoma"/>
            <family val="2"/>
          </rPr>
          <t>Data Entry Cell, Demolition/
Clearance Cost</t>
        </r>
      </text>
    </comment>
    <comment ref="R13" authorId="1" shapeId="0" xr:uid="{00000000-0006-0000-0B00-00005B000000}">
      <text>
        <r>
          <rPr>
            <b/>
            <sz val="10"/>
            <color indexed="81"/>
            <rFont val="Tahoma"/>
            <family val="2"/>
          </rPr>
          <t>Data Entry Cell, Demolition/
Clearance Cost</t>
        </r>
      </text>
    </comment>
    <comment ref="S13" authorId="1" shapeId="0" xr:uid="{00000000-0006-0000-0B00-00005C000000}">
      <text>
        <r>
          <rPr>
            <b/>
            <sz val="10"/>
            <color indexed="81"/>
            <rFont val="Tahoma"/>
            <family val="2"/>
          </rPr>
          <t>Data Entry Cell, Demolition/
Clearance Cost</t>
        </r>
      </text>
    </comment>
    <comment ref="T13" authorId="1" shapeId="0" xr:uid="{00000000-0006-0000-0B00-00005D000000}">
      <text>
        <r>
          <rPr>
            <b/>
            <sz val="10"/>
            <color indexed="81"/>
            <rFont val="Tahoma"/>
            <family val="2"/>
          </rPr>
          <t>Data Entry Cell, Demolition/
Clearance Cost</t>
        </r>
      </text>
    </comment>
    <comment ref="U13" authorId="1" shapeId="0" xr:uid="{00000000-0006-0000-0B00-00005E000000}">
      <text>
        <r>
          <rPr>
            <b/>
            <sz val="10"/>
            <color indexed="81"/>
            <rFont val="Tahoma"/>
            <family val="2"/>
          </rPr>
          <t>Data Entry Cell, Demolition/
Clearance Cost</t>
        </r>
      </text>
    </comment>
    <comment ref="V13" authorId="1" shapeId="0" xr:uid="{00000000-0006-0000-0B00-00005F000000}">
      <text>
        <r>
          <rPr>
            <b/>
            <sz val="10"/>
            <color indexed="81"/>
            <rFont val="Tahoma"/>
            <family val="2"/>
          </rPr>
          <t>Data Entry Cell, Demolition/
Clearance Cost</t>
        </r>
      </text>
    </comment>
    <comment ref="W13" authorId="1" shapeId="0" xr:uid="{00000000-0006-0000-0B00-000060000000}">
      <text>
        <r>
          <rPr>
            <b/>
            <sz val="10"/>
            <color indexed="81"/>
            <rFont val="Tahoma"/>
            <family val="2"/>
          </rPr>
          <t>Data Entry Cell, Demolition/
Clearance Cost</t>
        </r>
      </text>
    </comment>
    <comment ref="X13" authorId="1" shapeId="0" xr:uid="{00000000-0006-0000-0B00-000061000000}">
      <text>
        <r>
          <rPr>
            <b/>
            <sz val="10"/>
            <color indexed="81"/>
            <rFont val="Tahoma"/>
            <family val="2"/>
          </rPr>
          <t>Data Entry Cell, Demolition/
Clearance Cost</t>
        </r>
      </text>
    </comment>
    <comment ref="Y13" authorId="1" shapeId="0" xr:uid="{00000000-0006-0000-0B00-000062000000}">
      <text>
        <r>
          <rPr>
            <b/>
            <sz val="10"/>
            <color indexed="81"/>
            <rFont val="Tahoma"/>
            <family val="2"/>
          </rPr>
          <t>Data Entry Cell, Demolition/
Clearance Cost</t>
        </r>
      </text>
    </comment>
    <comment ref="Z13" authorId="1" shapeId="0" xr:uid="{00000000-0006-0000-0B00-000063000000}">
      <text>
        <r>
          <rPr>
            <b/>
            <sz val="10"/>
            <color indexed="81"/>
            <rFont val="Tahoma"/>
            <family val="2"/>
          </rPr>
          <t>Data Entry Cell, Demolition/
Clearance Cost</t>
        </r>
      </text>
    </comment>
    <comment ref="AA13" authorId="1" shapeId="0" xr:uid="{00000000-0006-0000-0B00-000064000000}">
      <text>
        <r>
          <rPr>
            <b/>
            <sz val="10"/>
            <color indexed="81"/>
            <rFont val="Tahoma"/>
            <family val="2"/>
          </rPr>
          <t>Data Entry Cell, Demolition/
Clearance Cost</t>
        </r>
      </text>
    </comment>
    <comment ref="AB13" authorId="1" shapeId="0" xr:uid="{00000000-0006-0000-0B00-000065000000}">
      <text>
        <r>
          <rPr>
            <b/>
            <sz val="10"/>
            <color indexed="81"/>
            <rFont val="Tahoma"/>
            <family val="2"/>
          </rPr>
          <t>Data Entry Cell, Demolition/
Clearance Cost</t>
        </r>
      </text>
    </comment>
    <comment ref="AC13" authorId="1" shapeId="0" xr:uid="{00000000-0006-0000-0B00-000066000000}">
      <text>
        <r>
          <rPr>
            <b/>
            <sz val="10"/>
            <color indexed="81"/>
            <rFont val="Tahoma"/>
            <family val="2"/>
          </rPr>
          <t>Data Entry Cell, Demolition/
Clearance Cost</t>
        </r>
      </text>
    </comment>
    <comment ref="E14" authorId="1" shapeId="0" xr:uid="{00000000-0006-0000-0B00-000067000000}">
      <text>
        <r>
          <rPr>
            <b/>
            <sz val="10"/>
            <color indexed="81"/>
            <rFont val="Tahoma"/>
            <family val="2"/>
          </rPr>
          <t>Data Entry Cell, Site Remediation Cost</t>
        </r>
      </text>
    </comment>
    <comment ref="F14" authorId="1" shapeId="0" xr:uid="{00000000-0006-0000-0B00-000068000000}">
      <text>
        <r>
          <rPr>
            <b/>
            <sz val="10"/>
            <color indexed="81"/>
            <rFont val="Tahoma"/>
            <family val="2"/>
          </rPr>
          <t>Data Entry Cell, Demolition/
Clearance Cost</t>
        </r>
      </text>
    </comment>
    <comment ref="G14" authorId="1" shapeId="0" xr:uid="{00000000-0006-0000-0B00-000069000000}">
      <text>
        <r>
          <rPr>
            <b/>
            <sz val="10"/>
            <color indexed="81"/>
            <rFont val="Tahoma"/>
            <family val="2"/>
          </rPr>
          <t>Data Entry Cell, Site Remediation Cost</t>
        </r>
      </text>
    </comment>
    <comment ref="H14" authorId="1" shapeId="0" xr:uid="{00000000-0006-0000-0B00-00006A000000}">
      <text>
        <r>
          <rPr>
            <b/>
            <sz val="10"/>
            <color indexed="81"/>
            <rFont val="Tahoma"/>
            <family val="2"/>
          </rPr>
          <t>Data Entry Cell, Site Remediation Cost</t>
        </r>
      </text>
    </comment>
    <comment ref="I14" authorId="1" shapeId="0" xr:uid="{00000000-0006-0000-0B00-00006B000000}">
      <text>
        <r>
          <rPr>
            <b/>
            <sz val="10"/>
            <color indexed="81"/>
            <rFont val="Tahoma"/>
            <family val="2"/>
          </rPr>
          <t>Data Entry Cell, Site Remediation Cost</t>
        </r>
      </text>
    </comment>
    <comment ref="J14" authorId="1" shapeId="0" xr:uid="{00000000-0006-0000-0B00-00006C000000}">
      <text>
        <r>
          <rPr>
            <b/>
            <sz val="10"/>
            <color indexed="81"/>
            <rFont val="Tahoma"/>
            <family val="2"/>
          </rPr>
          <t>Data Entry Cell, Site Remediation Cost</t>
        </r>
      </text>
    </comment>
    <comment ref="K14" authorId="1" shapeId="0" xr:uid="{00000000-0006-0000-0B00-00006D000000}">
      <text>
        <r>
          <rPr>
            <b/>
            <sz val="10"/>
            <color indexed="81"/>
            <rFont val="Tahoma"/>
            <family val="2"/>
          </rPr>
          <t>Data Entry Cell, Site Remediation Cost</t>
        </r>
      </text>
    </comment>
    <comment ref="L14" authorId="1" shapeId="0" xr:uid="{00000000-0006-0000-0B00-00006E000000}">
      <text>
        <r>
          <rPr>
            <b/>
            <sz val="10"/>
            <color indexed="81"/>
            <rFont val="Tahoma"/>
            <family val="2"/>
          </rPr>
          <t>Data Entry Cell, Site Remediation Cost</t>
        </r>
      </text>
    </comment>
    <comment ref="M14" authorId="1" shapeId="0" xr:uid="{00000000-0006-0000-0B00-00006F000000}">
      <text>
        <r>
          <rPr>
            <b/>
            <sz val="10"/>
            <color indexed="81"/>
            <rFont val="Tahoma"/>
            <family val="2"/>
          </rPr>
          <t>Data Entry Cell, Site Remediation Cost</t>
        </r>
      </text>
    </comment>
    <comment ref="N14" authorId="1" shapeId="0" xr:uid="{00000000-0006-0000-0B00-000070000000}">
      <text>
        <r>
          <rPr>
            <b/>
            <sz val="10"/>
            <color indexed="81"/>
            <rFont val="Tahoma"/>
            <family val="2"/>
          </rPr>
          <t>Data Entry Cell, Site Remediation Cost</t>
        </r>
      </text>
    </comment>
    <comment ref="O14" authorId="1" shapeId="0" xr:uid="{00000000-0006-0000-0B00-000071000000}">
      <text>
        <r>
          <rPr>
            <b/>
            <sz val="10"/>
            <color indexed="81"/>
            <rFont val="Tahoma"/>
            <family val="2"/>
          </rPr>
          <t>Data Entry Cell, Site Remediation Cost</t>
        </r>
      </text>
    </comment>
    <comment ref="P14" authorId="1" shapeId="0" xr:uid="{00000000-0006-0000-0B00-000072000000}">
      <text>
        <r>
          <rPr>
            <b/>
            <sz val="10"/>
            <color indexed="81"/>
            <rFont val="Tahoma"/>
            <family val="2"/>
          </rPr>
          <t>Data Entry Cell, Site Remediation Cost</t>
        </r>
      </text>
    </comment>
    <comment ref="Q14" authorId="1" shapeId="0" xr:uid="{00000000-0006-0000-0B00-000073000000}">
      <text>
        <r>
          <rPr>
            <b/>
            <sz val="10"/>
            <color indexed="81"/>
            <rFont val="Tahoma"/>
            <family val="2"/>
          </rPr>
          <t>Data Entry Cell, Site Remediation Cost</t>
        </r>
      </text>
    </comment>
    <comment ref="R14" authorId="1" shapeId="0" xr:uid="{00000000-0006-0000-0B00-000074000000}">
      <text>
        <r>
          <rPr>
            <b/>
            <sz val="10"/>
            <color indexed="81"/>
            <rFont val="Tahoma"/>
            <family val="2"/>
          </rPr>
          <t>Data Entry Cell, Site Remediation Cost</t>
        </r>
      </text>
    </comment>
    <comment ref="S14" authorId="1" shapeId="0" xr:uid="{00000000-0006-0000-0B00-000075000000}">
      <text>
        <r>
          <rPr>
            <b/>
            <sz val="10"/>
            <color indexed="81"/>
            <rFont val="Tahoma"/>
            <family val="2"/>
          </rPr>
          <t>Data Entry Cell, Site Remediation Cost</t>
        </r>
      </text>
    </comment>
    <comment ref="T14" authorId="1" shapeId="0" xr:uid="{00000000-0006-0000-0B00-000076000000}">
      <text>
        <r>
          <rPr>
            <b/>
            <sz val="10"/>
            <color indexed="81"/>
            <rFont val="Tahoma"/>
            <family val="2"/>
          </rPr>
          <t>Data Entry Cell, Site Remediation Cost</t>
        </r>
      </text>
    </comment>
    <comment ref="U14" authorId="1" shapeId="0" xr:uid="{00000000-0006-0000-0B00-000077000000}">
      <text>
        <r>
          <rPr>
            <b/>
            <sz val="10"/>
            <color indexed="81"/>
            <rFont val="Tahoma"/>
            <family val="2"/>
          </rPr>
          <t>Data Entry Cell, Site Remediation Cost</t>
        </r>
      </text>
    </comment>
    <comment ref="V14" authorId="1" shapeId="0" xr:uid="{00000000-0006-0000-0B00-000078000000}">
      <text>
        <r>
          <rPr>
            <b/>
            <sz val="10"/>
            <color indexed="81"/>
            <rFont val="Tahoma"/>
            <family val="2"/>
          </rPr>
          <t>Data Entry Cell, Site Remediation Cost</t>
        </r>
      </text>
    </comment>
    <comment ref="W14" authorId="1" shapeId="0" xr:uid="{00000000-0006-0000-0B00-000079000000}">
      <text>
        <r>
          <rPr>
            <b/>
            <sz val="10"/>
            <color indexed="81"/>
            <rFont val="Tahoma"/>
            <family val="2"/>
          </rPr>
          <t>Data Entry Cell, Site Remediation Cost</t>
        </r>
      </text>
    </comment>
    <comment ref="X14" authorId="1" shapeId="0" xr:uid="{00000000-0006-0000-0B00-00007A000000}">
      <text>
        <r>
          <rPr>
            <b/>
            <sz val="10"/>
            <color indexed="81"/>
            <rFont val="Tahoma"/>
            <family val="2"/>
          </rPr>
          <t>Data Entry Cell, Site Remediation Cost</t>
        </r>
      </text>
    </comment>
    <comment ref="Y14" authorId="1" shapeId="0" xr:uid="{00000000-0006-0000-0B00-00007B000000}">
      <text>
        <r>
          <rPr>
            <b/>
            <sz val="10"/>
            <color indexed="81"/>
            <rFont val="Tahoma"/>
            <family val="2"/>
          </rPr>
          <t>Data Entry Cell, Site Remediation Cost</t>
        </r>
      </text>
    </comment>
    <comment ref="Z14" authorId="1" shapeId="0" xr:uid="{00000000-0006-0000-0B00-00007C000000}">
      <text>
        <r>
          <rPr>
            <b/>
            <sz val="10"/>
            <color indexed="81"/>
            <rFont val="Tahoma"/>
            <family val="2"/>
          </rPr>
          <t>Data Entry Cell, Site Remediation Cost</t>
        </r>
      </text>
    </comment>
    <comment ref="AA14" authorId="1" shapeId="0" xr:uid="{00000000-0006-0000-0B00-00007D000000}">
      <text>
        <r>
          <rPr>
            <b/>
            <sz val="10"/>
            <color indexed="81"/>
            <rFont val="Tahoma"/>
            <family val="2"/>
          </rPr>
          <t>Data Entry Cell, Site Remediation Cost</t>
        </r>
      </text>
    </comment>
    <comment ref="AB14" authorId="1" shapeId="0" xr:uid="{00000000-0006-0000-0B00-00007E000000}">
      <text>
        <r>
          <rPr>
            <b/>
            <sz val="10"/>
            <color indexed="81"/>
            <rFont val="Tahoma"/>
            <family val="2"/>
          </rPr>
          <t>Data Entry Cell, Site Remediation Cost</t>
        </r>
      </text>
    </comment>
    <comment ref="AC14" authorId="1" shapeId="0" xr:uid="{00000000-0006-0000-0B00-00007F000000}">
      <text>
        <r>
          <rPr>
            <b/>
            <sz val="10"/>
            <color indexed="81"/>
            <rFont val="Tahoma"/>
            <family val="2"/>
          </rPr>
          <t>Data Entry Cell, Site Remediation Cost</t>
        </r>
      </text>
    </comment>
    <comment ref="E15" authorId="1" shapeId="0" xr:uid="{00000000-0006-0000-0B00-000080000000}">
      <text>
        <r>
          <rPr>
            <b/>
            <sz val="10"/>
            <color indexed="81"/>
            <rFont val="Tahoma"/>
            <family val="2"/>
          </rPr>
          <t>Data Entry Cell, Improvements Cost</t>
        </r>
      </text>
    </comment>
    <comment ref="F15" authorId="1" shapeId="0" xr:uid="{00000000-0006-0000-0B00-000081000000}">
      <text>
        <r>
          <rPr>
            <b/>
            <sz val="10"/>
            <color indexed="81"/>
            <rFont val="Tahoma"/>
            <family val="2"/>
          </rPr>
          <t>Data Entry Cell, Improvements Cost</t>
        </r>
      </text>
    </comment>
    <comment ref="G15" authorId="1" shapeId="0" xr:uid="{00000000-0006-0000-0B00-000082000000}">
      <text>
        <r>
          <rPr>
            <b/>
            <sz val="10"/>
            <color indexed="81"/>
            <rFont val="Tahoma"/>
            <family val="2"/>
          </rPr>
          <t>Data Entry Cell, Improvements Cost</t>
        </r>
      </text>
    </comment>
    <comment ref="H15" authorId="1" shapeId="0" xr:uid="{00000000-0006-0000-0B00-000083000000}">
      <text>
        <r>
          <rPr>
            <b/>
            <sz val="10"/>
            <color indexed="81"/>
            <rFont val="Tahoma"/>
            <family val="2"/>
          </rPr>
          <t>Data Entry Cell, Improvements Cost</t>
        </r>
      </text>
    </comment>
    <comment ref="I15" authorId="1" shapeId="0" xr:uid="{00000000-0006-0000-0B00-000084000000}">
      <text>
        <r>
          <rPr>
            <b/>
            <sz val="10"/>
            <color indexed="81"/>
            <rFont val="Tahoma"/>
            <family val="2"/>
          </rPr>
          <t>Data Entry Cell, Improvements Cost</t>
        </r>
      </text>
    </comment>
    <comment ref="J15" authorId="1" shapeId="0" xr:uid="{00000000-0006-0000-0B00-000085000000}">
      <text>
        <r>
          <rPr>
            <b/>
            <sz val="10"/>
            <color indexed="81"/>
            <rFont val="Tahoma"/>
            <family val="2"/>
          </rPr>
          <t>Data Entry Cell, Improvements Cost</t>
        </r>
      </text>
    </comment>
    <comment ref="K15" authorId="1" shapeId="0" xr:uid="{00000000-0006-0000-0B00-000086000000}">
      <text>
        <r>
          <rPr>
            <b/>
            <sz val="10"/>
            <color indexed="81"/>
            <rFont val="Tahoma"/>
            <family val="2"/>
          </rPr>
          <t>Data Entry Cell, Improvements Cost</t>
        </r>
      </text>
    </comment>
    <comment ref="L15" authorId="1" shapeId="0" xr:uid="{00000000-0006-0000-0B00-000087000000}">
      <text>
        <r>
          <rPr>
            <b/>
            <sz val="10"/>
            <color indexed="81"/>
            <rFont val="Tahoma"/>
            <family val="2"/>
          </rPr>
          <t>Data Entry Cell, Improvements Cost</t>
        </r>
      </text>
    </comment>
    <comment ref="M15" authorId="1" shapeId="0" xr:uid="{00000000-0006-0000-0B00-000088000000}">
      <text>
        <r>
          <rPr>
            <b/>
            <sz val="10"/>
            <color indexed="81"/>
            <rFont val="Tahoma"/>
            <family val="2"/>
          </rPr>
          <t>Data Entry Cell, Improvements Cost</t>
        </r>
      </text>
    </comment>
    <comment ref="N15" authorId="1" shapeId="0" xr:uid="{00000000-0006-0000-0B00-000089000000}">
      <text>
        <r>
          <rPr>
            <b/>
            <sz val="10"/>
            <color indexed="81"/>
            <rFont val="Tahoma"/>
            <family val="2"/>
          </rPr>
          <t>Data Entry Cell, Improvements Cost</t>
        </r>
      </text>
    </comment>
    <comment ref="O15" authorId="1" shapeId="0" xr:uid="{00000000-0006-0000-0B00-00008A000000}">
      <text>
        <r>
          <rPr>
            <b/>
            <sz val="10"/>
            <color indexed="81"/>
            <rFont val="Tahoma"/>
            <family val="2"/>
          </rPr>
          <t>Data Entry Cell, Improvements Cost</t>
        </r>
      </text>
    </comment>
    <comment ref="P15" authorId="1" shapeId="0" xr:uid="{00000000-0006-0000-0B00-00008B000000}">
      <text>
        <r>
          <rPr>
            <b/>
            <sz val="10"/>
            <color indexed="81"/>
            <rFont val="Tahoma"/>
            <family val="2"/>
          </rPr>
          <t>Data Entry Cell, Improvements Cost</t>
        </r>
      </text>
    </comment>
    <comment ref="Q15" authorId="1" shapeId="0" xr:uid="{00000000-0006-0000-0B00-00008C000000}">
      <text>
        <r>
          <rPr>
            <b/>
            <sz val="10"/>
            <color indexed="81"/>
            <rFont val="Tahoma"/>
            <family val="2"/>
          </rPr>
          <t>Data Entry Cell, Improvements Cost</t>
        </r>
      </text>
    </comment>
    <comment ref="R15" authorId="1" shapeId="0" xr:uid="{00000000-0006-0000-0B00-00008D000000}">
      <text>
        <r>
          <rPr>
            <b/>
            <sz val="10"/>
            <color indexed="81"/>
            <rFont val="Tahoma"/>
            <family val="2"/>
          </rPr>
          <t>Data Entry Cell, Improvements Cost</t>
        </r>
      </text>
    </comment>
    <comment ref="S15" authorId="1" shapeId="0" xr:uid="{00000000-0006-0000-0B00-00008E000000}">
      <text>
        <r>
          <rPr>
            <b/>
            <sz val="10"/>
            <color indexed="81"/>
            <rFont val="Tahoma"/>
            <family val="2"/>
          </rPr>
          <t>Data Entry Cell, Improvements Cost</t>
        </r>
      </text>
    </comment>
    <comment ref="T15" authorId="1" shapeId="0" xr:uid="{00000000-0006-0000-0B00-00008F000000}">
      <text>
        <r>
          <rPr>
            <b/>
            <sz val="10"/>
            <color indexed="81"/>
            <rFont val="Tahoma"/>
            <family val="2"/>
          </rPr>
          <t>Data Entry Cell, Improvements Cost</t>
        </r>
      </text>
    </comment>
    <comment ref="U15" authorId="1" shapeId="0" xr:uid="{00000000-0006-0000-0B00-000090000000}">
      <text>
        <r>
          <rPr>
            <b/>
            <sz val="10"/>
            <color indexed="81"/>
            <rFont val="Tahoma"/>
            <family val="2"/>
          </rPr>
          <t>Data Entry Cell, Improvements Cost</t>
        </r>
      </text>
    </comment>
    <comment ref="V15" authorId="1" shapeId="0" xr:uid="{00000000-0006-0000-0B00-000091000000}">
      <text>
        <r>
          <rPr>
            <b/>
            <sz val="10"/>
            <color indexed="81"/>
            <rFont val="Tahoma"/>
            <family val="2"/>
          </rPr>
          <t>Data Entry Cell, Improvements Cost</t>
        </r>
      </text>
    </comment>
    <comment ref="W15" authorId="1" shapeId="0" xr:uid="{00000000-0006-0000-0B00-000092000000}">
      <text>
        <r>
          <rPr>
            <b/>
            <sz val="10"/>
            <color indexed="81"/>
            <rFont val="Tahoma"/>
            <family val="2"/>
          </rPr>
          <t>Data Entry Cell, Improvements Cost</t>
        </r>
      </text>
    </comment>
    <comment ref="X15" authorId="1" shapeId="0" xr:uid="{00000000-0006-0000-0B00-000093000000}">
      <text>
        <r>
          <rPr>
            <b/>
            <sz val="10"/>
            <color indexed="81"/>
            <rFont val="Tahoma"/>
            <family val="2"/>
          </rPr>
          <t>Data Entry Cell, Improvements Cost</t>
        </r>
      </text>
    </comment>
    <comment ref="Y15" authorId="1" shapeId="0" xr:uid="{00000000-0006-0000-0B00-000094000000}">
      <text>
        <r>
          <rPr>
            <b/>
            <sz val="10"/>
            <color indexed="81"/>
            <rFont val="Tahoma"/>
            <family val="2"/>
          </rPr>
          <t>Data Entry Cell, Improvements Cost</t>
        </r>
      </text>
    </comment>
    <comment ref="Z15" authorId="1" shapeId="0" xr:uid="{00000000-0006-0000-0B00-000095000000}">
      <text>
        <r>
          <rPr>
            <b/>
            <sz val="10"/>
            <color indexed="81"/>
            <rFont val="Tahoma"/>
            <family val="2"/>
          </rPr>
          <t>Data Entry Cell, Improvements Cost</t>
        </r>
      </text>
    </comment>
    <comment ref="AA15" authorId="1" shapeId="0" xr:uid="{00000000-0006-0000-0B00-000096000000}">
      <text>
        <r>
          <rPr>
            <b/>
            <sz val="10"/>
            <color indexed="81"/>
            <rFont val="Tahoma"/>
            <family val="2"/>
          </rPr>
          <t>Data Entry Cell, Improvements Cost</t>
        </r>
      </text>
    </comment>
    <comment ref="AB15" authorId="1" shapeId="0" xr:uid="{00000000-0006-0000-0B00-000097000000}">
      <text>
        <r>
          <rPr>
            <b/>
            <sz val="10"/>
            <color indexed="81"/>
            <rFont val="Tahoma"/>
            <family val="2"/>
          </rPr>
          <t>Data Entry Cell, Improvements Cost</t>
        </r>
      </text>
    </comment>
    <comment ref="AC15" authorId="1" shapeId="0" xr:uid="{00000000-0006-0000-0B00-000098000000}">
      <text>
        <r>
          <rPr>
            <b/>
            <sz val="10"/>
            <color indexed="81"/>
            <rFont val="Tahoma"/>
            <family val="2"/>
          </rPr>
          <t>Data Entry Cell, Improvements Cost</t>
        </r>
      </text>
    </comment>
    <comment ref="E16" authorId="1" shapeId="0" xr:uid="{00000000-0006-0000-0B00-000099000000}">
      <text>
        <r>
          <rPr>
            <b/>
            <sz val="10"/>
            <color indexed="81"/>
            <rFont val="Tahoma"/>
            <family val="2"/>
          </rPr>
          <t>Data Entry Cell, Other Site Work Costs</t>
        </r>
      </text>
    </comment>
    <comment ref="F16" authorId="1" shapeId="0" xr:uid="{00000000-0006-0000-0B00-00009A000000}">
      <text>
        <r>
          <rPr>
            <b/>
            <sz val="10"/>
            <color indexed="81"/>
            <rFont val="Tahoma"/>
            <family val="2"/>
          </rPr>
          <t>Data Entry Cell, Other Site Work Costs</t>
        </r>
      </text>
    </comment>
    <comment ref="G16" authorId="1" shapeId="0" xr:uid="{00000000-0006-0000-0B00-00009B000000}">
      <text>
        <r>
          <rPr>
            <b/>
            <sz val="10"/>
            <color indexed="81"/>
            <rFont val="Tahoma"/>
            <family val="2"/>
          </rPr>
          <t>Data Entry Cell, Other Site Work Costs</t>
        </r>
      </text>
    </comment>
    <comment ref="H16" authorId="1" shapeId="0" xr:uid="{00000000-0006-0000-0B00-00009C000000}">
      <text>
        <r>
          <rPr>
            <b/>
            <sz val="10"/>
            <color indexed="81"/>
            <rFont val="Tahoma"/>
            <family val="2"/>
          </rPr>
          <t>Data Entry Cell, Other Site Work Costs</t>
        </r>
      </text>
    </comment>
    <comment ref="I16" authorId="1" shapeId="0" xr:uid="{00000000-0006-0000-0B00-00009D000000}">
      <text>
        <r>
          <rPr>
            <b/>
            <sz val="10"/>
            <color indexed="81"/>
            <rFont val="Tahoma"/>
            <family val="2"/>
          </rPr>
          <t>Data Entry Cell, Other Site Work Costs</t>
        </r>
      </text>
    </comment>
    <comment ref="J16" authorId="1" shapeId="0" xr:uid="{00000000-0006-0000-0B00-00009E000000}">
      <text>
        <r>
          <rPr>
            <b/>
            <sz val="10"/>
            <color indexed="81"/>
            <rFont val="Tahoma"/>
            <family val="2"/>
          </rPr>
          <t>Data Entry Cell, Other Site Work Costs</t>
        </r>
      </text>
    </comment>
    <comment ref="K16" authorId="1" shapeId="0" xr:uid="{00000000-0006-0000-0B00-00009F000000}">
      <text>
        <r>
          <rPr>
            <b/>
            <sz val="10"/>
            <color indexed="81"/>
            <rFont val="Tahoma"/>
            <family val="2"/>
          </rPr>
          <t>Data Entry Cell, Other Site Work Costs</t>
        </r>
      </text>
    </comment>
    <comment ref="L16" authorId="1" shapeId="0" xr:uid="{00000000-0006-0000-0B00-0000A0000000}">
      <text>
        <r>
          <rPr>
            <b/>
            <sz val="10"/>
            <color indexed="81"/>
            <rFont val="Tahoma"/>
            <family val="2"/>
          </rPr>
          <t>Data Entry Cell, Other Site Work Costs</t>
        </r>
      </text>
    </comment>
    <comment ref="M16" authorId="1" shapeId="0" xr:uid="{00000000-0006-0000-0B00-0000A1000000}">
      <text>
        <r>
          <rPr>
            <b/>
            <sz val="10"/>
            <color indexed="81"/>
            <rFont val="Tahoma"/>
            <family val="2"/>
          </rPr>
          <t>Data Entry Cell, Other Site Work Costs</t>
        </r>
      </text>
    </comment>
    <comment ref="N16" authorId="1" shapeId="0" xr:uid="{00000000-0006-0000-0B00-0000A2000000}">
      <text>
        <r>
          <rPr>
            <b/>
            <sz val="10"/>
            <color indexed="81"/>
            <rFont val="Tahoma"/>
            <family val="2"/>
          </rPr>
          <t>Data Entry Cell, Other Site Work Costs</t>
        </r>
      </text>
    </comment>
    <comment ref="O16" authorId="1" shapeId="0" xr:uid="{00000000-0006-0000-0B00-0000A3000000}">
      <text>
        <r>
          <rPr>
            <b/>
            <sz val="10"/>
            <color indexed="81"/>
            <rFont val="Tahoma"/>
            <family val="2"/>
          </rPr>
          <t>Data Entry Cell, Other Site Work Costs</t>
        </r>
      </text>
    </comment>
    <comment ref="P16" authorId="1" shapeId="0" xr:uid="{00000000-0006-0000-0B00-0000A4000000}">
      <text>
        <r>
          <rPr>
            <b/>
            <sz val="10"/>
            <color indexed="81"/>
            <rFont val="Tahoma"/>
            <family val="2"/>
          </rPr>
          <t>Data Entry Cell, Other Site Work Costs</t>
        </r>
      </text>
    </comment>
    <comment ref="Q16" authorId="1" shapeId="0" xr:uid="{00000000-0006-0000-0B00-0000A5000000}">
      <text>
        <r>
          <rPr>
            <b/>
            <sz val="10"/>
            <color indexed="81"/>
            <rFont val="Tahoma"/>
            <family val="2"/>
          </rPr>
          <t>Data Entry Cell, Other Site Work Costs</t>
        </r>
      </text>
    </comment>
    <comment ref="R16" authorId="1" shapeId="0" xr:uid="{00000000-0006-0000-0B00-0000A6000000}">
      <text>
        <r>
          <rPr>
            <b/>
            <sz val="10"/>
            <color indexed="81"/>
            <rFont val="Tahoma"/>
            <family val="2"/>
          </rPr>
          <t>Data Entry Cell, Other Site Work Costs</t>
        </r>
      </text>
    </comment>
    <comment ref="S16" authorId="1" shapeId="0" xr:uid="{00000000-0006-0000-0B00-0000A7000000}">
      <text>
        <r>
          <rPr>
            <b/>
            <sz val="10"/>
            <color indexed="81"/>
            <rFont val="Tahoma"/>
            <family val="2"/>
          </rPr>
          <t>Data Entry Cell, Other Site Work Costs</t>
        </r>
      </text>
    </comment>
    <comment ref="T16" authorId="1" shapeId="0" xr:uid="{00000000-0006-0000-0B00-0000A8000000}">
      <text>
        <r>
          <rPr>
            <b/>
            <sz val="10"/>
            <color indexed="81"/>
            <rFont val="Tahoma"/>
            <family val="2"/>
          </rPr>
          <t>Data Entry Cell, Other Site Work Costs</t>
        </r>
      </text>
    </comment>
    <comment ref="U16" authorId="1" shapeId="0" xr:uid="{00000000-0006-0000-0B00-0000A9000000}">
      <text>
        <r>
          <rPr>
            <b/>
            <sz val="10"/>
            <color indexed="81"/>
            <rFont val="Tahoma"/>
            <family val="2"/>
          </rPr>
          <t>Data Entry Cell, Other Site Work Costs</t>
        </r>
      </text>
    </comment>
    <comment ref="V16" authorId="1" shapeId="0" xr:uid="{00000000-0006-0000-0B00-0000AA000000}">
      <text>
        <r>
          <rPr>
            <b/>
            <sz val="10"/>
            <color indexed="81"/>
            <rFont val="Tahoma"/>
            <family val="2"/>
          </rPr>
          <t>Data Entry Cell, Other Site Work Costs</t>
        </r>
      </text>
    </comment>
    <comment ref="W16" authorId="1" shapeId="0" xr:uid="{00000000-0006-0000-0B00-0000AB000000}">
      <text>
        <r>
          <rPr>
            <b/>
            <sz val="10"/>
            <color indexed="81"/>
            <rFont val="Tahoma"/>
            <family val="2"/>
          </rPr>
          <t>Data Entry Cell, Other Site Work Costs</t>
        </r>
      </text>
    </comment>
    <comment ref="X16" authorId="1" shapeId="0" xr:uid="{00000000-0006-0000-0B00-0000AC000000}">
      <text>
        <r>
          <rPr>
            <b/>
            <sz val="10"/>
            <color indexed="81"/>
            <rFont val="Tahoma"/>
            <family val="2"/>
          </rPr>
          <t>Data Entry Cell, Other Site Work Costs</t>
        </r>
      </text>
    </comment>
    <comment ref="Y16" authorId="1" shapeId="0" xr:uid="{00000000-0006-0000-0B00-0000AD000000}">
      <text>
        <r>
          <rPr>
            <b/>
            <sz val="10"/>
            <color indexed="81"/>
            <rFont val="Tahoma"/>
            <family val="2"/>
          </rPr>
          <t>Data Entry Cell, Other Site Work Costs</t>
        </r>
      </text>
    </comment>
    <comment ref="Z16" authorId="1" shapeId="0" xr:uid="{00000000-0006-0000-0B00-0000AE000000}">
      <text>
        <r>
          <rPr>
            <b/>
            <sz val="10"/>
            <color indexed="81"/>
            <rFont val="Tahoma"/>
            <family val="2"/>
          </rPr>
          <t>Data Entry Cell, Other Site Work Costs</t>
        </r>
      </text>
    </comment>
    <comment ref="AA16" authorId="1" shapeId="0" xr:uid="{00000000-0006-0000-0B00-0000AF000000}">
      <text>
        <r>
          <rPr>
            <b/>
            <sz val="10"/>
            <color indexed="81"/>
            <rFont val="Tahoma"/>
            <family val="2"/>
          </rPr>
          <t>Data Entry Cell, Other Site Work Costs</t>
        </r>
      </text>
    </comment>
    <comment ref="AB16" authorId="1" shapeId="0" xr:uid="{00000000-0006-0000-0B00-0000B0000000}">
      <text>
        <r>
          <rPr>
            <b/>
            <sz val="10"/>
            <color indexed="81"/>
            <rFont val="Tahoma"/>
            <family val="2"/>
          </rPr>
          <t>Data Entry Cell, Other Site Work Costs</t>
        </r>
      </text>
    </comment>
    <comment ref="AC16" authorId="1" shapeId="0" xr:uid="{00000000-0006-0000-0B00-0000B1000000}">
      <text>
        <r>
          <rPr>
            <b/>
            <sz val="10"/>
            <color indexed="81"/>
            <rFont val="Tahoma"/>
            <family val="2"/>
          </rPr>
          <t>Data Entry Cell, Other Site Work Costs</t>
        </r>
      </text>
    </comment>
    <comment ref="E18" authorId="1" shapeId="0" xr:uid="{00000000-0006-0000-0B00-0000B2000000}">
      <text>
        <r>
          <rPr>
            <b/>
            <sz val="10"/>
            <color indexed="81"/>
            <rFont val="Tahoma"/>
            <family val="2"/>
          </rPr>
          <t>Data Entry Cell, Site Work Included in Construction Contract Cost</t>
        </r>
      </text>
    </comment>
    <comment ref="F18" authorId="1" shapeId="0" xr:uid="{00000000-0006-0000-0B00-0000B3000000}">
      <text>
        <r>
          <rPr>
            <b/>
            <sz val="10"/>
            <color indexed="81"/>
            <rFont val="Tahoma"/>
            <family val="2"/>
          </rPr>
          <t>Data Entry Cell, Site Work Included in Construction Contract Cost</t>
        </r>
      </text>
    </comment>
    <comment ref="G18" authorId="1" shapeId="0" xr:uid="{00000000-0006-0000-0B00-0000B4000000}">
      <text>
        <r>
          <rPr>
            <b/>
            <sz val="10"/>
            <color indexed="81"/>
            <rFont val="Tahoma"/>
            <family val="2"/>
          </rPr>
          <t>Data Entry Cell, Site Work Included in Construction Contract Cost</t>
        </r>
      </text>
    </comment>
    <comment ref="H18" authorId="1" shapeId="0" xr:uid="{00000000-0006-0000-0B00-0000B5000000}">
      <text>
        <r>
          <rPr>
            <b/>
            <sz val="10"/>
            <color indexed="81"/>
            <rFont val="Tahoma"/>
            <family val="2"/>
          </rPr>
          <t>Data Entry Cell, Site Work Included in Construction Contract Cost</t>
        </r>
      </text>
    </comment>
    <comment ref="I18" authorId="1" shapeId="0" xr:uid="{00000000-0006-0000-0B00-0000B6000000}">
      <text>
        <r>
          <rPr>
            <b/>
            <sz val="10"/>
            <color indexed="81"/>
            <rFont val="Tahoma"/>
            <family val="2"/>
          </rPr>
          <t>Data Entry Cell, Site Work Included in Construction Contract Cost</t>
        </r>
      </text>
    </comment>
    <comment ref="J18" authorId="1" shapeId="0" xr:uid="{00000000-0006-0000-0B00-0000B7000000}">
      <text>
        <r>
          <rPr>
            <b/>
            <sz val="10"/>
            <color indexed="81"/>
            <rFont val="Tahoma"/>
            <family val="2"/>
          </rPr>
          <t>Data Entry Cell, Site Work Included in Construction Contract Cost</t>
        </r>
      </text>
    </comment>
    <comment ref="K18" authorId="1" shapeId="0" xr:uid="{00000000-0006-0000-0B00-0000B8000000}">
      <text>
        <r>
          <rPr>
            <b/>
            <sz val="10"/>
            <color indexed="81"/>
            <rFont val="Tahoma"/>
            <family val="2"/>
          </rPr>
          <t>Data Entry Cell, Site Work Included in Construction Contract Cost</t>
        </r>
      </text>
    </comment>
    <comment ref="L18" authorId="1" shapeId="0" xr:uid="{00000000-0006-0000-0B00-0000B9000000}">
      <text>
        <r>
          <rPr>
            <b/>
            <sz val="10"/>
            <color indexed="81"/>
            <rFont val="Tahoma"/>
            <family val="2"/>
          </rPr>
          <t>Data Entry Cell, Site Work Included in Construction Contract Cost</t>
        </r>
      </text>
    </comment>
    <comment ref="M18" authorId="1" shapeId="0" xr:uid="{00000000-0006-0000-0B00-0000BA000000}">
      <text>
        <r>
          <rPr>
            <b/>
            <sz val="10"/>
            <color indexed="81"/>
            <rFont val="Tahoma"/>
            <family val="2"/>
          </rPr>
          <t>Data Entry Cell, Site Work Included in Construction Contract Cost</t>
        </r>
      </text>
    </comment>
    <comment ref="N18" authorId="1" shapeId="0" xr:uid="{00000000-0006-0000-0B00-0000BB000000}">
      <text>
        <r>
          <rPr>
            <b/>
            <sz val="10"/>
            <color indexed="81"/>
            <rFont val="Tahoma"/>
            <family val="2"/>
          </rPr>
          <t>Data Entry Cell, Site Work Included in Construction Contract Cost</t>
        </r>
      </text>
    </comment>
    <comment ref="O18" authorId="1" shapeId="0" xr:uid="{00000000-0006-0000-0B00-0000BC000000}">
      <text>
        <r>
          <rPr>
            <b/>
            <sz val="10"/>
            <color indexed="81"/>
            <rFont val="Tahoma"/>
            <family val="2"/>
          </rPr>
          <t>Data Entry Cell, Site Work Included in Construction Contract Cost</t>
        </r>
      </text>
    </comment>
    <comment ref="P18" authorId="1" shapeId="0" xr:uid="{00000000-0006-0000-0B00-0000BD000000}">
      <text>
        <r>
          <rPr>
            <b/>
            <sz val="10"/>
            <color indexed="81"/>
            <rFont val="Tahoma"/>
            <family val="2"/>
          </rPr>
          <t>Data Entry Cell, Site Work Included in Construction Contract Cost</t>
        </r>
      </text>
    </comment>
    <comment ref="Q18" authorId="1" shapeId="0" xr:uid="{00000000-0006-0000-0B00-0000BE000000}">
      <text>
        <r>
          <rPr>
            <b/>
            <sz val="10"/>
            <color indexed="81"/>
            <rFont val="Tahoma"/>
            <family val="2"/>
          </rPr>
          <t>Data Entry Cell, Site Work Included in Construction Contract Cost</t>
        </r>
      </text>
    </comment>
    <comment ref="R18" authorId="1" shapeId="0" xr:uid="{00000000-0006-0000-0B00-0000BF000000}">
      <text>
        <r>
          <rPr>
            <b/>
            <sz val="10"/>
            <color indexed="81"/>
            <rFont val="Tahoma"/>
            <family val="2"/>
          </rPr>
          <t>Data Entry Cell, Site Work Included in Construction Contract Cost</t>
        </r>
      </text>
    </comment>
    <comment ref="S18" authorId="1" shapeId="0" xr:uid="{00000000-0006-0000-0B00-0000C0000000}">
      <text>
        <r>
          <rPr>
            <b/>
            <sz val="10"/>
            <color indexed="81"/>
            <rFont val="Tahoma"/>
            <family val="2"/>
          </rPr>
          <t>Data Entry Cell, Site Work Included in Construction Contract Cost</t>
        </r>
      </text>
    </comment>
    <comment ref="T18" authorId="1" shapeId="0" xr:uid="{00000000-0006-0000-0B00-0000C1000000}">
      <text>
        <r>
          <rPr>
            <b/>
            <sz val="10"/>
            <color indexed="81"/>
            <rFont val="Tahoma"/>
            <family val="2"/>
          </rPr>
          <t>Data Entry Cell, Site Work Included in Construction Contract Cost</t>
        </r>
      </text>
    </comment>
    <comment ref="U18" authorId="1" shapeId="0" xr:uid="{00000000-0006-0000-0B00-0000C2000000}">
      <text>
        <r>
          <rPr>
            <b/>
            <sz val="10"/>
            <color indexed="81"/>
            <rFont val="Tahoma"/>
            <family val="2"/>
          </rPr>
          <t>Data Entry Cell, Site Work Included in Construction Contract Cost</t>
        </r>
      </text>
    </comment>
    <comment ref="V18" authorId="1" shapeId="0" xr:uid="{00000000-0006-0000-0B00-0000C3000000}">
      <text>
        <r>
          <rPr>
            <b/>
            <sz val="10"/>
            <color indexed="81"/>
            <rFont val="Tahoma"/>
            <family val="2"/>
          </rPr>
          <t>Data Entry Cell, Site Work Included in Construction Contract Cost</t>
        </r>
      </text>
    </comment>
    <comment ref="W18" authorId="1" shapeId="0" xr:uid="{00000000-0006-0000-0B00-0000C4000000}">
      <text>
        <r>
          <rPr>
            <b/>
            <sz val="10"/>
            <color indexed="81"/>
            <rFont val="Tahoma"/>
            <family val="2"/>
          </rPr>
          <t>Data Entry Cell, Site Work Included in Construction Contract Cost</t>
        </r>
      </text>
    </comment>
    <comment ref="X18" authorId="1" shapeId="0" xr:uid="{00000000-0006-0000-0B00-0000C5000000}">
      <text>
        <r>
          <rPr>
            <b/>
            <sz val="10"/>
            <color indexed="81"/>
            <rFont val="Tahoma"/>
            <family val="2"/>
          </rPr>
          <t>Data Entry Cell, Site Work Included in Construction Contract Cost</t>
        </r>
      </text>
    </comment>
    <comment ref="Y18" authorId="1" shapeId="0" xr:uid="{00000000-0006-0000-0B00-0000C6000000}">
      <text>
        <r>
          <rPr>
            <b/>
            <sz val="10"/>
            <color indexed="81"/>
            <rFont val="Tahoma"/>
            <family val="2"/>
          </rPr>
          <t>Data Entry Cell, Site Work Included in Construction Contract Cost</t>
        </r>
      </text>
    </comment>
    <comment ref="Z18" authorId="1" shapeId="0" xr:uid="{00000000-0006-0000-0B00-0000C7000000}">
      <text>
        <r>
          <rPr>
            <b/>
            <sz val="10"/>
            <color indexed="81"/>
            <rFont val="Tahoma"/>
            <family val="2"/>
          </rPr>
          <t>Data Entry Cell, Site Work Included in Construction Contract Cost</t>
        </r>
      </text>
    </comment>
    <comment ref="AA18" authorId="1" shapeId="0" xr:uid="{00000000-0006-0000-0B00-0000C8000000}">
      <text>
        <r>
          <rPr>
            <b/>
            <sz val="10"/>
            <color indexed="81"/>
            <rFont val="Tahoma"/>
            <family val="2"/>
          </rPr>
          <t>Data Entry Cell, Site Work Included in Construction Contract Cost</t>
        </r>
      </text>
    </comment>
    <comment ref="AB18" authorId="1" shapeId="0" xr:uid="{00000000-0006-0000-0B00-0000C9000000}">
      <text>
        <r>
          <rPr>
            <b/>
            <sz val="10"/>
            <color indexed="81"/>
            <rFont val="Tahoma"/>
            <family val="2"/>
          </rPr>
          <t>Data Entry Cell, Site Work Included in Construction Contract Cost</t>
        </r>
      </text>
    </comment>
    <comment ref="AC18" authorId="1" shapeId="0" xr:uid="{00000000-0006-0000-0B00-0000CA000000}">
      <text>
        <r>
          <rPr>
            <b/>
            <sz val="10"/>
            <color indexed="81"/>
            <rFont val="Tahoma"/>
            <family val="2"/>
          </rPr>
          <t>Data Entry Cell, Site Work Included in Construction Contract Cost</t>
        </r>
      </text>
    </comment>
    <comment ref="E19" authorId="1" shapeId="0" xr:uid="{00000000-0006-0000-0B00-0000CB000000}">
      <text>
        <r>
          <rPr>
            <b/>
            <sz val="10"/>
            <color indexed="81"/>
            <rFont val="Tahoma"/>
            <family val="2"/>
          </rPr>
          <t>Data Entry Cell, New Construction Cost</t>
        </r>
      </text>
    </comment>
    <comment ref="F19" authorId="1" shapeId="0" xr:uid="{00000000-0006-0000-0B00-0000CC000000}">
      <text>
        <r>
          <rPr>
            <b/>
            <sz val="10"/>
            <color indexed="81"/>
            <rFont val="Tahoma"/>
            <family val="2"/>
          </rPr>
          <t>Data Entry Cell, New Construction Cost</t>
        </r>
      </text>
    </comment>
    <comment ref="G19" authorId="1" shapeId="0" xr:uid="{00000000-0006-0000-0B00-0000CD000000}">
      <text>
        <r>
          <rPr>
            <b/>
            <sz val="10"/>
            <color indexed="81"/>
            <rFont val="Tahoma"/>
            <family val="2"/>
          </rPr>
          <t>Data Entry Cell, New Construction Cost</t>
        </r>
      </text>
    </comment>
    <comment ref="H19" authorId="1" shapeId="0" xr:uid="{00000000-0006-0000-0B00-0000CE000000}">
      <text>
        <r>
          <rPr>
            <b/>
            <sz val="10"/>
            <color indexed="81"/>
            <rFont val="Tahoma"/>
            <family val="2"/>
          </rPr>
          <t>Data Entry Cell, New Construction Cost</t>
        </r>
      </text>
    </comment>
    <comment ref="I19" authorId="1" shapeId="0" xr:uid="{00000000-0006-0000-0B00-0000CF000000}">
      <text>
        <r>
          <rPr>
            <b/>
            <sz val="10"/>
            <color indexed="81"/>
            <rFont val="Tahoma"/>
            <family val="2"/>
          </rPr>
          <t>Data Entry Cell, New Construction Cost</t>
        </r>
      </text>
    </comment>
    <comment ref="J19" authorId="1" shapeId="0" xr:uid="{00000000-0006-0000-0B00-0000D0000000}">
      <text>
        <r>
          <rPr>
            <b/>
            <sz val="10"/>
            <color indexed="81"/>
            <rFont val="Tahoma"/>
            <family val="2"/>
          </rPr>
          <t>Data Entry Cell, New Construction Cost</t>
        </r>
      </text>
    </comment>
    <comment ref="K19" authorId="1" shapeId="0" xr:uid="{00000000-0006-0000-0B00-0000D1000000}">
      <text>
        <r>
          <rPr>
            <b/>
            <sz val="10"/>
            <color indexed="81"/>
            <rFont val="Tahoma"/>
            <family val="2"/>
          </rPr>
          <t>Data Entry Cell, New Construction Cost</t>
        </r>
      </text>
    </comment>
    <comment ref="L19" authorId="1" shapeId="0" xr:uid="{00000000-0006-0000-0B00-0000D2000000}">
      <text>
        <r>
          <rPr>
            <b/>
            <sz val="10"/>
            <color indexed="81"/>
            <rFont val="Tahoma"/>
            <family val="2"/>
          </rPr>
          <t>Data Entry Cell, New Construction Cost</t>
        </r>
      </text>
    </comment>
    <comment ref="M19" authorId="1" shapeId="0" xr:uid="{00000000-0006-0000-0B00-0000D3000000}">
      <text>
        <r>
          <rPr>
            <b/>
            <sz val="10"/>
            <color indexed="81"/>
            <rFont val="Tahoma"/>
            <family val="2"/>
          </rPr>
          <t>Data Entry Cell, New Construction Cost</t>
        </r>
      </text>
    </comment>
    <comment ref="N19" authorId="1" shapeId="0" xr:uid="{00000000-0006-0000-0B00-0000D4000000}">
      <text>
        <r>
          <rPr>
            <b/>
            <sz val="10"/>
            <color indexed="81"/>
            <rFont val="Tahoma"/>
            <family val="2"/>
          </rPr>
          <t>Data Entry Cell, New Construction Cost</t>
        </r>
      </text>
    </comment>
    <comment ref="O19" authorId="1" shapeId="0" xr:uid="{00000000-0006-0000-0B00-0000D5000000}">
      <text>
        <r>
          <rPr>
            <b/>
            <sz val="10"/>
            <color indexed="81"/>
            <rFont val="Tahoma"/>
            <family val="2"/>
          </rPr>
          <t>Data Entry Cell, New Construction Cost</t>
        </r>
      </text>
    </comment>
    <comment ref="P19" authorId="1" shapeId="0" xr:uid="{00000000-0006-0000-0B00-0000D6000000}">
      <text>
        <r>
          <rPr>
            <b/>
            <sz val="10"/>
            <color indexed="81"/>
            <rFont val="Tahoma"/>
            <family val="2"/>
          </rPr>
          <t>Data Entry Cell, New Construction Cost</t>
        </r>
      </text>
    </comment>
    <comment ref="Q19" authorId="1" shapeId="0" xr:uid="{00000000-0006-0000-0B00-0000D7000000}">
      <text>
        <r>
          <rPr>
            <b/>
            <sz val="10"/>
            <color indexed="81"/>
            <rFont val="Tahoma"/>
            <family val="2"/>
          </rPr>
          <t>Data Entry Cell, New Construction Cost</t>
        </r>
      </text>
    </comment>
    <comment ref="R19" authorId="1" shapeId="0" xr:uid="{00000000-0006-0000-0B00-0000D8000000}">
      <text>
        <r>
          <rPr>
            <b/>
            <sz val="10"/>
            <color indexed="81"/>
            <rFont val="Tahoma"/>
            <family val="2"/>
          </rPr>
          <t>Data Entry Cell, New Construction Cost</t>
        </r>
      </text>
    </comment>
    <comment ref="S19" authorId="1" shapeId="0" xr:uid="{00000000-0006-0000-0B00-0000D9000000}">
      <text>
        <r>
          <rPr>
            <b/>
            <sz val="10"/>
            <color indexed="81"/>
            <rFont val="Tahoma"/>
            <family val="2"/>
          </rPr>
          <t>Data Entry Cell, New Construction Cost</t>
        </r>
      </text>
    </comment>
    <comment ref="T19" authorId="1" shapeId="0" xr:uid="{00000000-0006-0000-0B00-0000DA000000}">
      <text>
        <r>
          <rPr>
            <b/>
            <sz val="10"/>
            <color indexed="81"/>
            <rFont val="Tahoma"/>
            <family val="2"/>
          </rPr>
          <t>Data Entry Cell, New Construction Cost</t>
        </r>
      </text>
    </comment>
    <comment ref="U19" authorId="1" shapeId="0" xr:uid="{00000000-0006-0000-0B00-0000DB000000}">
      <text>
        <r>
          <rPr>
            <b/>
            <sz val="10"/>
            <color indexed="81"/>
            <rFont val="Tahoma"/>
            <family val="2"/>
          </rPr>
          <t>Data Entry Cell, New Construction Cost</t>
        </r>
      </text>
    </comment>
    <comment ref="V19" authorId="1" shapeId="0" xr:uid="{00000000-0006-0000-0B00-0000DC000000}">
      <text>
        <r>
          <rPr>
            <b/>
            <sz val="10"/>
            <color indexed="81"/>
            <rFont val="Tahoma"/>
            <family val="2"/>
          </rPr>
          <t>Data Entry Cell, New Construction Cost</t>
        </r>
      </text>
    </comment>
    <comment ref="W19" authorId="1" shapeId="0" xr:uid="{00000000-0006-0000-0B00-0000DD000000}">
      <text>
        <r>
          <rPr>
            <b/>
            <sz val="10"/>
            <color indexed="81"/>
            <rFont val="Tahoma"/>
            <family val="2"/>
          </rPr>
          <t>Data Entry Cell, New Construction Cost</t>
        </r>
      </text>
    </comment>
    <comment ref="X19" authorId="1" shapeId="0" xr:uid="{00000000-0006-0000-0B00-0000DE000000}">
      <text>
        <r>
          <rPr>
            <b/>
            <sz val="10"/>
            <color indexed="81"/>
            <rFont val="Tahoma"/>
            <family val="2"/>
          </rPr>
          <t>Data Entry Cell, New Construction Cost</t>
        </r>
      </text>
    </comment>
    <comment ref="Y19" authorId="1" shapeId="0" xr:uid="{00000000-0006-0000-0B00-0000DF000000}">
      <text>
        <r>
          <rPr>
            <b/>
            <sz val="10"/>
            <color indexed="81"/>
            <rFont val="Tahoma"/>
            <family val="2"/>
          </rPr>
          <t>Data Entry Cell, New Construction Cost</t>
        </r>
      </text>
    </comment>
    <comment ref="Z19" authorId="1" shapeId="0" xr:uid="{00000000-0006-0000-0B00-0000E0000000}">
      <text>
        <r>
          <rPr>
            <b/>
            <sz val="10"/>
            <color indexed="81"/>
            <rFont val="Tahoma"/>
            <family val="2"/>
          </rPr>
          <t>Data Entry Cell, New Construction Cost</t>
        </r>
      </text>
    </comment>
    <comment ref="AA19" authorId="1" shapeId="0" xr:uid="{00000000-0006-0000-0B00-0000E1000000}">
      <text>
        <r>
          <rPr>
            <b/>
            <sz val="10"/>
            <color indexed="81"/>
            <rFont val="Tahoma"/>
            <family val="2"/>
          </rPr>
          <t>Data Entry Cell, New Construction Cost</t>
        </r>
      </text>
    </comment>
    <comment ref="AB19" authorId="1" shapeId="0" xr:uid="{00000000-0006-0000-0B00-0000E2000000}">
      <text>
        <r>
          <rPr>
            <b/>
            <sz val="10"/>
            <color indexed="81"/>
            <rFont val="Tahoma"/>
            <family val="2"/>
          </rPr>
          <t>Data Entry Cell, New Construction Cost</t>
        </r>
      </text>
    </comment>
    <comment ref="AC19" authorId="1" shapeId="0" xr:uid="{00000000-0006-0000-0B00-0000E3000000}">
      <text>
        <r>
          <rPr>
            <b/>
            <sz val="10"/>
            <color indexed="81"/>
            <rFont val="Tahoma"/>
            <family val="2"/>
          </rPr>
          <t>Data Entry Cell, New Construction Cost</t>
        </r>
      </text>
    </comment>
    <comment ref="E20" authorId="1" shapeId="0" xr:uid="{00000000-0006-0000-0B00-0000E4000000}">
      <text>
        <r>
          <rPr>
            <b/>
            <sz val="10"/>
            <color indexed="81"/>
            <rFont val="Tahoma"/>
            <family val="2"/>
          </rPr>
          <t>Data Entry Cell, Rehabilitation Cost</t>
        </r>
      </text>
    </comment>
    <comment ref="F20" authorId="1" shapeId="0" xr:uid="{00000000-0006-0000-0B00-0000E5000000}">
      <text>
        <r>
          <rPr>
            <b/>
            <sz val="10"/>
            <color indexed="81"/>
            <rFont val="Tahoma"/>
            <family val="2"/>
          </rPr>
          <t>Data Entry Cell, Rehabilitation Cost</t>
        </r>
      </text>
    </comment>
    <comment ref="G20" authorId="1" shapeId="0" xr:uid="{00000000-0006-0000-0B00-0000E6000000}">
      <text>
        <r>
          <rPr>
            <b/>
            <sz val="10"/>
            <color indexed="81"/>
            <rFont val="Tahoma"/>
            <family val="2"/>
          </rPr>
          <t>Data Entry Cell, Rehabilitation Cost</t>
        </r>
      </text>
    </comment>
    <comment ref="H20" authorId="1" shapeId="0" xr:uid="{00000000-0006-0000-0B00-0000E7000000}">
      <text>
        <r>
          <rPr>
            <b/>
            <sz val="10"/>
            <color indexed="81"/>
            <rFont val="Tahoma"/>
            <family val="2"/>
          </rPr>
          <t>Data Entry Cell, Rehabilitation Cost</t>
        </r>
      </text>
    </comment>
    <comment ref="I20" authorId="1" shapeId="0" xr:uid="{00000000-0006-0000-0B00-0000E8000000}">
      <text>
        <r>
          <rPr>
            <b/>
            <sz val="10"/>
            <color indexed="81"/>
            <rFont val="Tahoma"/>
            <family val="2"/>
          </rPr>
          <t>Data Entry Cell, Rehabilitation Cost</t>
        </r>
      </text>
    </comment>
    <comment ref="J20" authorId="1" shapeId="0" xr:uid="{00000000-0006-0000-0B00-0000E9000000}">
      <text>
        <r>
          <rPr>
            <b/>
            <sz val="10"/>
            <color indexed="81"/>
            <rFont val="Tahoma"/>
            <family val="2"/>
          </rPr>
          <t>Data Entry Cell, Rehabilitation Cost</t>
        </r>
      </text>
    </comment>
    <comment ref="K20" authorId="1" shapeId="0" xr:uid="{00000000-0006-0000-0B00-0000EA000000}">
      <text>
        <r>
          <rPr>
            <b/>
            <sz val="10"/>
            <color indexed="81"/>
            <rFont val="Tahoma"/>
            <family val="2"/>
          </rPr>
          <t>Data Entry Cell, Rehabilitation Cost</t>
        </r>
      </text>
    </comment>
    <comment ref="L20" authorId="1" shapeId="0" xr:uid="{00000000-0006-0000-0B00-0000EB000000}">
      <text>
        <r>
          <rPr>
            <b/>
            <sz val="10"/>
            <color indexed="81"/>
            <rFont val="Tahoma"/>
            <family val="2"/>
          </rPr>
          <t>Data Entry Cell, Rehabilitation Cost</t>
        </r>
      </text>
    </comment>
    <comment ref="M20" authorId="1" shapeId="0" xr:uid="{00000000-0006-0000-0B00-0000EC000000}">
      <text>
        <r>
          <rPr>
            <b/>
            <sz val="10"/>
            <color indexed="81"/>
            <rFont val="Tahoma"/>
            <family val="2"/>
          </rPr>
          <t>Data Entry Cell, Rehabilitation Cost</t>
        </r>
      </text>
    </comment>
    <comment ref="N20" authorId="1" shapeId="0" xr:uid="{00000000-0006-0000-0B00-0000ED000000}">
      <text>
        <r>
          <rPr>
            <b/>
            <sz val="10"/>
            <color indexed="81"/>
            <rFont val="Tahoma"/>
            <family val="2"/>
          </rPr>
          <t>Data Entry Cell, Rehabilitation Cost</t>
        </r>
      </text>
    </comment>
    <comment ref="O20" authorId="1" shapeId="0" xr:uid="{00000000-0006-0000-0B00-0000EE000000}">
      <text>
        <r>
          <rPr>
            <b/>
            <sz val="10"/>
            <color indexed="81"/>
            <rFont val="Tahoma"/>
            <family val="2"/>
          </rPr>
          <t>Data Entry Cell, Rehabilitation Cost</t>
        </r>
      </text>
    </comment>
    <comment ref="P20" authorId="1" shapeId="0" xr:uid="{00000000-0006-0000-0B00-0000EF000000}">
      <text>
        <r>
          <rPr>
            <b/>
            <sz val="10"/>
            <color indexed="81"/>
            <rFont val="Tahoma"/>
            <family val="2"/>
          </rPr>
          <t>Data Entry Cell, Rehabilitation Cost</t>
        </r>
      </text>
    </comment>
    <comment ref="Q20" authorId="1" shapeId="0" xr:uid="{00000000-0006-0000-0B00-0000F0000000}">
      <text>
        <r>
          <rPr>
            <b/>
            <sz val="10"/>
            <color indexed="81"/>
            <rFont val="Tahoma"/>
            <family val="2"/>
          </rPr>
          <t>Data Entry Cell, Rehabilitation Cost</t>
        </r>
      </text>
    </comment>
    <comment ref="R20" authorId="1" shapeId="0" xr:uid="{00000000-0006-0000-0B00-0000F1000000}">
      <text>
        <r>
          <rPr>
            <b/>
            <sz val="10"/>
            <color indexed="81"/>
            <rFont val="Tahoma"/>
            <family val="2"/>
          </rPr>
          <t>Data Entry Cell, Rehabilitation Cost</t>
        </r>
      </text>
    </comment>
    <comment ref="S20" authorId="1" shapeId="0" xr:uid="{00000000-0006-0000-0B00-0000F2000000}">
      <text>
        <r>
          <rPr>
            <b/>
            <sz val="10"/>
            <color indexed="81"/>
            <rFont val="Tahoma"/>
            <family val="2"/>
          </rPr>
          <t>Data Entry Cell, Rehabilitation Cost</t>
        </r>
      </text>
    </comment>
    <comment ref="T20" authorId="1" shapeId="0" xr:uid="{00000000-0006-0000-0B00-0000F3000000}">
      <text>
        <r>
          <rPr>
            <b/>
            <sz val="10"/>
            <color indexed="81"/>
            <rFont val="Tahoma"/>
            <family val="2"/>
          </rPr>
          <t>Data Entry Cell, Rehabilitation Cost</t>
        </r>
      </text>
    </comment>
    <comment ref="U20" authorId="1" shapeId="0" xr:uid="{00000000-0006-0000-0B00-0000F4000000}">
      <text>
        <r>
          <rPr>
            <b/>
            <sz val="10"/>
            <color indexed="81"/>
            <rFont val="Tahoma"/>
            <family val="2"/>
          </rPr>
          <t>Data Entry Cell, Rehabilitation Cost</t>
        </r>
      </text>
    </comment>
    <comment ref="V20" authorId="1" shapeId="0" xr:uid="{00000000-0006-0000-0B00-0000F5000000}">
      <text>
        <r>
          <rPr>
            <b/>
            <sz val="10"/>
            <color indexed="81"/>
            <rFont val="Tahoma"/>
            <family val="2"/>
          </rPr>
          <t>Data Entry Cell, Rehabilitation Cost</t>
        </r>
      </text>
    </comment>
    <comment ref="W20" authorId="1" shapeId="0" xr:uid="{00000000-0006-0000-0B00-0000F6000000}">
      <text>
        <r>
          <rPr>
            <b/>
            <sz val="10"/>
            <color indexed="81"/>
            <rFont val="Tahoma"/>
            <family val="2"/>
          </rPr>
          <t>Data Entry Cell, Rehabilitation Cost</t>
        </r>
      </text>
    </comment>
    <comment ref="X20" authorId="1" shapeId="0" xr:uid="{00000000-0006-0000-0B00-0000F7000000}">
      <text>
        <r>
          <rPr>
            <b/>
            <sz val="10"/>
            <color indexed="81"/>
            <rFont val="Tahoma"/>
            <family val="2"/>
          </rPr>
          <t>Data Entry Cell, Rehabilitation Cost</t>
        </r>
      </text>
    </comment>
    <comment ref="Y20" authorId="1" shapeId="0" xr:uid="{00000000-0006-0000-0B00-0000F8000000}">
      <text>
        <r>
          <rPr>
            <b/>
            <sz val="10"/>
            <color indexed="81"/>
            <rFont val="Tahoma"/>
            <family val="2"/>
          </rPr>
          <t>Data Entry Cell, Rehabilitation Cost</t>
        </r>
      </text>
    </comment>
    <comment ref="Z20" authorId="1" shapeId="0" xr:uid="{00000000-0006-0000-0B00-0000F9000000}">
      <text>
        <r>
          <rPr>
            <b/>
            <sz val="10"/>
            <color indexed="81"/>
            <rFont val="Tahoma"/>
            <family val="2"/>
          </rPr>
          <t>Data Entry Cell, Rehabilitation Cost</t>
        </r>
      </text>
    </comment>
    <comment ref="AA20" authorId="1" shapeId="0" xr:uid="{00000000-0006-0000-0B00-0000FA000000}">
      <text>
        <r>
          <rPr>
            <b/>
            <sz val="10"/>
            <color indexed="81"/>
            <rFont val="Tahoma"/>
            <family val="2"/>
          </rPr>
          <t>Data Entry Cell, Rehabilitation Cost</t>
        </r>
      </text>
    </comment>
    <comment ref="AB20" authorId="1" shapeId="0" xr:uid="{00000000-0006-0000-0B00-0000FB000000}">
      <text>
        <r>
          <rPr>
            <b/>
            <sz val="10"/>
            <color indexed="81"/>
            <rFont val="Tahoma"/>
            <family val="2"/>
          </rPr>
          <t>Data Entry Cell, Rehabilitation Cost</t>
        </r>
      </text>
    </comment>
    <comment ref="AC20" authorId="1" shapeId="0" xr:uid="{00000000-0006-0000-0B00-0000FC000000}">
      <text>
        <r>
          <rPr>
            <b/>
            <sz val="10"/>
            <color indexed="81"/>
            <rFont val="Tahoma"/>
            <family val="2"/>
          </rPr>
          <t>Data Entry Cell, Rehabilitation Cost</t>
        </r>
      </text>
    </comment>
    <comment ref="E21" authorId="1" shapeId="0" xr:uid="{00000000-0006-0000-0B00-0000FD000000}">
      <text>
        <r>
          <rPr>
            <b/>
            <sz val="10"/>
            <color indexed="81"/>
            <rFont val="Tahoma"/>
            <family val="2"/>
          </rPr>
          <t>Data Entry Cell, General Requirements Cost</t>
        </r>
      </text>
    </comment>
    <comment ref="F21" authorId="1" shapeId="0" xr:uid="{00000000-0006-0000-0B00-0000FE000000}">
      <text>
        <r>
          <rPr>
            <b/>
            <sz val="10"/>
            <color indexed="81"/>
            <rFont val="Tahoma"/>
            <family val="2"/>
          </rPr>
          <t>Data Entry Cell, General Requirements Cost</t>
        </r>
      </text>
    </comment>
    <comment ref="G21" authorId="1" shapeId="0" xr:uid="{00000000-0006-0000-0B00-0000FF000000}">
      <text>
        <r>
          <rPr>
            <b/>
            <sz val="10"/>
            <color indexed="81"/>
            <rFont val="Tahoma"/>
            <family val="2"/>
          </rPr>
          <t>Data Entry Cell, General Requirements Cost</t>
        </r>
      </text>
    </comment>
    <comment ref="H21" authorId="1" shapeId="0" xr:uid="{00000000-0006-0000-0B00-000000010000}">
      <text>
        <r>
          <rPr>
            <b/>
            <sz val="10"/>
            <color indexed="81"/>
            <rFont val="Tahoma"/>
            <family val="2"/>
          </rPr>
          <t>Data Entry Cell, General Requirements Cost</t>
        </r>
      </text>
    </comment>
    <comment ref="I21" authorId="1" shapeId="0" xr:uid="{00000000-0006-0000-0B00-000001010000}">
      <text>
        <r>
          <rPr>
            <b/>
            <sz val="10"/>
            <color indexed="81"/>
            <rFont val="Tahoma"/>
            <family val="2"/>
          </rPr>
          <t>Data Entry Cell, General Requirements Cost</t>
        </r>
      </text>
    </comment>
    <comment ref="J21" authorId="1" shapeId="0" xr:uid="{00000000-0006-0000-0B00-000002010000}">
      <text>
        <r>
          <rPr>
            <b/>
            <sz val="10"/>
            <color indexed="81"/>
            <rFont val="Tahoma"/>
            <family val="2"/>
          </rPr>
          <t>Data Entry Cell, General Requirements Cost</t>
        </r>
      </text>
    </comment>
    <comment ref="K21" authorId="1" shapeId="0" xr:uid="{00000000-0006-0000-0B00-000003010000}">
      <text>
        <r>
          <rPr>
            <b/>
            <sz val="10"/>
            <color indexed="81"/>
            <rFont val="Tahoma"/>
            <family val="2"/>
          </rPr>
          <t>Data Entry Cell, General Requirements Cost</t>
        </r>
      </text>
    </comment>
    <comment ref="L21" authorId="1" shapeId="0" xr:uid="{00000000-0006-0000-0B00-000004010000}">
      <text>
        <r>
          <rPr>
            <b/>
            <sz val="10"/>
            <color indexed="81"/>
            <rFont val="Tahoma"/>
            <family val="2"/>
          </rPr>
          <t>Data Entry Cell, General Requirements Cost</t>
        </r>
      </text>
    </comment>
    <comment ref="M21" authorId="1" shapeId="0" xr:uid="{00000000-0006-0000-0B00-000005010000}">
      <text>
        <r>
          <rPr>
            <b/>
            <sz val="10"/>
            <color indexed="81"/>
            <rFont val="Tahoma"/>
            <family val="2"/>
          </rPr>
          <t>Data Entry Cell, General Requirements Cost</t>
        </r>
      </text>
    </comment>
    <comment ref="N21" authorId="1" shapeId="0" xr:uid="{00000000-0006-0000-0B00-000006010000}">
      <text>
        <r>
          <rPr>
            <b/>
            <sz val="10"/>
            <color indexed="81"/>
            <rFont val="Tahoma"/>
            <family val="2"/>
          </rPr>
          <t>Data Entry Cell, General Requirements Cost</t>
        </r>
      </text>
    </comment>
    <comment ref="O21" authorId="1" shapeId="0" xr:uid="{00000000-0006-0000-0B00-000007010000}">
      <text>
        <r>
          <rPr>
            <b/>
            <sz val="10"/>
            <color indexed="81"/>
            <rFont val="Tahoma"/>
            <family val="2"/>
          </rPr>
          <t>Data Entry Cell, General Requirements Cost</t>
        </r>
      </text>
    </comment>
    <comment ref="P21" authorId="1" shapeId="0" xr:uid="{00000000-0006-0000-0B00-000008010000}">
      <text>
        <r>
          <rPr>
            <b/>
            <sz val="10"/>
            <color indexed="81"/>
            <rFont val="Tahoma"/>
            <family val="2"/>
          </rPr>
          <t>Data Entry Cell, General Requirements Cost</t>
        </r>
      </text>
    </comment>
    <comment ref="Q21" authorId="1" shapeId="0" xr:uid="{00000000-0006-0000-0B00-000009010000}">
      <text>
        <r>
          <rPr>
            <b/>
            <sz val="10"/>
            <color indexed="81"/>
            <rFont val="Tahoma"/>
            <family val="2"/>
          </rPr>
          <t>Data Entry Cell, General Requirements Cost</t>
        </r>
      </text>
    </comment>
    <comment ref="R21" authorId="1" shapeId="0" xr:uid="{00000000-0006-0000-0B00-00000A010000}">
      <text>
        <r>
          <rPr>
            <b/>
            <sz val="10"/>
            <color indexed="81"/>
            <rFont val="Tahoma"/>
            <family val="2"/>
          </rPr>
          <t>Data Entry Cell, General Requirements Cost</t>
        </r>
      </text>
    </comment>
    <comment ref="S21" authorId="1" shapeId="0" xr:uid="{00000000-0006-0000-0B00-00000B010000}">
      <text>
        <r>
          <rPr>
            <b/>
            <sz val="10"/>
            <color indexed="81"/>
            <rFont val="Tahoma"/>
            <family val="2"/>
          </rPr>
          <t>Data Entry Cell, General Requirements Cost</t>
        </r>
      </text>
    </comment>
    <comment ref="T21" authorId="1" shapeId="0" xr:uid="{00000000-0006-0000-0B00-00000C010000}">
      <text>
        <r>
          <rPr>
            <b/>
            <sz val="10"/>
            <color indexed="81"/>
            <rFont val="Tahoma"/>
            <family val="2"/>
          </rPr>
          <t>Data Entry Cell, General Requirements Cost</t>
        </r>
      </text>
    </comment>
    <comment ref="U21" authorId="1" shapeId="0" xr:uid="{00000000-0006-0000-0B00-00000D010000}">
      <text>
        <r>
          <rPr>
            <b/>
            <sz val="10"/>
            <color indexed="81"/>
            <rFont val="Tahoma"/>
            <family val="2"/>
          </rPr>
          <t>Data Entry Cell, General Requirements Cost</t>
        </r>
      </text>
    </comment>
    <comment ref="V21" authorId="1" shapeId="0" xr:uid="{00000000-0006-0000-0B00-00000E010000}">
      <text>
        <r>
          <rPr>
            <b/>
            <sz val="10"/>
            <color indexed="81"/>
            <rFont val="Tahoma"/>
            <family val="2"/>
          </rPr>
          <t>Data Entry Cell, General Requirements Cost</t>
        </r>
      </text>
    </comment>
    <comment ref="W21" authorId="1" shapeId="0" xr:uid="{00000000-0006-0000-0B00-00000F010000}">
      <text>
        <r>
          <rPr>
            <b/>
            <sz val="10"/>
            <color indexed="81"/>
            <rFont val="Tahoma"/>
            <family val="2"/>
          </rPr>
          <t>Data Entry Cell, General Requirements Cost</t>
        </r>
      </text>
    </comment>
    <comment ref="X21" authorId="1" shapeId="0" xr:uid="{00000000-0006-0000-0B00-000010010000}">
      <text>
        <r>
          <rPr>
            <b/>
            <sz val="10"/>
            <color indexed="81"/>
            <rFont val="Tahoma"/>
            <family val="2"/>
          </rPr>
          <t>Data Entry Cell, General Requirements Cost</t>
        </r>
      </text>
    </comment>
    <comment ref="Y21" authorId="1" shapeId="0" xr:uid="{00000000-0006-0000-0B00-000011010000}">
      <text>
        <r>
          <rPr>
            <b/>
            <sz val="10"/>
            <color indexed="81"/>
            <rFont val="Tahoma"/>
            <family val="2"/>
          </rPr>
          <t>Data Entry Cell, General Requirements Cost</t>
        </r>
      </text>
    </comment>
    <comment ref="Z21" authorId="1" shapeId="0" xr:uid="{00000000-0006-0000-0B00-000012010000}">
      <text>
        <r>
          <rPr>
            <b/>
            <sz val="10"/>
            <color indexed="81"/>
            <rFont val="Tahoma"/>
            <family val="2"/>
          </rPr>
          <t>Data Entry Cell, General Requirements Cost</t>
        </r>
      </text>
    </comment>
    <comment ref="AA21" authorId="1" shapeId="0" xr:uid="{00000000-0006-0000-0B00-000013010000}">
      <text>
        <r>
          <rPr>
            <b/>
            <sz val="10"/>
            <color indexed="81"/>
            <rFont val="Tahoma"/>
            <family val="2"/>
          </rPr>
          <t>Data Entry Cell, General Requirements Cost</t>
        </r>
      </text>
    </comment>
    <comment ref="AB21" authorId="1" shapeId="0" xr:uid="{00000000-0006-0000-0B00-000014010000}">
      <text>
        <r>
          <rPr>
            <b/>
            <sz val="10"/>
            <color indexed="81"/>
            <rFont val="Tahoma"/>
            <family val="2"/>
          </rPr>
          <t>Data Entry Cell, General Requirements Cost</t>
        </r>
      </text>
    </comment>
    <comment ref="AC21" authorId="1" shapeId="0" xr:uid="{00000000-0006-0000-0B00-000015010000}">
      <text>
        <r>
          <rPr>
            <b/>
            <sz val="10"/>
            <color indexed="81"/>
            <rFont val="Tahoma"/>
            <family val="2"/>
          </rPr>
          <t>Data Entry Cell, General Requirements Cost</t>
        </r>
      </text>
    </comment>
    <comment ref="E22" authorId="1" shapeId="0" xr:uid="{00000000-0006-0000-0B00-000016010000}">
      <text>
        <r>
          <rPr>
            <b/>
            <sz val="10"/>
            <color indexed="81"/>
            <rFont val="Tahoma"/>
            <family val="2"/>
          </rPr>
          <t>Data Entry Cell, Builder's Overhead Cost</t>
        </r>
      </text>
    </comment>
    <comment ref="F22" authorId="1" shapeId="0" xr:uid="{00000000-0006-0000-0B00-000017010000}">
      <text>
        <r>
          <rPr>
            <b/>
            <sz val="10"/>
            <color indexed="81"/>
            <rFont val="Tahoma"/>
            <family val="2"/>
          </rPr>
          <t>Data Entry Cell, Builder's Overhead Cost</t>
        </r>
      </text>
    </comment>
    <comment ref="G22" authorId="1" shapeId="0" xr:uid="{00000000-0006-0000-0B00-000018010000}">
      <text>
        <r>
          <rPr>
            <b/>
            <sz val="10"/>
            <color indexed="81"/>
            <rFont val="Tahoma"/>
            <family val="2"/>
          </rPr>
          <t>Data Entry Cell, Builder's Overhead Cost</t>
        </r>
      </text>
    </comment>
    <comment ref="H22" authorId="1" shapeId="0" xr:uid="{00000000-0006-0000-0B00-000019010000}">
      <text>
        <r>
          <rPr>
            <b/>
            <sz val="10"/>
            <color indexed="81"/>
            <rFont val="Tahoma"/>
            <family val="2"/>
          </rPr>
          <t>Data Entry Cell, Builder's Overhead Cost</t>
        </r>
      </text>
    </comment>
    <comment ref="I22" authorId="1" shapeId="0" xr:uid="{00000000-0006-0000-0B00-00001A010000}">
      <text>
        <r>
          <rPr>
            <b/>
            <sz val="10"/>
            <color indexed="81"/>
            <rFont val="Tahoma"/>
            <family val="2"/>
          </rPr>
          <t>Data Entry Cell, Builder's Overhead Cost</t>
        </r>
      </text>
    </comment>
    <comment ref="J22" authorId="1" shapeId="0" xr:uid="{00000000-0006-0000-0B00-00001B010000}">
      <text>
        <r>
          <rPr>
            <b/>
            <sz val="10"/>
            <color indexed="81"/>
            <rFont val="Tahoma"/>
            <family val="2"/>
          </rPr>
          <t>Data Entry Cell, Builder's Overhead Cost</t>
        </r>
      </text>
    </comment>
    <comment ref="K22" authorId="1" shapeId="0" xr:uid="{00000000-0006-0000-0B00-00001C010000}">
      <text>
        <r>
          <rPr>
            <b/>
            <sz val="10"/>
            <color indexed="81"/>
            <rFont val="Tahoma"/>
            <family val="2"/>
          </rPr>
          <t>Data Entry Cell, Builder's Overhead Cost</t>
        </r>
      </text>
    </comment>
    <comment ref="L22" authorId="1" shapeId="0" xr:uid="{00000000-0006-0000-0B00-00001D010000}">
      <text>
        <r>
          <rPr>
            <b/>
            <sz val="10"/>
            <color indexed="81"/>
            <rFont val="Tahoma"/>
            <family val="2"/>
          </rPr>
          <t>Data Entry Cell, Builder's Overhead Cost</t>
        </r>
      </text>
    </comment>
    <comment ref="M22" authorId="1" shapeId="0" xr:uid="{00000000-0006-0000-0B00-00001E010000}">
      <text>
        <r>
          <rPr>
            <b/>
            <sz val="10"/>
            <color indexed="81"/>
            <rFont val="Tahoma"/>
            <family val="2"/>
          </rPr>
          <t>Data Entry Cell, Builder's Overhead Cost</t>
        </r>
      </text>
    </comment>
    <comment ref="N22" authorId="1" shapeId="0" xr:uid="{00000000-0006-0000-0B00-00001F010000}">
      <text>
        <r>
          <rPr>
            <b/>
            <sz val="10"/>
            <color indexed="81"/>
            <rFont val="Tahoma"/>
            <family val="2"/>
          </rPr>
          <t>Data Entry Cell, Builder's Overhead Cost</t>
        </r>
      </text>
    </comment>
    <comment ref="O22" authorId="1" shapeId="0" xr:uid="{00000000-0006-0000-0B00-000020010000}">
      <text>
        <r>
          <rPr>
            <b/>
            <sz val="10"/>
            <color indexed="81"/>
            <rFont val="Tahoma"/>
            <family val="2"/>
          </rPr>
          <t>Data Entry Cell, Builder's Overhead Cost</t>
        </r>
      </text>
    </comment>
    <comment ref="P22" authorId="1" shapeId="0" xr:uid="{00000000-0006-0000-0B00-000021010000}">
      <text>
        <r>
          <rPr>
            <b/>
            <sz val="10"/>
            <color indexed="81"/>
            <rFont val="Tahoma"/>
            <family val="2"/>
          </rPr>
          <t>Data Entry Cell, Builder's Overhead Cost</t>
        </r>
      </text>
    </comment>
    <comment ref="Q22" authorId="1" shapeId="0" xr:uid="{00000000-0006-0000-0B00-000022010000}">
      <text>
        <r>
          <rPr>
            <b/>
            <sz val="10"/>
            <color indexed="81"/>
            <rFont val="Tahoma"/>
            <family val="2"/>
          </rPr>
          <t>Data Entry Cell, Builder's Overhead Cost</t>
        </r>
      </text>
    </comment>
    <comment ref="R22" authorId="1" shapeId="0" xr:uid="{00000000-0006-0000-0B00-000023010000}">
      <text>
        <r>
          <rPr>
            <b/>
            <sz val="10"/>
            <color indexed="81"/>
            <rFont val="Tahoma"/>
            <family val="2"/>
          </rPr>
          <t>Data Entry Cell, Builder's Overhead Cost</t>
        </r>
      </text>
    </comment>
    <comment ref="S22" authorId="1" shapeId="0" xr:uid="{00000000-0006-0000-0B00-000024010000}">
      <text>
        <r>
          <rPr>
            <b/>
            <sz val="10"/>
            <color indexed="81"/>
            <rFont val="Tahoma"/>
            <family val="2"/>
          </rPr>
          <t>Data Entry Cell, Builder's Overhead Cost</t>
        </r>
      </text>
    </comment>
    <comment ref="T22" authorId="1" shapeId="0" xr:uid="{00000000-0006-0000-0B00-000025010000}">
      <text>
        <r>
          <rPr>
            <b/>
            <sz val="10"/>
            <color indexed="81"/>
            <rFont val="Tahoma"/>
            <family val="2"/>
          </rPr>
          <t>Data Entry Cell, Builder's Overhead Cost</t>
        </r>
      </text>
    </comment>
    <comment ref="U22" authorId="1" shapeId="0" xr:uid="{00000000-0006-0000-0B00-000026010000}">
      <text>
        <r>
          <rPr>
            <b/>
            <sz val="10"/>
            <color indexed="81"/>
            <rFont val="Tahoma"/>
            <family val="2"/>
          </rPr>
          <t>Data Entry Cell, Builder's Overhead Cost</t>
        </r>
      </text>
    </comment>
    <comment ref="V22" authorId="1" shapeId="0" xr:uid="{00000000-0006-0000-0B00-000027010000}">
      <text>
        <r>
          <rPr>
            <b/>
            <sz val="10"/>
            <color indexed="81"/>
            <rFont val="Tahoma"/>
            <family val="2"/>
          </rPr>
          <t>Data Entry Cell, Builder's Overhead Cost</t>
        </r>
      </text>
    </comment>
    <comment ref="W22" authorId="1" shapeId="0" xr:uid="{00000000-0006-0000-0B00-000028010000}">
      <text>
        <r>
          <rPr>
            <b/>
            <sz val="10"/>
            <color indexed="81"/>
            <rFont val="Tahoma"/>
            <family val="2"/>
          </rPr>
          <t>Data Entry Cell, Builder's Overhead Cost</t>
        </r>
      </text>
    </comment>
    <comment ref="X22" authorId="1" shapeId="0" xr:uid="{00000000-0006-0000-0B00-000029010000}">
      <text>
        <r>
          <rPr>
            <b/>
            <sz val="10"/>
            <color indexed="81"/>
            <rFont val="Tahoma"/>
            <family val="2"/>
          </rPr>
          <t>Data Entry Cell, Builder's Overhead Cost</t>
        </r>
      </text>
    </comment>
    <comment ref="Y22" authorId="1" shapeId="0" xr:uid="{00000000-0006-0000-0B00-00002A010000}">
      <text>
        <r>
          <rPr>
            <b/>
            <sz val="10"/>
            <color indexed="81"/>
            <rFont val="Tahoma"/>
            <family val="2"/>
          </rPr>
          <t>Data Entry Cell, Builder's Overhead Cost</t>
        </r>
      </text>
    </comment>
    <comment ref="Z22" authorId="1" shapeId="0" xr:uid="{00000000-0006-0000-0B00-00002B010000}">
      <text>
        <r>
          <rPr>
            <b/>
            <sz val="10"/>
            <color indexed="81"/>
            <rFont val="Tahoma"/>
            <family val="2"/>
          </rPr>
          <t>Data Entry Cell, Builder's Overhead Cost</t>
        </r>
      </text>
    </comment>
    <comment ref="AA22" authorId="1" shapeId="0" xr:uid="{00000000-0006-0000-0B00-00002C010000}">
      <text>
        <r>
          <rPr>
            <b/>
            <sz val="10"/>
            <color indexed="81"/>
            <rFont val="Tahoma"/>
            <family val="2"/>
          </rPr>
          <t>Data Entry Cell, Builder's Overhead Cost</t>
        </r>
      </text>
    </comment>
    <comment ref="AB22" authorId="1" shapeId="0" xr:uid="{00000000-0006-0000-0B00-00002D010000}">
      <text>
        <r>
          <rPr>
            <b/>
            <sz val="10"/>
            <color indexed="81"/>
            <rFont val="Tahoma"/>
            <family val="2"/>
          </rPr>
          <t>Data Entry Cell, Builder's Overhead Cost</t>
        </r>
      </text>
    </comment>
    <comment ref="AC22" authorId="1" shapeId="0" xr:uid="{00000000-0006-0000-0B00-00002E010000}">
      <text>
        <r>
          <rPr>
            <b/>
            <sz val="10"/>
            <color indexed="81"/>
            <rFont val="Tahoma"/>
            <family val="2"/>
          </rPr>
          <t>Data Entry Cell, Builder's Overhead Cost</t>
        </r>
      </text>
    </comment>
    <comment ref="E23" authorId="1" shapeId="0" xr:uid="{00000000-0006-0000-0B00-00002F010000}">
      <text>
        <r>
          <rPr>
            <b/>
            <sz val="10"/>
            <color indexed="81"/>
            <rFont val="Tahoma"/>
            <family val="2"/>
          </rPr>
          <t>Data Entry Cell, Builder Profit Cost</t>
        </r>
      </text>
    </comment>
    <comment ref="F23" authorId="1" shapeId="0" xr:uid="{00000000-0006-0000-0B00-000030010000}">
      <text>
        <r>
          <rPr>
            <b/>
            <sz val="10"/>
            <color indexed="81"/>
            <rFont val="Tahoma"/>
            <family val="2"/>
          </rPr>
          <t>Data Entry Cell, Builder Profit Cost</t>
        </r>
      </text>
    </comment>
    <comment ref="G23" authorId="1" shapeId="0" xr:uid="{00000000-0006-0000-0B00-000031010000}">
      <text>
        <r>
          <rPr>
            <b/>
            <sz val="10"/>
            <color indexed="81"/>
            <rFont val="Tahoma"/>
            <family val="2"/>
          </rPr>
          <t>Data Entry Cell, Builder Profit Cost</t>
        </r>
      </text>
    </comment>
    <comment ref="H23" authorId="1" shapeId="0" xr:uid="{00000000-0006-0000-0B00-000032010000}">
      <text>
        <r>
          <rPr>
            <b/>
            <sz val="10"/>
            <color indexed="81"/>
            <rFont val="Tahoma"/>
            <family val="2"/>
          </rPr>
          <t>Data Entry Cell, Builder Profit Cost</t>
        </r>
      </text>
    </comment>
    <comment ref="I23" authorId="1" shapeId="0" xr:uid="{00000000-0006-0000-0B00-000033010000}">
      <text>
        <r>
          <rPr>
            <b/>
            <sz val="10"/>
            <color indexed="81"/>
            <rFont val="Tahoma"/>
            <family val="2"/>
          </rPr>
          <t>Data Entry Cell, Builder Profit Cost</t>
        </r>
      </text>
    </comment>
    <comment ref="J23" authorId="1" shapeId="0" xr:uid="{00000000-0006-0000-0B00-000034010000}">
      <text>
        <r>
          <rPr>
            <b/>
            <sz val="10"/>
            <color indexed="81"/>
            <rFont val="Tahoma"/>
            <family val="2"/>
          </rPr>
          <t>Data Entry Cell, Builder Profit Cost</t>
        </r>
      </text>
    </comment>
    <comment ref="K23" authorId="1" shapeId="0" xr:uid="{00000000-0006-0000-0B00-000035010000}">
      <text>
        <r>
          <rPr>
            <b/>
            <sz val="10"/>
            <color indexed="81"/>
            <rFont val="Tahoma"/>
            <family val="2"/>
          </rPr>
          <t>Data Entry Cell, Builder Profit Cost</t>
        </r>
      </text>
    </comment>
    <comment ref="L23" authorId="1" shapeId="0" xr:uid="{00000000-0006-0000-0B00-000036010000}">
      <text>
        <r>
          <rPr>
            <b/>
            <sz val="10"/>
            <color indexed="81"/>
            <rFont val="Tahoma"/>
            <family val="2"/>
          </rPr>
          <t>Data Entry Cell, Builder Profit Cost</t>
        </r>
      </text>
    </comment>
    <comment ref="M23" authorId="1" shapeId="0" xr:uid="{00000000-0006-0000-0B00-000037010000}">
      <text>
        <r>
          <rPr>
            <b/>
            <sz val="10"/>
            <color indexed="81"/>
            <rFont val="Tahoma"/>
            <family val="2"/>
          </rPr>
          <t>Data Entry Cell, Builder Profit Cost</t>
        </r>
      </text>
    </comment>
    <comment ref="N23" authorId="1" shapeId="0" xr:uid="{00000000-0006-0000-0B00-000038010000}">
      <text>
        <r>
          <rPr>
            <b/>
            <sz val="10"/>
            <color indexed="81"/>
            <rFont val="Tahoma"/>
            <family val="2"/>
          </rPr>
          <t>Data Entry Cell, Builder Profit Cost</t>
        </r>
      </text>
    </comment>
    <comment ref="O23" authorId="1" shapeId="0" xr:uid="{00000000-0006-0000-0B00-000039010000}">
      <text>
        <r>
          <rPr>
            <b/>
            <sz val="10"/>
            <color indexed="81"/>
            <rFont val="Tahoma"/>
            <family val="2"/>
          </rPr>
          <t>Data Entry Cell, Builder Profit Cost</t>
        </r>
      </text>
    </comment>
    <comment ref="P23" authorId="1" shapeId="0" xr:uid="{00000000-0006-0000-0B00-00003A010000}">
      <text>
        <r>
          <rPr>
            <b/>
            <sz val="10"/>
            <color indexed="81"/>
            <rFont val="Tahoma"/>
            <family val="2"/>
          </rPr>
          <t>Data Entry Cell, Builder Profit Cost</t>
        </r>
      </text>
    </comment>
    <comment ref="Q23" authorId="1" shapeId="0" xr:uid="{00000000-0006-0000-0B00-00003B010000}">
      <text>
        <r>
          <rPr>
            <b/>
            <sz val="10"/>
            <color indexed="81"/>
            <rFont val="Tahoma"/>
            <family val="2"/>
          </rPr>
          <t>Data Entry Cell, Builder Profit Cost</t>
        </r>
      </text>
    </comment>
    <comment ref="R23" authorId="1" shapeId="0" xr:uid="{00000000-0006-0000-0B00-00003C010000}">
      <text>
        <r>
          <rPr>
            <b/>
            <sz val="10"/>
            <color indexed="81"/>
            <rFont val="Tahoma"/>
            <family val="2"/>
          </rPr>
          <t>Data Entry Cell, Builder Profit Cost</t>
        </r>
      </text>
    </comment>
    <comment ref="S23" authorId="1" shapeId="0" xr:uid="{00000000-0006-0000-0B00-00003D010000}">
      <text>
        <r>
          <rPr>
            <b/>
            <sz val="10"/>
            <color indexed="81"/>
            <rFont val="Tahoma"/>
            <family val="2"/>
          </rPr>
          <t>Data Entry Cell, Builder Profit Cost</t>
        </r>
      </text>
    </comment>
    <comment ref="T23" authorId="1" shapeId="0" xr:uid="{00000000-0006-0000-0B00-00003E010000}">
      <text>
        <r>
          <rPr>
            <b/>
            <sz val="10"/>
            <color indexed="81"/>
            <rFont val="Tahoma"/>
            <family val="2"/>
          </rPr>
          <t>Data Entry Cell, Builder Profit Cost</t>
        </r>
      </text>
    </comment>
    <comment ref="U23" authorId="1" shapeId="0" xr:uid="{00000000-0006-0000-0B00-00003F010000}">
      <text>
        <r>
          <rPr>
            <b/>
            <sz val="10"/>
            <color indexed="81"/>
            <rFont val="Tahoma"/>
            <family val="2"/>
          </rPr>
          <t>Data Entry Cell, Builder Profit Cost</t>
        </r>
      </text>
    </comment>
    <comment ref="V23" authorId="1" shapeId="0" xr:uid="{00000000-0006-0000-0B00-000040010000}">
      <text>
        <r>
          <rPr>
            <b/>
            <sz val="10"/>
            <color indexed="81"/>
            <rFont val="Tahoma"/>
            <family val="2"/>
          </rPr>
          <t>Data Entry Cell, Builder Profit Cost</t>
        </r>
      </text>
    </comment>
    <comment ref="W23" authorId="1" shapeId="0" xr:uid="{00000000-0006-0000-0B00-000041010000}">
      <text>
        <r>
          <rPr>
            <b/>
            <sz val="10"/>
            <color indexed="81"/>
            <rFont val="Tahoma"/>
            <family val="2"/>
          </rPr>
          <t>Data Entry Cell, Builder Profit Cost</t>
        </r>
      </text>
    </comment>
    <comment ref="X23" authorId="1" shapeId="0" xr:uid="{00000000-0006-0000-0B00-000042010000}">
      <text>
        <r>
          <rPr>
            <b/>
            <sz val="10"/>
            <color indexed="81"/>
            <rFont val="Tahoma"/>
            <family val="2"/>
          </rPr>
          <t>Data Entry Cell, Builder Profit Cost</t>
        </r>
      </text>
    </comment>
    <comment ref="Y23" authorId="1" shapeId="0" xr:uid="{00000000-0006-0000-0B00-000043010000}">
      <text>
        <r>
          <rPr>
            <b/>
            <sz val="10"/>
            <color indexed="81"/>
            <rFont val="Tahoma"/>
            <family val="2"/>
          </rPr>
          <t>Data Entry Cell, Builder Profit Cost</t>
        </r>
      </text>
    </comment>
    <comment ref="Z23" authorId="1" shapeId="0" xr:uid="{00000000-0006-0000-0B00-000044010000}">
      <text>
        <r>
          <rPr>
            <b/>
            <sz val="10"/>
            <color indexed="81"/>
            <rFont val="Tahoma"/>
            <family val="2"/>
          </rPr>
          <t>Data Entry Cell, Builder Profit Cost</t>
        </r>
      </text>
    </comment>
    <comment ref="AA23" authorId="1" shapeId="0" xr:uid="{00000000-0006-0000-0B00-000045010000}">
      <text>
        <r>
          <rPr>
            <b/>
            <sz val="10"/>
            <color indexed="81"/>
            <rFont val="Tahoma"/>
            <family val="2"/>
          </rPr>
          <t>Data Entry Cell, Builder Profit Cost</t>
        </r>
      </text>
    </comment>
    <comment ref="AB23" authorId="1" shapeId="0" xr:uid="{00000000-0006-0000-0B00-000046010000}">
      <text>
        <r>
          <rPr>
            <b/>
            <sz val="10"/>
            <color indexed="81"/>
            <rFont val="Tahoma"/>
            <family val="2"/>
          </rPr>
          <t>Data Entry Cell, Builder Profit Cost</t>
        </r>
      </text>
    </comment>
    <comment ref="AC23" authorId="1" shapeId="0" xr:uid="{00000000-0006-0000-0B00-000047010000}">
      <text>
        <r>
          <rPr>
            <b/>
            <sz val="10"/>
            <color indexed="81"/>
            <rFont val="Tahoma"/>
            <family val="2"/>
          </rPr>
          <t>Data Entry Cell, Builder Profit Cost</t>
        </r>
      </text>
    </comment>
    <comment ref="E24" authorId="1" shapeId="0" xr:uid="{00000000-0006-0000-0B00-000048010000}">
      <text>
        <r>
          <rPr>
            <b/>
            <sz val="10"/>
            <color indexed="81"/>
            <rFont val="Tahoma"/>
            <family val="2"/>
          </rPr>
          <t>Data Entry Cell, Performance Bond Premium Cost</t>
        </r>
      </text>
    </comment>
    <comment ref="F24" authorId="1" shapeId="0" xr:uid="{00000000-0006-0000-0B00-000049010000}">
      <text>
        <r>
          <rPr>
            <b/>
            <sz val="10"/>
            <color indexed="81"/>
            <rFont val="Tahoma"/>
            <family val="2"/>
          </rPr>
          <t>Data Entry Cell, Performance Bond Premium Cost</t>
        </r>
      </text>
    </comment>
    <comment ref="G24" authorId="1" shapeId="0" xr:uid="{00000000-0006-0000-0B00-00004A010000}">
      <text>
        <r>
          <rPr>
            <b/>
            <sz val="10"/>
            <color indexed="81"/>
            <rFont val="Tahoma"/>
            <family val="2"/>
          </rPr>
          <t>Data Entry Cell, Performance Bond Premium Cost</t>
        </r>
      </text>
    </comment>
    <comment ref="H24" authorId="1" shapeId="0" xr:uid="{00000000-0006-0000-0B00-00004B010000}">
      <text>
        <r>
          <rPr>
            <b/>
            <sz val="10"/>
            <color indexed="81"/>
            <rFont val="Tahoma"/>
            <family val="2"/>
          </rPr>
          <t>Data Entry Cell, Performance Bond Premium Cost</t>
        </r>
      </text>
    </comment>
    <comment ref="I24" authorId="1" shapeId="0" xr:uid="{00000000-0006-0000-0B00-00004C010000}">
      <text>
        <r>
          <rPr>
            <b/>
            <sz val="10"/>
            <color indexed="81"/>
            <rFont val="Tahoma"/>
            <family val="2"/>
          </rPr>
          <t>Data Entry Cell, Performance Bond Premium Cost</t>
        </r>
      </text>
    </comment>
    <comment ref="J24" authorId="1" shapeId="0" xr:uid="{00000000-0006-0000-0B00-00004D010000}">
      <text>
        <r>
          <rPr>
            <b/>
            <sz val="10"/>
            <color indexed="81"/>
            <rFont val="Tahoma"/>
            <family val="2"/>
          </rPr>
          <t>Data Entry Cell, Performance Bond Premium Cost</t>
        </r>
      </text>
    </comment>
    <comment ref="K24" authorId="1" shapeId="0" xr:uid="{00000000-0006-0000-0B00-00004E010000}">
      <text>
        <r>
          <rPr>
            <b/>
            <sz val="10"/>
            <color indexed="81"/>
            <rFont val="Tahoma"/>
            <family val="2"/>
          </rPr>
          <t>Data Entry Cell, Performance Bond Premium Cost</t>
        </r>
      </text>
    </comment>
    <comment ref="L24" authorId="1" shapeId="0" xr:uid="{00000000-0006-0000-0B00-00004F010000}">
      <text>
        <r>
          <rPr>
            <b/>
            <sz val="10"/>
            <color indexed="81"/>
            <rFont val="Tahoma"/>
            <family val="2"/>
          </rPr>
          <t>Data Entry Cell, Performance Bond Premium Cost</t>
        </r>
      </text>
    </comment>
    <comment ref="M24" authorId="1" shapeId="0" xr:uid="{00000000-0006-0000-0B00-000050010000}">
      <text>
        <r>
          <rPr>
            <b/>
            <sz val="10"/>
            <color indexed="81"/>
            <rFont val="Tahoma"/>
            <family val="2"/>
          </rPr>
          <t>Data Entry Cell, Performance Bond Premium Cost</t>
        </r>
      </text>
    </comment>
    <comment ref="N24" authorId="1" shapeId="0" xr:uid="{00000000-0006-0000-0B00-000051010000}">
      <text>
        <r>
          <rPr>
            <b/>
            <sz val="10"/>
            <color indexed="81"/>
            <rFont val="Tahoma"/>
            <family val="2"/>
          </rPr>
          <t>Data Entry Cell, Performance Bond Premium Cost</t>
        </r>
      </text>
    </comment>
    <comment ref="O24" authorId="1" shapeId="0" xr:uid="{00000000-0006-0000-0B00-000052010000}">
      <text>
        <r>
          <rPr>
            <b/>
            <sz val="10"/>
            <color indexed="81"/>
            <rFont val="Tahoma"/>
            <family val="2"/>
          </rPr>
          <t>Data Entry Cell, Performance Bond Premium Cost</t>
        </r>
      </text>
    </comment>
    <comment ref="P24" authorId="1" shapeId="0" xr:uid="{00000000-0006-0000-0B00-000053010000}">
      <text>
        <r>
          <rPr>
            <b/>
            <sz val="10"/>
            <color indexed="81"/>
            <rFont val="Tahoma"/>
            <family val="2"/>
          </rPr>
          <t>Data Entry Cell, Performance Bond Premium Cost</t>
        </r>
      </text>
    </comment>
    <comment ref="Q24" authorId="1" shapeId="0" xr:uid="{00000000-0006-0000-0B00-000054010000}">
      <text>
        <r>
          <rPr>
            <b/>
            <sz val="10"/>
            <color indexed="81"/>
            <rFont val="Tahoma"/>
            <family val="2"/>
          </rPr>
          <t>Data Entry Cell, Performance Bond Premium Cost</t>
        </r>
      </text>
    </comment>
    <comment ref="R24" authorId="1" shapeId="0" xr:uid="{00000000-0006-0000-0B00-000055010000}">
      <text>
        <r>
          <rPr>
            <b/>
            <sz val="10"/>
            <color indexed="81"/>
            <rFont val="Tahoma"/>
            <family val="2"/>
          </rPr>
          <t>Data Entry Cell, Performance Bond Premium Cost</t>
        </r>
      </text>
    </comment>
    <comment ref="S24" authorId="1" shapeId="0" xr:uid="{00000000-0006-0000-0B00-000056010000}">
      <text>
        <r>
          <rPr>
            <b/>
            <sz val="10"/>
            <color indexed="81"/>
            <rFont val="Tahoma"/>
            <family val="2"/>
          </rPr>
          <t>Data Entry Cell, Performance Bond Premium Cost</t>
        </r>
      </text>
    </comment>
    <comment ref="T24" authorId="1" shapeId="0" xr:uid="{00000000-0006-0000-0B00-000057010000}">
      <text>
        <r>
          <rPr>
            <b/>
            <sz val="10"/>
            <color indexed="81"/>
            <rFont val="Tahoma"/>
            <family val="2"/>
          </rPr>
          <t>Data Entry Cell, Performance Bond Premium Cost</t>
        </r>
      </text>
    </comment>
    <comment ref="U24" authorId="1" shapeId="0" xr:uid="{00000000-0006-0000-0B00-000058010000}">
      <text>
        <r>
          <rPr>
            <b/>
            <sz val="10"/>
            <color indexed="81"/>
            <rFont val="Tahoma"/>
            <family val="2"/>
          </rPr>
          <t>Data Entry Cell, Performance Bond Premium Cost</t>
        </r>
      </text>
    </comment>
    <comment ref="V24" authorId="1" shapeId="0" xr:uid="{00000000-0006-0000-0B00-000059010000}">
      <text>
        <r>
          <rPr>
            <b/>
            <sz val="10"/>
            <color indexed="81"/>
            <rFont val="Tahoma"/>
            <family val="2"/>
          </rPr>
          <t>Data Entry Cell, Performance Bond Premium Cost</t>
        </r>
      </text>
    </comment>
    <comment ref="W24" authorId="1" shapeId="0" xr:uid="{00000000-0006-0000-0B00-00005A010000}">
      <text>
        <r>
          <rPr>
            <b/>
            <sz val="10"/>
            <color indexed="81"/>
            <rFont val="Tahoma"/>
            <family val="2"/>
          </rPr>
          <t>Data Entry Cell, Performance Bond Premium Cost</t>
        </r>
      </text>
    </comment>
    <comment ref="X24" authorId="1" shapeId="0" xr:uid="{00000000-0006-0000-0B00-00005B010000}">
      <text>
        <r>
          <rPr>
            <b/>
            <sz val="10"/>
            <color indexed="81"/>
            <rFont val="Tahoma"/>
            <family val="2"/>
          </rPr>
          <t>Data Entry Cell, Performance Bond Premium Cost</t>
        </r>
      </text>
    </comment>
    <comment ref="Y24" authorId="1" shapeId="0" xr:uid="{00000000-0006-0000-0B00-00005C010000}">
      <text>
        <r>
          <rPr>
            <b/>
            <sz val="10"/>
            <color indexed="81"/>
            <rFont val="Tahoma"/>
            <family val="2"/>
          </rPr>
          <t>Data Entry Cell, Performance Bond Premium Cost</t>
        </r>
      </text>
    </comment>
    <comment ref="Z24" authorId="1" shapeId="0" xr:uid="{00000000-0006-0000-0B00-00005D010000}">
      <text>
        <r>
          <rPr>
            <b/>
            <sz val="10"/>
            <color indexed="81"/>
            <rFont val="Tahoma"/>
            <family val="2"/>
          </rPr>
          <t>Data Entry Cell, Performance Bond Premium Cost</t>
        </r>
      </text>
    </comment>
    <comment ref="AA24" authorId="1" shapeId="0" xr:uid="{00000000-0006-0000-0B00-00005E010000}">
      <text>
        <r>
          <rPr>
            <b/>
            <sz val="10"/>
            <color indexed="81"/>
            <rFont val="Tahoma"/>
            <family val="2"/>
          </rPr>
          <t>Data Entry Cell, Performance Bond Premium Cost</t>
        </r>
      </text>
    </comment>
    <comment ref="AB24" authorId="1" shapeId="0" xr:uid="{00000000-0006-0000-0B00-00005F010000}">
      <text>
        <r>
          <rPr>
            <b/>
            <sz val="10"/>
            <color indexed="81"/>
            <rFont val="Tahoma"/>
            <family val="2"/>
          </rPr>
          <t>Data Entry Cell, Performance Bond Premium Cost</t>
        </r>
      </text>
    </comment>
    <comment ref="AC24" authorId="1" shapeId="0" xr:uid="{00000000-0006-0000-0B00-000060010000}">
      <text>
        <r>
          <rPr>
            <b/>
            <sz val="10"/>
            <color indexed="81"/>
            <rFont val="Tahoma"/>
            <family val="2"/>
          </rPr>
          <t>Data Entry Cell, Performance Bond Premium Cost</t>
        </r>
      </text>
    </comment>
    <comment ref="E25" authorId="1" shapeId="0" xr:uid="{00000000-0006-0000-0B00-000061010000}">
      <text>
        <r>
          <rPr>
            <b/>
            <sz val="10"/>
            <color indexed="81"/>
            <rFont val="Tahoma"/>
            <family val="2"/>
          </rPr>
          <t>Data Entry Cell, Construction Contingency Cost</t>
        </r>
      </text>
    </comment>
    <comment ref="F25" authorId="1" shapeId="0" xr:uid="{00000000-0006-0000-0B00-000062010000}">
      <text>
        <r>
          <rPr>
            <b/>
            <sz val="10"/>
            <color indexed="81"/>
            <rFont val="Tahoma"/>
            <family val="2"/>
          </rPr>
          <t>Data Entry Cell, Construction Contingency Cost</t>
        </r>
      </text>
    </comment>
    <comment ref="G25" authorId="1" shapeId="0" xr:uid="{00000000-0006-0000-0B00-000063010000}">
      <text>
        <r>
          <rPr>
            <b/>
            <sz val="10"/>
            <color indexed="81"/>
            <rFont val="Tahoma"/>
            <family val="2"/>
          </rPr>
          <t>Data Entry Cell, Construction Contingency Cost</t>
        </r>
      </text>
    </comment>
    <comment ref="H25" authorId="1" shapeId="0" xr:uid="{00000000-0006-0000-0B00-000064010000}">
      <text>
        <r>
          <rPr>
            <b/>
            <sz val="10"/>
            <color indexed="81"/>
            <rFont val="Tahoma"/>
            <family val="2"/>
          </rPr>
          <t>Data Entry Cell, Construction Contingency Cost</t>
        </r>
      </text>
    </comment>
    <comment ref="I25" authorId="1" shapeId="0" xr:uid="{00000000-0006-0000-0B00-000065010000}">
      <text>
        <r>
          <rPr>
            <b/>
            <sz val="10"/>
            <color indexed="81"/>
            <rFont val="Tahoma"/>
            <family val="2"/>
          </rPr>
          <t>Data Entry Cell, Construction Contingency Cost</t>
        </r>
      </text>
    </comment>
    <comment ref="J25" authorId="1" shapeId="0" xr:uid="{00000000-0006-0000-0B00-000066010000}">
      <text>
        <r>
          <rPr>
            <b/>
            <sz val="10"/>
            <color indexed="81"/>
            <rFont val="Tahoma"/>
            <family val="2"/>
          </rPr>
          <t>Data Entry Cell, Construction Contingency Cost</t>
        </r>
      </text>
    </comment>
    <comment ref="K25" authorId="1" shapeId="0" xr:uid="{00000000-0006-0000-0B00-000067010000}">
      <text>
        <r>
          <rPr>
            <b/>
            <sz val="10"/>
            <color indexed="81"/>
            <rFont val="Tahoma"/>
            <family val="2"/>
          </rPr>
          <t>Data Entry Cell, Construction Contingency Cost</t>
        </r>
      </text>
    </comment>
    <comment ref="L25" authorId="1" shapeId="0" xr:uid="{00000000-0006-0000-0B00-000068010000}">
      <text>
        <r>
          <rPr>
            <b/>
            <sz val="10"/>
            <color indexed="81"/>
            <rFont val="Tahoma"/>
            <family val="2"/>
          </rPr>
          <t>Data Entry Cell, Construction Contingency Cost</t>
        </r>
      </text>
    </comment>
    <comment ref="M25" authorId="1" shapeId="0" xr:uid="{00000000-0006-0000-0B00-000069010000}">
      <text>
        <r>
          <rPr>
            <b/>
            <sz val="10"/>
            <color indexed="81"/>
            <rFont val="Tahoma"/>
            <family val="2"/>
          </rPr>
          <t>Data Entry Cell, Construction Contingency Cost</t>
        </r>
      </text>
    </comment>
    <comment ref="N25" authorId="1" shapeId="0" xr:uid="{00000000-0006-0000-0B00-00006A010000}">
      <text>
        <r>
          <rPr>
            <b/>
            <sz val="10"/>
            <color indexed="81"/>
            <rFont val="Tahoma"/>
            <family val="2"/>
          </rPr>
          <t>Data Entry Cell, Construction Contingency Cost</t>
        </r>
      </text>
    </comment>
    <comment ref="O25" authorId="1" shapeId="0" xr:uid="{00000000-0006-0000-0B00-00006B010000}">
      <text>
        <r>
          <rPr>
            <b/>
            <sz val="10"/>
            <color indexed="81"/>
            <rFont val="Tahoma"/>
            <family val="2"/>
          </rPr>
          <t>Data Entry Cell, Construction Contingency Cost</t>
        </r>
      </text>
    </comment>
    <comment ref="P25" authorId="1" shapeId="0" xr:uid="{00000000-0006-0000-0B00-00006C010000}">
      <text>
        <r>
          <rPr>
            <b/>
            <sz val="10"/>
            <color indexed="81"/>
            <rFont val="Tahoma"/>
            <family val="2"/>
          </rPr>
          <t>Data Entry Cell, Construction Contingency Cost</t>
        </r>
      </text>
    </comment>
    <comment ref="Q25" authorId="1" shapeId="0" xr:uid="{00000000-0006-0000-0B00-00006D010000}">
      <text>
        <r>
          <rPr>
            <b/>
            <sz val="10"/>
            <color indexed="81"/>
            <rFont val="Tahoma"/>
            <family val="2"/>
          </rPr>
          <t>Data Entry Cell, Construction Contingency Cost</t>
        </r>
      </text>
    </comment>
    <comment ref="R25" authorId="1" shapeId="0" xr:uid="{00000000-0006-0000-0B00-00006E010000}">
      <text>
        <r>
          <rPr>
            <b/>
            <sz val="10"/>
            <color indexed="81"/>
            <rFont val="Tahoma"/>
            <family val="2"/>
          </rPr>
          <t>Data Entry Cell, Construction Contingency Cost</t>
        </r>
      </text>
    </comment>
    <comment ref="S25" authorId="1" shapeId="0" xr:uid="{00000000-0006-0000-0B00-00006F010000}">
      <text>
        <r>
          <rPr>
            <b/>
            <sz val="10"/>
            <color indexed="81"/>
            <rFont val="Tahoma"/>
            <family val="2"/>
          </rPr>
          <t>Data Entry Cell, Construction Contingency Cost</t>
        </r>
      </text>
    </comment>
    <comment ref="T25" authorId="1" shapeId="0" xr:uid="{00000000-0006-0000-0B00-000070010000}">
      <text>
        <r>
          <rPr>
            <b/>
            <sz val="10"/>
            <color indexed="81"/>
            <rFont val="Tahoma"/>
            <family val="2"/>
          </rPr>
          <t>Data Entry Cell, Construction Contingency Cost</t>
        </r>
      </text>
    </comment>
    <comment ref="U25" authorId="1" shapeId="0" xr:uid="{00000000-0006-0000-0B00-000071010000}">
      <text>
        <r>
          <rPr>
            <b/>
            <sz val="10"/>
            <color indexed="81"/>
            <rFont val="Tahoma"/>
            <family val="2"/>
          </rPr>
          <t>Data Entry Cell, Construction Contingency Cost</t>
        </r>
      </text>
    </comment>
    <comment ref="V25" authorId="1" shapeId="0" xr:uid="{00000000-0006-0000-0B00-000072010000}">
      <text>
        <r>
          <rPr>
            <b/>
            <sz val="10"/>
            <color indexed="81"/>
            <rFont val="Tahoma"/>
            <family val="2"/>
          </rPr>
          <t>Data Entry Cell, Construction Contingency Cost</t>
        </r>
      </text>
    </comment>
    <comment ref="W25" authorId="1" shapeId="0" xr:uid="{00000000-0006-0000-0B00-000073010000}">
      <text>
        <r>
          <rPr>
            <b/>
            <sz val="10"/>
            <color indexed="81"/>
            <rFont val="Tahoma"/>
            <family val="2"/>
          </rPr>
          <t>Data Entry Cell, Construction Contingency Cost</t>
        </r>
      </text>
    </comment>
    <comment ref="X25" authorId="1" shapeId="0" xr:uid="{00000000-0006-0000-0B00-000074010000}">
      <text>
        <r>
          <rPr>
            <b/>
            <sz val="10"/>
            <color indexed="81"/>
            <rFont val="Tahoma"/>
            <family val="2"/>
          </rPr>
          <t>Data Entry Cell, Construction Contingency Cost</t>
        </r>
      </text>
    </comment>
    <comment ref="Y25" authorId="1" shapeId="0" xr:uid="{00000000-0006-0000-0B00-000075010000}">
      <text>
        <r>
          <rPr>
            <b/>
            <sz val="10"/>
            <color indexed="81"/>
            <rFont val="Tahoma"/>
            <family val="2"/>
          </rPr>
          <t>Data Entry Cell, Construction Contingency Cost</t>
        </r>
      </text>
    </comment>
    <comment ref="Z25" authorId="1" shapeId="0" xr:uid="{00000000-0006-0000-0B00-000076010000}">
      <text>
        <r>
          <rPr>
            <b/>
            <sz val="10"/>
            <color indexed="81"/>
            <rFont val="Tahoma"/>
            <family val="2"/>
          </rPr>
          <t>Data Entry Cell, Construction Contingency Cost</t>
        </r>
      </text>
    </comment>
    <comment ref="AA25" authorId="1" shapeId="0" xr:uid="{00000000-0006-0000-0B00-000077010000}">
      <text>
        <r>
          <rPr>
            <b/>
            <sz val="10"/>
            <color indexed="81"/>
            <rFont val="Tahoma"/>
            <family val="2"/>
          </rPr>
          <t>Data Entry Cell, Construction Contingency Cost</t>
        </r>
      </text>
    </comment>
    <comment ref="AB25" authorId="1" shapeId="0" xr:uid="{00000000-0006-0000-0B00-000078010000}">
      <text>
        <r>
          <rPr>
            <b/>
            <sz val="10"/>
            <color indexed="81"/>
            <rFont val="Tahoma"/>
            <family val="2"/>
          </rPr>
          <t>Data Entry Cell, Construction Contingency Cost</t>
        </r>
      </text>
    </comment>
    <comment ref="AC25" authorId="1" shapeId="0" xr:uid="{00000000-0006-0000-0B00-000079010000}">
      <text>
        <r>
          <rPr>
            <b/>
            <sz val="10"/>
            <color indexed="81"/>
            <rFont val="Tahoma"/>
            <family val="2"/>
          </rPr>
          <t>Data Entry Cell, Construction Contingency Cost</t>
        </r>
      </text>
    </comment>
    <comment ref="E26" authorId="1" shapeId="0" xr:uid="{00000000-0006-0000-0B00-00007A010000}">
      <text>
        <r>
          <rPr>
            <b/>
            <sz val="10"/>
            <color indexed="81"/>
            <rFont val="Tahoma"/>
            <family val="2"/>
          </rPr>
          <t>Data Entry Cell, Other Construction / Rehabilitation Costs</t>
        </r>
      </text>
    </comment>
    <comment ref="F26" authorId="1" shapeId="0" xr:uid="{00000000-0006-0000-0B00-00007B010000}">
      <text>
        <r>
          <rPr>
            <b/>
            <sz val="10"/>
            <color indexed="81"/>
            <rFont val="Tahoma"/>
            <family val="2"/>
          </rPr>
          <t>Data Entry Cell, Other Construction / Rehabilitation Costs</t>
        </r>
      </text>
    </comment>
    <comment ref="G26" authorId="1" shapeId="0" xr:uid="{00000000-0006-0000-0B00-00007C010000}">
      <text>
        <r>
          <rPr>
            <b/>
            <sz val="10"/>
            <color indexed="81"/>
            <rFont val="Tahoma"/>
            <family val="2"/>
          </rPr>
          <t>Data Entry Cell, Other Construction / Rehabilitation Costs</t>
        </r>
      </text>
    </comment>
    <comment ref="H26" authorId="1" shapeId="0" xr:uid="{00000000-0006-0000-0B00-00007D010000}">
      <text>
        <r>
          <rPr>
            <b/>
            <sz val="10"/>
            <color indexed="81"/>
            <rFont val="Tahoma"/>
            <family val="2"/>
          </rPr>
          <t>Data Entry Cell, Other Construction / Rehabilitation Costs</t>
        </r>
      </text>
    </comment>
    <comment ref="I26" authorId="1" shapeId="0" xr:uid="{00000000-0006-0000-0B00-00007E010000}">
      <text>
        <r>
          <rPr>
            <b/>
            <sz val="10"/>
            <color indexed="81"/>
            <rFont val="Tahoma"/>
            <family val="2"/>
          </rPr>
          <t>Data Entry Cell, Other Construction / Rehabilitation Costs</t>
        </r>
      </text>
    </comment>
    <comment ref="J26" authorId="1" shapeId="0" xr:uid="{00000000-0006-0000-0B00-00007F010000}">
      <text>
        <r>
          <rPr>
            <b/>
            <sz val="10"/>
            <color indexed="81"/>
            <rFont val="Tahoma"/>
            <family val="2"/>
          </rPr>
          <t>Data Entry Cell, Other Construction / Rehabilitation Costs</t>
        </r>
      </text>
    </comment>
    <comment ref="K26" authorId="1" shapeId="0" xr:uid="{00000000-0006-0000-0B00-000080010000}">
      <text>
        <r>
          <rPr>
            <b/>
            <sz val="10"/>
            <color indexed="81"/>
            <rFont val="Tahoma"/>
            <family val="2"/>
          </rPr>
          <t>Data Entry Cell, Other Construction / Rehabilitation Costs</t>
        </r>
      </text>
    </comment>
    <comment ref="L26" authorId="1" shapeId="0" xr:uid="{00000000-0006-0000-0B00-000081010000}">
      <text>
        <r>
          <rPr>
            <b/>
            <sz val="10"/>
            <color indexed="81"/>
            <rFont val="Tahoma"/>
            <family val="2"/>
          </rPr>
          <t>Data Entry Cell, Other Construction / Rehabilitation Costs</t>
        </r>
      </text>
    </comment>
    <comment ref="M26" authorId="1" shapeId="0" xr:uid="{00000000-0006-0000-0B00-000082010000}">
      <text>
        <r>
          <rPr>
            <b/>
            <sz val="10"/>
            <color indexed="81"/>
            <rFont val="Tahoma"/>
            <family val="2"/>
          </rPr>
          <t>Data Entry Cell, Other Construction / Rehabilitation Costs</t>
        </r>
      </text>
    </comment>
    <comment ref="N26" authorId="1" shapeId="0" xr:uid="{00000000-0006-0000-0B00-000083010000}">
      <text>
        <r>
          <rPr>
            <b/>
            <sz val="10"/>
            <color indexed="81"/>
            <rFont val="Tahoma"/>
            <family val="2"/>
          </rPr>
          <t>Data Entry Cell, Other Construction / Rehabilitation Costs</t>
        </r>
      </text>
    </comment>
    <comment ref="O26" authorId="1" shapeId="0" xr:uid="{00000000-0006-0000-0B00-000084010000}">
      <text>
        <r>
          <rPr>
            <b/>
            <sz val="10"/>
            <color indexed="81"/>
            <rFont val="Tahoma"/>
            <family val="2"/>
          </rPr>
          <t>Data Entry Cell, Other Construction / Rehabilitation Costs</t>
        </r>
      </text>
    </comment>
    <comment ref="P26" authorId="1" shapeId="0" xr:uid="{00000000-0006-0000-0B00-000085010000}">
      <text>
        <r>
          <rPr>
            <b/>
            <sz val="10"/>
            <color indexed="81"/>
            <rFont val="Tahoma"/>
            <family val="2"/>
          </rPr>
          <t>Data Entry Cell, Other Construction / Rehabilitation Costs</t>
        </r>
      </text>
    </comment>
    <comment ref="Q26" authorId="1" shapeId="0" xr:uid="{00000000-0006-0000-0B00-000086010000}">
      <text>
        <r>
          <rPr>
            <b/>
            <sz val="10"/>
            <color indexed="81"/>
            <rFont val="Tahoma"/>
            <family val="2"/>
          </rPr>
          <t>Data Entry Cell, Other Construction / Rehabilitation Costs</t>
        </r>
      </text>
    </comment>
    <comment ref="R26" authorId="1" shapeId="0" xr:uid="{00000000-0006-0000-0B00-000087010000}">
      <text>
        <r>
          <rPr>
            <b/>
            <sz val="10"/>
            <color indexed="81"/>
            <rFont val="Tahoma"/>
            <family val="2"/>
          </rPr>
          <t>Data Entry Cell, Other Construction / Rehabilitation Costs</t>
        </r>
      </text>
    </comment>
    <comment ref="S26" authorId="1" shapeId="0" xr:uid="{00000000-0006-0000-0B00-000088010000}">
      <text>
        <r>
          <rPr>
            <b/>
            <sz val="10"/>
            <color indexed="81"/>
            <rFont val="Tahoma"/>
            <family val="2"/>
          </rPr>
          <t>Data Entry Cell, Other Construction / Rehabilitation Costs</t>
        </r>
      </text>
    </comment>
    <comment ref="T26" authorId="1" shapeId="0" xr:uid="{00000000-0006-0000-0B00-000089010000}">
      <text>
        <r>
          <rPr>
            <b/>
            <sz val="10"/>
            <color indexed="81"/>
            <rFont val="Tahoma"/>
            <family val="2"/>
          </rPr>
          <t>Data Entry Cell, Other Construction / Rehabilitation Costs</t>
        </r>
      </text>
    </comment>
    <comment ref="U26" authorId="1" shapeId="0" xr:uid="{00000000-0006-0000-0B00-00008A010000}">
      <text>
        <r>
          <rPr>
            <b/>
            <sz val="10"/>
            <color indexed="81"/>
            <rFont val="Tahoma"/>
            <family val="2"/>
          </rPr>
          <t>Data Entry Cell, Other Construction / Rehabilitation Costs</t>
        </r>
      </text>
    </comment>
    <comment ref="V26" authorId="1" shapeId="0" xr:uid="{00000000-0006-0000-0B00-00008B010000}">
      <text>
        <r>
          <rPr>
            <b/>
            <sz val="10"/>
            <color indexed="81"/>
            <rFont val="Tahoma"/>
            <family val="2"/>
          </rPr>
          <t>Data Entry Cell, Other Construction / Rehabilitation Costs</t>
        </r>
      </text>
    </comment>
    <comment ref="W26" authorId="1" shapeId="0" xr:uid="{00000000-0006-0000-0B00-00008C010000}">
      <text>
        <r>
          <rPr>
            <b/>
            <sz val="10"/>
            <color indexed="81"/>
            <rFont val="Tahoma"/>
            <family val="2"/>
          </rPr>
          <t>Data Entry Cell, Other Construction / Rehabilitation Costs</t>
        </r>
      </text>
    </comment>
    <comment ref="X26" authorId="1" shapeId="0" xr:uid="{00000000-0006-0000-0B00-00008D010000}">
      <text>
        <r>
          <rPr>
            <b/>
            <sz val="10"/>
            <color indexed="81"/>
            <rFont val="Tahoma"/>
            <family val="2"/>
          </rPr>
          <t>Data Entry Cell, Other Construction / Rehabilitation Costs</t>
        </r>
      </text>
    </comment>
    <comment ref="Y26" authorId="1" shapeId="0" xr:uid="{00000000-0006-0000-0B00-00008E010000}">
      <text>
        <r>
          <rPr>
            <b/>
            <sz val="10"/>
            <color indexed="81"/>
            <rFont val="Tahoma"/>
            <family val="2"/>
          </rPr>
          <t>Data Entry Cell, Other Construction / Rehabilitation Costs</t>
        </r>
      </text>
    </comment>
    <comment ref="Z26" authorId="1" shapeId="0" xr:uid="{00000000-0006-0000-0B00-00008F010000}">
      <text>
        <r>
          <rPr>
            <b/>
            <sz val="10"/>
            <color indexed="81"/>
            <rFont val="Tahoma"/>
            <family val="2"/>
          </rPr>
          <t>Data Entry Cell, Other Construction / Rehabilitation Costs</t>
        </r>
      </text>
    </comment>
    <comment ref="AA26" authorId="1" shapeId="0" xr:uid="{00000000-0006-0000-0B00-000090010000}">
      <text>
        <r>
          <rPr>
            <b/>
            <sz val="10"/>
            <color indexed="81"/>
            <rFont val="Tahoma"/>
            <family val="2"/>
          </rPr>
          <t>Data Entry Cell, Other Construction / Rehabilitation Costs</t>
        </r>
      </text>
    </comment>
    <comment ref="AB26" authorId="1" shapeId="0" xr:uid="{00000000-0006-0000-0B00-000091010000}">
      <text>
        <r>
          <rPr>
            <b/>
            <sz val="10"/>
            <color indexed="81"/>
            <rFont val="Tahoma"/>
            <family val="2"/>
          </rPr>
          <t>Data Entry Cell, Other Construction / Rehabilitation Costs</t>
        </r>
      </text>
    </comment>
    <comment ref="AC26" authorId="1" shapeId="0" xr:uid="{00000000-0006-0000-0B00-000092010000}">
      <text>
        <r>
          <rPr>
            <b/>
            <sz val="10"/>
            <color indexed="81"/>
            <rFont val="Tahoma"/>
            <family val="2"/>
          </rPr>
          <t>Data Entry Cell, Other Construction / Rehabilitation Costs</t>
        </r>
      </text>
    </comment>
    <comment ref="E27" authorId="1" shapeId="0" xr:uid="{00000000-0006-0000-0B00-000093010000}">
      <text>
        <r>
          <rPr>
            <b/>
            <sz val="10"/>
            <color indexed="81"/>
            <rFont val="Tahoma"/>
            <family val="2"/>
          </rPr>
          <t>Data Entry Cell, Other Construction / Rehabilitation Costs</t>
        </r>
      </text>
    </comment>
    <comment ref="F27" authorId="1" shapeId="0" xr:uid="{00000000-0006-0000-0B00-000094010000}">
      <text>
        <r>
          <rPr>
            <b/>
            <sz val="10"/>
            <color indexed="81"/>
            <rFont val="Tahoma"/>
            <family val="2"/>
          </rPr>
          <t>Data Entry Cell, Other Construction / Rehabilitation Costs</t>
        </r>
      </text>
    </comment>
    <comment ref="G27" authorId="1" shapeId="0" xr:uid="{00000000-0006-0000-0B00-000095010000}">
      <text>
        <r>
          <rPr>
            <b/>
            <sz val="10"/>
            <color indexed="81"/>
            <rFont val="Tahoma"/>
            <family val="2"/>
          </rPr>
          <t>Data Entry Cell, Other Construction / Rehabilitation Costs</t>
        </r>
      </text>
    </comment>
    <comment ref="H27" authorId="1" shapeId="0" xr:uid="{00000000-0006-0000-0B00-000096010000}">
      <text>
        <r>
          <rPr>
            <b/>
            <sz val="10"/>
            <color indexed="81"/>
            <rFont val="Tahoma"/>
            <family val="2"/>
          </rPr>
          <t>Data Entry Cell, Other Construction / Rehabilitation Costs</t>
        </r>
      </text>
    </comment>
    <comment ref="I27" authorId="1" shapeId="0" xr:uid="{00000000-0006-0000-0B00-000097010000}">
      <text>
        <r>
          <rPr>
            <b/>
            <sz val="10"/>
            <color indexed="81"/>
            <rFont val="Tahoma"/>
            <family val="2"/>
          </rPr>
          <t>Data Entry Cell, Other Construction / Rehabilitation Costs</t>
        </r>
      </text>
    </comment>
    <comment ref="J27" authorId="1" shapeId="0" xr:uid="{00000000-0006-0000-0B00-000098010000}">
      <text>
        <r>
          <rPr>
            <b/>
            <sz val="10"/>
            <color indexed="81"/>
            <rFont val="Tahoma"/>
            <family val="2"/>
          </rPr>
          <t>Data Entry Cell, Other Construction / Rehabilitation Costs</t>
        </r>
      </text>
    </comment>
    <comment ref="K27" authorId="1" shapeId="0" xr:uid="{00000000-0006-0000-0B00-000099010000}">
      <text>
        <r>
          <rPr>
            <b/>
            <sz val="10"/>
            <color indexed="81"/>
            <rFont val="Tahoma"/>
            <family val="2"/>
          </rPr>
          <t>Data Entry Cell, Other Construction / Rehabilitation Costs</t>
        </r>
      </text>
    </comment>
    <comment ref="L27" authorId="1" shapeId="0" xr:uid="{00000000-0006-0000-0B00-00009A010000}">
      <text>
        <r>
          <rPr>
            <b/>
            <sz val="10"/>
            <color indexed="81"/>
            <rFont val="Tahoma"/>
            <family val="2"/>
          </rPr>
          <t>Data Entry Cell, Other Construction / Rehabilitation Costs</t>
        </r>
      </text>
    </comment>
    <comment ref="M27" authorId="1" shapeId="0" xr:uid="{00000000-0006-0000-0B00-00009B010000}">
      <text>
        <r>
          <rPr>
            <b/>
            <sz val="10"/>
            <color indexed="81"/>
            <rFont val="Tahoma"/>
            <family val="2"/>
          </rPr>
          <t>Data Entry Cell, Other Construction / Rehabilitation Costs</t>
        </r>
      </text>
    </comment>
    <comment ref="N27" authorId="1" shapeId="0" xr:uid="{00000000-0006-0000-0B00-00009C010000}">
      <text>
        <r>
          <rPr>
            <b/>
            <sz val="10"/>
            <color indexed="81"/>
            <rFont val="Tahoma"/>
            <family val="2"/>
          </rPr>
          <t>Data Entry Cell, Other Construction / Rehabilitation Costs</t>
        </r>
      </text>
    </comment>
    <comment ref="O27" authorId="1" shapeId="0" xr:uid="{00000000-0006-0000-0B00-00009D010000}">
      <text>
        <r>
          <rPr>
            <b/>
            <sz val="10"/>
            <color indexed="81"/>
            <rFont val="Tahoma"/>
            <family val="2"/>
          </rPr>
          <t>Data Entry Cell, Other Construction / Rehabilitation Costs</t>
        </r>
      </text>
    </comment>
    <comment ref="P27" authorId="1" shapeId="0" xr:uid="{00000000-0006-0000-0B00-00009E010000}">
      <text>
        <r>
          <rPr>
            <b/>
            <sz val="10"/>
            <color indexed="81"/>
            <rFont val="Tahoma"/>
            <family val="2"/>
          </rPr>
          <t>Data Entry Cell, Other Construction / Rehabilitation Costs</t>
        </r>
      </text>
    </comment>
    <comment ref="Q27" authorId="1" shapeId="0" xr:uid="{00000000-0006-0000-0B00-00009F010000}">
      <text>
        <r>
          <rPr>
            <b/>
            <sz val="10"/>
            <color indexed="81"/>
            <rFont val="Tahoma"/>
            <family val="2"/>
          </rPr>
          <t>Data Entry Cell, Other Construction / Rehabilitation Costs</t>
        </r>
      </text>
    </comment>
    <comment ref="R27" authorId="1" shapeId="0" xr:uid="{00000000-0006-0000-0B00-0000A0010000}">
      <text>
        <r>
          <rPr>
            <b/>
            <sz val="10"/>
            <color indexed="81"/>
            <rFont val="Tahoma"/>
            <family val="2"/>
          </rPr>
          <t>Data Entry Cell, Other Construction / Rehabilitation Costs</t>
        </r>
      </text>
    </comment>
    <comment ref="S27" authorId="1" shapeId="0" xr:uid="{00000000-0006-0000-0B00-0000A1010000}">
      <text>
        <r>
          <rPr>
            <b/>
            <sz val="10"/>
            <color indexed="81"/>
            <rFont val="Tahoma"/>
            <family val="2"/>
          </rPr>
          <t>Data Entry Cell, Other Construction / Rehabilitation Costs</t>
        </r>
      </text>
    </comment>
    <comment ref="T27" authorId="1" shapeId="0" xr:uid="{00000000-0006-0000-0B00-0000A2010000}">
      <text>
        <r>
          <rPr>
            <b/>
            <sz val="10"/>
            <color indexed="81"/>
            <rFont val="Tahoma"/>
            <family val="2"/>
          </rPr>
          <t>Data Entry Cell, Other Construction / Rehabilitation Costs</t>
        </r>
      </text>
    </comment>
    <comment ref="U27" authorId="1" shapeId="0" xr:uid="{00000000-0006-0000-0B00-0000A3010000}">
      <text>
        <r>
          <rPr>
            <b/>
            <sz val="10"/>
            <color indexed="81"/>
            <rFont val="Tahoma"/>
            <family val="2"/>
          </rPr>
          <t>Data Entry Cell, Other Construction / Rehabilitation Costs</t>
        </r>
      </text>
    </comment>
    <comment ref="V27" authorId="1" shapeId="0" xr:uid="{00000000-0006-0000-0B00-0000A4010000}">
      <text>
        <r>
          <rPr>
            <b/>
            <sz val="10"/>
            <color indexed="81"/>
            <rFont val="Tahoma"/>
            <family val="2"/>
          </rPr>
          <t>Data Entry Cell, Other Construction / Rehabilitation Costs</t>
        </r>
      </text>
    </comment>
    <comment ref="W27" authorId="1" shapeId="0" xr:uid="{00000000-0006-0000-0B00-0000A5010000}">
      <text>
        <r>
          <rPr>
            <b/>
            <sz val="10"/>
            <color indexed="81"/>
            <rFont val="Tahoma"/>
            <family val="2"/>
          </rPr>
          <t>Data Entry Cell, Other Construction / Rehabilitation Costs</t>
        </r>
      </text>
    </comment>
    <comment ref="X27" authorId="1" shapeId="0" xr:uid="{00000000-0006-0000-0B00-0000A6010000}">
      <text>
        <r>
          <rPr>
            <b/>
            <sz val="10"/>
            <color indexed="81"/>
            <rFont val="Tahoma"/>
            <family val="2"/>
          </rPr>
          <t>Data Entry Cell, Other Construction / Rehabilitation Costs</t>
        </r>
      </text>
    </comment>
    <comment ref="Y27" authorId="1" shapeId="0" xr:uid="{00000000-0006-0000-0B00-0000A7010000}">
      <text>
        <r>
          <rPr>
            <b/>
            <sz val="10"/>
            <color indexed="81"/>
            <rFont val="Tahoma"/>
            <family val="2"/>
          </rPr>
          <t>Data Entry Cell, Other Construction / Rehabilitation Costs</t>
        </r>
      </text>
    </comment>
    <comment ref="Z27" authorId="1" shapeId="0" xr:uid="{00000000-0006-0000-0B00-0000A8010000}">
      <text>
        <r>
          <rPr>
            <b/>
            <sz val="10"/>
            <color indexed="81"/>
            <rFont val="Tahoma"/>
            <family val="2"/>
          </rPr>
          <t>Data Entry Cell, Other Construction / Rehabilitation Costs</t>
        </r>
      </text>
    </comment>
    <comment ref="AA27" authorId="1" shapeId="0" xr:uid="{00000000-0006-0000-0B00-0000A9010000}">
      <text>
        <r>
          <rPr>
            <b/>
            <sz val="10"/>
            <color indexed="81"/>
            <rFont val="Tahoma"/>
            <family val="2"/>
          </rPr>
          <t>Data Entry Cell, Other Construction / Rehabilitation Costs</t>
        </r>
      </text>
    </comment>
    <comment ref="AB27" authorId="1" shapeId="0" xr:uid="{00000000-0006-0000-0B00-0000AA010000}">
      <text>
        <r>
          <rPr>
            <b/>
            <sz val="10"/>
            <color indexed="81"/>
            <rFont val="Tahoma"/>
            <family val="2"/>
          </rPr>
          <t>Data Entry Cell, Other Construction / Rehabilitation Costs</t>
        </r>
      </text>
    </comment>
    <comment ref="AC27" authorId="1" shapeId="0" xr:uid="{00000000-0006-0000-0B00-0000AB010000}">
      <text>
        <r>
          <rPr>
            <b/>
            <sz val="10"/>
            <color indexed="81"/>
            <rFont val="Tahoma"/>
            <family val="2"/>
          </rPr>
          <t>Data Entry Cell, Other Construction / Rehabilitation Costs</t>
        </r>
      </text>
    </comment>
    <comment ref="E29" authorId="1" shapeId="0" xr:uid="{00000000-0006-0000-0B00-0000AC010000}">
      <text>
        <r>
          <rPr>
            <b/>
            <sz val="10"/>
            <color indexed="81"/>
            <rFont val="Tahoma"/>
            <family val="2"/>
          </rPr>
          <t>Data Entry Cell, Architect Fee -- Design</t>
        </r>
      </text>
    </comment>
    <comment ref="F29" authorId="1" shapeId="0" xr:uid="{00000000-0006-0000-0B00-0000AD010000}">
      <text>
        <r>
          <rPr>
            <b/>
            <sz val="10"/>
            <color indexed="81"/>
            <rFont val="Tahoma"/>
            <family val="2"/>
          </rPr>
          <t>Data Entry Cell, Architect Fee -- Design</t>
        </r>
      </text>
    </comment>
    <comment ref="G29" authorId="1" shapeId="0" xr:uid="{00000000-0006-0000-0B00-0000AE010000}">
      <text>
        <r>
          <rPr>
            <b/>
            <sz val="10"/>
            <color indexed="81"/>
            <rFont val="Tahoma"/>
            <family val="2"/>
          </rPr>
          <t>Data Entry Cell, Architect Fee -- Design</t>
        </r>
      </text>
    </comment>
    <comment ref="H29" authorId="1" shapeId="0" xr:uid="{00000000-0006-0000-0B00-0000AF010000}">
      <text>
        <r>
          <rPr>
            <b/>
            <sz val="10"/>
            <color indexed="81"/>
            <rFont val="Tahoma"/>
            <family val="2"/>
          </rPr>
          <t>Data Entry Cell, Architect Fee -- Design</t>
        </r>
      </text>
    </comment>
    <comment ref="I29" authorId="1" shapeId="0" xr:uid="{00000000-0006-0000-0B00-0000B0010000}">
      <text>
        <r>
          <rPr>
            <b/>
            <sz val="10"/>
            <color indexed="81"/>
            <rFont val="Tahoma"/>
            <family val="2"/>
          </rPr>
          <t>Data Entry Cell, Architect Fee -- Design</t>
        </r>
      </text>
    </comment>
    <comment ref="J29" authorId="1" shapeId="0" xr:uid="{00000000-0006-0000-0B00-0000B1010000}">
      <text>
        <r>
          <rPr>
            <b/>
            <sz val="10"/>
            <color indexed="81"/>
            <rFont val="Tahoma"/>
            <family val="2"/>
          </rPr>
          <t>Data Entry Cell, Architect Fee -- Design</t>
        </r>
      </text>
    </comment>
    <comment ref="K29" authorId="1" shapeId="0" xr:uid="{00000000-0006-0000-0B00-0000B2010000}">
      <text>
        <r>
          <rPr>
            <b/>
            <sz val="10"/>
            <color indexed="81"/>
            <rFont val="Tahoma"/>
            <family val="2"/>
          </rPr>
          <t>Data Entry Cell, Architect Fee -- Design</t>
        </r>
      </text>
    </comment>
    <comment ref="L29" authorId="1" shapeId="0" xr:uid="{00000000-0006-0000-0B00-0000B3010000}">
      <text>
        <r>
          <rPr>
            <b/>
            <sz val="10"/>
            <color indexed="81"/>
            <rFont val="Tahoma"/>
            <family val="2"/>
          </rPr>
          <t>Data Entry Cell, Architect Fee -- Design</t>
        </r>
      </text>
    </comment>
    <comment ref="M29" authorId="1" shapeId="0" xr:uid="{00000000-0006-0000-0B00-0000B4010000}">
      <text>
        <r>
          <rPr>
            <b/>
            <sz val="10"/>
            <color indexed="81"/>
            <rFont val="Tahoma"/>
            <family val="2"/>
          </rPr>
          <t>Data Entry Cell, Architect Fee -- Design</t>
        </r>
      </text>
    </comment>
    <comment ref="N29" authorId="1" shapeId="0" xr:uid="{00000000-0006-0000-0B00-0000B5010000}">
      <text>
        <r>
          <rPr>
            <b/>
            <sz val="10"/>
            <color indexed="81"/>
            <rFont val="Tahoma"/>
            <family val="2"/>
          </rPr>
          <t>Data Entry Cell, Architect Fee -- Design</t>
        </r>
      </text>
    </comment>
    <comment ref="O29" authorId="1" shapeId="0" xr:uid="{00000000-0006-0000-0B00-0000B6010000}">
      <text>
        <r>
          <rPr>
            <b/>
            <sz val="10"/>
            <color indexed="81"/>
            <rFont val="Tahoma"/>
            <family val="2"/>
          </rPr>
          <t>Data Entry Cell, Architect Fee -- Design</t>
        </r>
      </text>
    </comment>
    <comment ref="P29" authorId="1" shapeId="0" xr:uid="{00000000-0006-0000-0B00-0000B7010000}">
      <text>
        <r>
          <rPr>
            <b/>
            <sz val="10"/>
            <color indexed="81"/>
            <rFont val="Tahoma"/>
            <family val="2"/>
          </rPr>
          <t>Data Entry Cell, Architect Fee -- Design</t>
        </r>
      </text>
    </comment>
    <comment ref="Q29" authorId="1" shapeId="0" xr:uid="{00000000-0006-0000-0B00-0000B8010000}">
      <text>
        <r>
          <rPr>
            <b/>
            <sz val="10"/>
            <color indexed="81"/>
            <rFont val="Tahoma"/>
            <family val="2"/>
          </rPr>
          <t>Data Entry Cell, Architect Fee -- Design</t>
        </r>
      </text>
    </comment>
    <comment ref="R29" authorId="1" shapeId="0" xr:uid="{00000000-0006-0000-0B00-0000B9010000}">
      <text>
        <r>
          <rPr>
            <b/>
            <sz val="10"/>
            <color indexed="81"/>
            <rFont val="Tahoma"/>
            <family val="2"/>
          </rPr>
          <t>Data Entry Cell, Architect Fee -- Design</t>
        </r>
      </text>
    </comment>
    <comment ref="S29" authorId="1" shapeId="0" xr:uid="{00000000-0006-0000-0B00-0000BA010000}">
      <text>
        <r>
          <rPr>
            <b/>
            <sz val="10"/>
            <color indexed="81"/>
            <rFont val="Tahoma"/>
            <family val="2"/>
          </rPr>
          <t>Data Entry Cell, Architect Fee -- Design</t>
        </r>
      </text>
    </comment>
    <comment ref="T29" authorId="1" shapeId="0" xr:uid="{00000000-0006-0000-0B00-0000BB010000}">
      <text>
        <r>
          <rPr>
            <b/>
            <sz val="10"/>
            <color indexed="81"/>
            <rFont val="Tahoma"/>
            <family val="2"/>
          </rPr>
          <t>Data Entry Cell, Architect Fee -- Design</t>
        </r>
      </text>
    </comment>
    <comment ref="U29" authorId="1" shapeId="0" xr:uid="{00000000-0006-0000-0B00-0000BC010000}">
      <text>
        <r>
          <rPr>
            <b/>
            <sz val="10"/>
            <color indexed="81"/>
            <rFont val="Tahoma"/>
            <family val="2"/>
          </rPr>
          <t>Data Entry Cell, Architect Fee -- Design</t>
        </r>
      </text>
    </comment>
    <comment ref="V29" authorId="1" shapeId="0" xr:uid="{00000000-0006-0000-0B00-0000BD010000}">
      <text>
        <r>
          <rPr>
            <b/>
            <sz val="10"/>
            <color indexed="81"/>
            <rFont val="Tahoma"/>
            <family val="2"/>
          </rPr>
          <t>Data Entry Cell, Architect Fee -- Design</t>
        </r>
      </text>
    </comment>
    <comment ref="W29" authorId="1" shapeId="0" xr:uid="{00000000-0006-0000-0B00-0000BE010000}">
      <text>
        <r>
          <rPr>
            <b/>
            <sz val="10"/>
            <color indexed="81"/>
            <rFont val="Tahoma"/>
            <family val="2"/>
          </rPr>
          <t>Data Entry Cell, Architect Fee -- Design</t>
        </r>
      </text>
    </comment>
    <comment ref="X29" authorId="1" shapeId="0" xr:uid="{00000000-0006-0000-0B00-0000BF010000}">
      <text>
        <r>
          <rPr>
            <b/>
            <sz val="10"/>
            <color indexed="81"/>
            <rFont val="Tahoma"/>
            <family val="2"/>
          </rPr>
          <t>Data Entry Cell, Architect Fee -- Design</t>
        </r>
      </text>
    </comment>
    <comment ref="Y29" authorId="1" shapeId="0" xr:uid="{00000000-0006-0000-0B00-0000C0010000}">
      <text>
        <r>
          <rPr>
            <b/>
            <sz val="10"/>
            <color indexed="81"/>
            <rFont val="Tahoma"/>
            <family val="2"/>
          </rPr>
          <t>Data Entry Cell, Architect Fee -- Design</t>
        </r>
      </text>
    </comment>
    <comment ref="Z29" authorId="1" shapeId="0" xr:uid="{00000000-0006-0000-0B00-0000C1010000}">
      <text>
        <r>
          <rPr>
            <b/>
            <sz val="10"/>
            <color indexed="81"/>
            <rFont val="Tahoma"/>
            <family val="2"/>
          </rPr>
          <t>Data Entry Cell, Architect Fee -- Design</t>
        </r>
      </text>
    </comment>
    <comment ref="AA29" authorId="1" shapeId="0" xr:uid="{00000000-0006-0000-0B00-0000C2010000}">
      <text>
        <r>
          <rPr>
            <b/>
            <sz val="10"/>
            <color indexed="81"/>
            <rFont val="Tahoma"/>
            <family val="2"/>
          </rPr>
          <t>Data Entry Cell, Architect Fee -- Design</t>
        </r>
      </text>
    </comment>
    <comment ref="AB29" authorId="1" shapeId="0" xr:uid="{00000000-0006-0000-0B00-0000C3010000}">
      <text>
        <r>
          <rPr>
            <b/>
            <sz val="10"/>
            <color indexed="81"/>
            <rFont val="Tahoma"/>
            <family val="2"/>
          </rPr>
          <t>Data Entry Cell, Architect Fee -- Design</t>
        </r>
      </text>
    </comment>
    <comment ref="AC29" authorId="1" shapeId="0" xr:uid="{00000000-0006-0000-0B00-0000C4010000}">
      <text>
        <r>
          <rPr>
            <b/>
            <sz val="10"/>
            <color indexed="81"/>
            <rFont val="Tahoma"/>
            <family val="2"/>
          </rPr>
          <t>Data Entry Cell, Architect Fee -- Design</t>
        </r>
      </text>
    </comment>
    <comment ref="E30" authorId="1" shapeId="0" xr:uid="{00000000-0006-0000-0B00-0000C5010000}">
      <text>
        <r>
          <rPr>
            <b/>
            <sz val="10"/>
            <color indexed="81"/>
            <rFont val="Tahoma"/>
            <family val="2"/>
          </rPr>
          <t>Data Entry Cell, Architect Fee -- Construction Supervision</t>
        </r>
      </text>
    </comment>
    <comment ref="F30" authorId="1" shapeId="0" xr:uid="{00000000-0006-0000-0B00-0000C6010000}">
      <text>
        <r>
          <rPr>
            <b/>
            <sz val="10"/>
            <color indexed="81"/>
            <rFont val="Tahoma"/>
            <family val="2"/>
          </rPr>
          <t>Data Entry Cell, Architect Fee -- Construction Supervision</t>
        </r>
      </text>
    </comment>
    <comment ref="G30" authorId="1" shapeId="0" xr:uid="{00000000-0006-0000-0B00-0000C7010000}">
      <text>
        <r>
          <rPr>
            <b/>
            <sz val="10"/>
            <color indexed="81"/>
            <rFont val="Tahoma"/>
            <family val="2"/>
          </rPr>
          <t>Data Entry Cell, Architect Fee -- Construction Supervision</t>
        </r>
      </text>
    </comment>
    <comment ref="H30" authorId="1" shapeId="0" xr:uid="{00000000-0006-0000-0B00-0000C8010000}">
      <text>
        <r>
          <rPr>
            <b/>
            <sz val="10"/>
            <color indexed="81"/>
            <rFont val="Tahoma"/>
            <family val="2"/>
          </rPr>
          <t>Data Entry Cell, Architect Fee -- Construction Supervision</t>
        </r>
      </text>
    </comment>
    <comment ref="I30" authorId="1" shapeId="0" xr:uid="{00000000-0006-0000-0B00-0000C9010000}">
      <text>
        <r>
          <rPr>
            <b/>
            <sz val="10"/>
            <color indexed="81"/>
            <rFont val="Tahoma"/>
            <family val="2"/>
          </rPr>
          <t>Data Entry Cell, Architect Fee -- Construction Supervision</t>
        </r>
      </text>
    </comment>
    <comment ref="J30" authorId="1" shapeId="0" xr:uid="{00000000-0006-0000-0B00-0000CA010000}">
      <text>
        <r>
          <rPr>
            <b/>
            <sz val="10"/>
            <color indexed="81"/>
            <rFont val="Tahoma"/>
            <family val="2"/>
          </rPr>
          <t>Data Entry Cell, Architect Fee -- Construction Supervision</t>
        </r>
      </text>
    </comment>
    <comment ref="K30" authorId="1" shapeId="0" xr:uid="{00000000-0006-0000-0B00-0000CB010000}">
      <text>
        <r>
          <rPr>
            <b/>
            <sz val="10"/>
            <color indexed="81"/>
            <rFont val="Tahoma"/>
            <family val="2"/>
          </rPr>
          <t>Data Entry Cell, Architect Fee -- Construction Supervision</t>
        </r>
      </text>
    </comment>
    <comment ref="L30" authorId="1" shapeId="0" xr:uid="{00000000-0006-0000-0B00-0000CC010000}">
      <text>
        <r>
          <rPr>
            <b/>
            <sz val="10"/>
            <color indexed="81"/>
            <rFont val="Tahoma"/>
            <family val="2"/>
          </rPr>
          <t>Data Entry Cell, Architect Fee -- Construction Supervision</t>
        </r>
      </text>
    </comment>
    <comment ref="M30" authorId="1" shapeId="0" xr:uid="{00000000-0006-0000-0B00-0000CD010000}">
      <text>
        <r>
          <rPr>
            <b/>
            <sz val="10"/>
            <color indexed="81"/>
            <rFont val="Tahoma"/>
            <family val="2"/>
          </rPr>
          <t>Data Entry Cell, Architect Fee -- Construction Supervision</t>
        </r>
      </text>
    </comment>
    <comment ref="N30" authorId="1" shapeId="0" xr:uid="{00000000-0006-0000-0B00-0000CE010000}">
      <text>
        <r>
          <rPr>
            <b/>
            <sz val="10"/>
            <color indexed="81"/>
            <rFont val="Tahoma"/>
            <family val="2"/>
          </rPr>
          <t>Data Entry Cell, Architect Fee -- Construction Supervision</t>
        </r>
      </text>
    </comment>
    <comment ref="O30" authorId="1" shapeId="0" xr:uid="{00000000-0006-0000-0B00-0000CF010000}">
      <text>
        <r>
          <rPr>
            <b/>
            <sz val="10"/>
            <color indexed="81"/>
            <rFont val="Tahoma"/>
            <family val="2"/>
          </rPr>
          <t>Data Entry Cell, Architect Fee -- Construction Supervision</t>
        </r>
      </text>
    </comment>
    <comment ref="P30" authorId="1" shapeId="0" xr:uid="{00000000-0006-0000-0B00-0000D0010000}">
      <text>
        <r>
          <rPr>
            <b/>
            <sz val="10"/>
            <color indexed="81"/>
            <rFont val="Tahoma"/>
            <family val="2"/>
          </rPr>
          <t>Data Entry Cell, Architect Fee -- Construction Supervision</t>
        </r>
      </text>
    </comment>
    <comment ref="Q30" authorId="1" shapeId="0" xr:uid="{00000000-0006-0000-0B00-0000D1010000}">
      <text>
        <r>
          <rPr>
            <b/>
            <sz val="10"/>
            <color indexed="81"/>
            <rFont val="Tahoma"/>
            <family val="2"/>
          </rPr>
          <t>Data Entry Cell, Architect Fee -- Construction Supervision</t>
        </r>
      </text>
    </comment>
    <comment ref="R30" authorId="1" shapeId="0" xr:uid="{00000000-0006-0000-0B00-0000D2010000}">
      <text>
        <r>
          <rPr>
            <b/>
            <sz val="10"/>
            <color indexed="81"/>
            <rFont val="Tahoma"/>
            <family val="2"/>
          </rPr>
          <t>Data Entry Cell, Architect Fee -- Construction Supervision</t>
        </r>
      </text>
    </comment>
    <comment ref="S30" authorId="1" shapeId="0" xr:uid="{00000000-0006-0000-0B00-0000D3010000}">
      <text>
        <r>
          <rPr>
            <b/>
            <sz val="10"/>
            <color indexed="81"/>
            <rFont val="Tahoma"/>
            <family val="2"/>
          </rPr>
          <t>Data Entry Cell, Architect Fee -- Construction Supervision</t>
        </r>
      </text>
    </comment>
    <comment ref="T30" authorId="1" shapeId="0" xr:uid="{00000000-0006-0000-0B00-0000D4010000}">
      <text>
        <r>
          <rPr>
            <b/>
            <sz val="10"/>
            <color indexed="81"/>
            <rFont val="Tahoma"/>
            <family val="2"/>
          </rPr>
          <t>Data Entry Cell, Architect Fee -- Construction Supervision</t>
        </r>
      </text>
    </comment>
    <comment ref="U30" authorId="1" shapeId="0" xr:uid="{00000000-0006-0000-0B00-0000D5010000}">
      <text>
        <r>
          <rPr>
            <b/>
            <sz val="10"/>
            <color indexed="81"/>
            <rFont val="Tahoma"/>
            <family val="2"/>
          </rPr>
          <t>Data Entry Cell, Architect Fee -- Construction Supervision</t>
        </r>
      </text>
    </comment>
    <comment ref="V30" authorId="1" shapeId="0" xr:uid="{00000000-0006-0000-0B00-0000D6010000}">
      <text>
        <r>
          <rPr>
            <b/>
            <sz val="10"/>
            <color indexed="81"/>
            <rFont val="Tahoma"/>
            <family val="2"/>
          </rPr>
          <t>Data Entry Cell, Architect Fee -- Construction Supervision</t>
        </r>
      </text>
    </comment>
    <comment ref="W30" authorId="1" shapeId="0" xr:uid="{00000000-0006-0000-0B00-0000D7010000}">
      <text>
        <r>
          <rPr>
            <b/>
            <sz val="10"/>
            <color indexed="81"/>
            <rFont val="Tahoma"/>
            <family val="2"/>
          </rPr>
          <t>Data Entry Cell, Architect Fee -- Construction Supervision</t>
        </r>
      </text>
    </comment>
    <comment ref="X30" authorId="1" shapeId="0" xr:uid="{00000000-0006-0000-0B00-0000D8010000}">
      <text>
        <r>
          <rPr>
            <b/>
            <sz val="10"/>
            <color indexed="81"/>
            <rFont val="Tahoma"/>
            <family val="2"/>
          </rPr>
          <t>Data Entry Cell, Architect Fee -- Construction Supervision</t>
        </r>
      </text>
    </comment>
    <comment ref="Y30" authorId="1" shapeId="0" xr:uid="{00000000-0006-0000-0B00-0000D9010000}">
      <text>
        <r>
          <rPr>
            <b/>
            <sz val="10"/>
            <color indexed="81"/>
            <rFont val="Tahoma"/>
            <family val="2"/>
          </rPr>
          <t>Data Entry Cell, Architect Fee -- Construction Supervision</t>
        </r>
      </text>
    </comment>
    <comment ref="Z30" authorId="1" shapeId="0" xr:uid="{00000000-0006-0000-0B00-0000DA010000}">
      <text>
        <r>
          <rPr>
            <b/>
            <sz val="10"/>
            <color indexed="81"/>
            <rFont val="Tahoma"/>
            <family val="2"/>
          </rPr>
          <t>Data Entry Cell, Architect Fee -- Construction Supervision</t>
        </r>
      </text>
    </comment>
    <comment ref="AA30" authorId="1" shapeId="0" xr:uid="{00000000-0006-0000-0B00-0000DB010000}">
      <text>
        <r>
          <rPr>
            <b/>
            <sz val="10"/>
            <color indexed="81"/>
            <rFont val="Tahoma"/>
            <family val="2"/>
          </rPr>
          <t>Data Entry Cell, Architect Fee -- Construction Supervision</t>
        </r>
      </text>
    </comment>
    <comment ref="AB30" authorId="1" shapeId="0" xr:uid="{00000000-0006-0000-0B00-0000DC010000}">
      <text>
        <r>
          <rPr>
            <b/>
            <sz val="10"/>
            <color indexed="81"/>
            <rFont val="Tahoma"/>
            <family val="2"/>
          </rPr>
          <t>Data Entry Cell, Architect Fee -- Construction Supervision</t>
        </r>
      </text>
    </comment>
    <comment ref="AC30" authorId="1" shapeId="0" xr:uid="{00000000-0006-0000-0B00-0000DD010000}">
      <text>
        <r>
          <rPr>
            <b/>
            <sz val="10"/>
            <color indexed="81"/>
            <rFont val="Tahoma"/>
            <family val="2"/>
          </rPr>
          <t>Data Entry Cell, Architect Fee -- Construction Supervision</t>
        </r>
      </text>
    </comment>
    <comment ref="E31" authorId="1" shapeId="0" xr:uid="{00000000-0006-0000-0B00-0000DE010000}">
      <text>
        <r>
          <rPr>
            <b/>
            <sz val="10"/>
            <color indexed="81"/>
            <rFont val="Tahoma"/>
            <family val="2"/>
          </rPr>
          <t>Data Entry Cell, Engineering Fees</t>
        </r>
      </text>
    </comment>
    <comment ref="F31" authorId="1" shapeId="0" xr:uid="{00000000-0006-0000-0B00-0000DF010000}">
      <text>
        <r>
          <rPr>
            <b/>
            <sz val="10"/>
            <color indexed="81"/>
            <rFont val="Tahoma"/>
            <family val="2"/>
          </rPr>
          <t>Data Entry Cell, Engineering Fees</t>
        </r>
      </text>
    </comment>
    <comment ref="G31" authorId="1" shapeId="0" xr:uid="{00000000-0006-0000-0B00-0000E0010000}">
      <text>
        <r>
          <rPr>
            <b/>
            <sz val="10"/>
            <color indexed="81"/>
            <rFont val="Tahoma"/>
            <family val="2"/>
          </rPr>
          <t>Data Entry Cell, Engineering Fees</t>
        </r>
      </text>
    </comment>
    <comment ref="H31" authorId="1" shapeId="0" xr:uid="{00000000-0006-0000-0B00-0000E1010000}">
      <text>
        <r>
          <rPr>
            <b/>
            <sz val="10"/>
            <color indexed="81"/>
            <rFont val="Tahoma"/>
            <family val="2"/>
          </rPr>
          <t>Data Entry Cell, Engineering Fees</t>
        </r>
      </text>
    </comment>
    <comment ref="I31" authorId="1" shapeId="0" xr:uid="{00000000-0006-0000-0B00-0000E2010000}">
      <text>
        <r>
          <rPr>
            <b/>
            <sz val="10"/>
            <color indexed="81"/>
            <rFont val="Tahoma"/>
            <family val="2"/>
          </rPr>
          <t>Data Entry Cell, Engineering Fees</t>
        </r>
      </text>
    </comment>
    <comment ref="J31" authorId="1" shapeId="0" xr:uid="{00000000-0006-0000-0B00-0000E3010000}">
      <text>
        <r>
          <rPr>
            <b/>
            <sz val="10"/>
            <color indexed="81"/>
            <rFont val="Tahoma"/>
            <family val="2"/>
          </rPr>
          <t>Data Entry Cell, Engineering Fees</t>
        </r>
      </text>
    </comment>
    <comment ref="K31" authorId="1" shapeId="0" xr:uid="{00000000-0006-0000-0B00-0000E4010000}">
      <text>
        <r>
          <rPr>
            <b/>
            <sz val="10"/>
            <color indexed="81"/>
            <rFont val="Tahoma"/>
            <family val="2"/>
          </rPr>
          <t>Data Entry Cell, Engineering Fees</t>
        </r>
      </text>
    </comment>
    <comment ref="L31" authorId="1" shapeId="0" xr:uid="{00000000-0006-0000-0B00-0000E5010000}">
      <text>
        <r>
          <rPr>
            <b/>
            <sz val="10"/>
            <color indexed="81"/>
            <rFont val="Tahoma"/>
            <family val="2"/>
          </rPr>
          <t>Data Entry Cell, Engineering Fees</t>
        </r>
      </text>
    </comment>
    <comment ref="M31" authorId="1" shapeId="0" xr:uid="{00000000-0006-0000-0B00-0000E6010000}">
      <text>
        <r>
          <rPr>
            <b/>
            <sz val="10"/>
            <color indexed="81"/>
            <rFont val="Tahoma"/>
            <family val="2"/>
          </rPr>
          <t>Data Entry Cell, Engineering Fees</t>
        </r>
      </text>
    </comment>
    <comment ref="N31" authorId="1" shapeId="0" xr:uid="{00000000-0006-0000-0B00-0000E7010000}">
      <text>
        <r>
          <rPr>
            <b/>
            <sz val="10"/>
            <color indexed="81"/>
            <rFont val="Tahoma"/>
            <family val="2"/>
          </rPr>
          <t>Data Entry Cell, Engineering Fees</t>
        </r>
      </text>
    </comment>
    <comment ref="O31" authorId="1" shapeId="0" xr:uid="{00000000-0006-0000-0B00-0000E8010000}">
      <text>
        <r>
          <rPr>
            <b/>
            <sz val="10"/>
            <color indexed="81"/>
            <rFont val="Tahoma"/>
            <family val="2"/>
          </rPr>
          <t>Data Entry Cell, Engineering Fees</t>
        </r>
      </text>
    </comment>
    <comment ref="P31" authorId="1" shapeId="0" xr:uid="{00000000-0006-0000-0B00-0000E9010000}">
      <text>
        <r>
          <rPr>
            <b/>
            <sz val="10"/>
            <color indexed="81"/>
            <rFont val="Tahoma"/>
            <family val="2"/>
          </rPr>
          <t>Data Entry Cell, Engineering Fees</t>
        </r>
      </text>
    </comment>
    <comment ref="Q31" authorId="1" shapeId="0" xr:uid="{00000000-0006-0000-0B00-0000EA010000}">
      <text>
        <r>
          <rPr>
            <b/>
            <sz val="10"/>
            <color indexed="81"/>
            <rFont val="Tahoma"/>
            <family val="2"/>
          </rPr>
          <t>Data Entry Cell, Engineering Fees</t>
        </r>
      </text>
    </comment>
    <comment ref="R31" authorId="1" shapeId="0" xr:uid="{00000000-0006-0000-0B00-0000EB010000}">
      <text>
        <r>
          <rPr>
            <b/>
            <sz val="10"/>
            <color indexed="81"/>
            <rFont val="Tahoma"/>
            <family val="2"/>
          </rPr>
          <t>Data Entry Cell, Engineering Fees</t>
        </r>
      </text>
    </comment>
    <comment ref="S31" authorId="1" shapeId="0" xr:uid="{00000000-0006-0000-0B00-0000EC010000}">
      <text>
        <r>
          <rPr>
            <b/>
            <sz val="10"/>
            <color indexed="81"/>
            <rFont val="Tahoma"/>
            <family val="2"/>
          </rPr>
          <t>Data Entry Cell, Engineering Fees</t>
        </r>
      </text>
    </comment>
    <comment ref="T31" authorId="1" shapeId="0" xr:uid="{00000000-0006-0000-0B00-0000ED010000}">
      <text>
        <r>
          <rPr>
            <b/>
            <sz val="10"/>
            <color indexed="81"/>
            <rFont val="Tahoma"/>
            <family val="2"/>
          </rPr>
          <t>Data Entry Cell, Engineering Fees</t>
        </r>
      </text>
    </comment>
    <comment ref="U31" authorId="1" shapeId="0" xr:uid="{00000000-0006-0000-0B00-0000EE010000}">
      <text>
        <r>
          <rPr>
            <b/>
            <sz val="10"/>
            <color indexed="81"/>
            <rFont val="Tahoma"/>
            <family val="2"/>
          </rPr>
          <t>Data Entry Cell, Engineering Fees</t>
        </r>
      </text>
    </comment>
    <comment ref="V31" authorId="1" shapeId="0" xr:uid="{00000000-0006-0000-0B00-0000EF010000}">
      <text>
        <r>
          <rPr>
            <b/>
            <sz val="10"/>
            <color indexed="81"/>
            <rFont val="Tahoma"/>
            <family val="2"/>
          </rPr>
          <t>Data Entry Cell, Engineering Fees</t>
        </r>
      </text>
    </comment>
    <comment ref="W31" authorId="1" shapeId="0" xr:uid="{00000000-0006-0000-0B00-0000F0010000}">
      <text>
        <r>
          <rPr>
            <b/>
            <sz val="10"/>
            <color indexed="81"/>
            <rFont val="Tahoma"/>
            <family val="2"/>
          </rPr>
          <t>Data Entry Cell, Engineering Fees</t>
        </r>
      </text>
    </comment>
    <comment ref="X31" authorId="1" shapeId="0" xr:uid="{00000000-0006-0000-0B00-0000F1010000}">
      <text>
        <r>
          <rPr>
            <b/>
            <sz val="10"/>
            <color indexed="81"/>
            <rFont val="Tahoma"/>
            <family val="2"/>
          </rPr>
          <t>Data Entry Cell, Engineering Fees</t>
        </r>
      </text>
    </comment>
    <comment ref="Y31" authorId="1" shapeId="0" xr:uid="{00000000-0006-0000-0B00-0000F2010000}">
      <text>
        <r>
          <rPr>
            <b/>
            <sz val="10"/>
            <color indexed="81"/>
            <rFont val="Tahoma"/>
            <family val="2"/>
          </rPr>
          <t>Data Entry Cell, Engineering Fees</t>
        </r>
      </text>
    </comment>
    <comment ref="Z31" authorId="1" shapeId="0" xr:uid="{00000000-0006-0000-0B00-0000F3010000}">
      <text>
        <r>
          <rPr>
            <b/>
            <sz val="10"/>
            <color indexed="81"/>
            <rFont val="Tahoma"/>
            <family val="2"/>
          </rPr>
          <t>Data Entry Cell, Engineering Fees</t>
        </r>
      </text>
    </comment>
    <comment ref="AA31" authorId="1" shapeId="0" xr:uid="{00000000-0006-0000-0B00-0000F4010000}">
      <text>
        <r>
          <rPr>
            <b/>
            <sz val="10"/>
            <color indexed="81"/>
            <rFont val="Tahoma"/>
            <family val="2"/>
          </rPr>
          <t>Data Entry Cell, Engineering Fees</t>
        </r>
      </text>
    </comment>
    <comment ref="AB31" authorId="1" shapeId="0" xr:uid="{00000000-0006-0000-0B00-0000F5010000}">
      <text>
        <r>
          <rPr>
            <b/>
            <sz val="10"/>
            <color indexed="81"/>
            <rFont val="Tahoma"/>
            <family val="2"/>
          </rPr>
          <t>Data Entry Cell, Engineering Fees</t>
        </r>
      </text>
    </comment>
    <comment ref="AC31" authorId="1" shapeId="0" xr:uid="{00000000-0006-0000-0B00-0000F6010000}">
      <text>
        <r>
          <rPr>
            <b/>
            <sz val="10"/>
            <color indexed="81"/>
            <rFont val="Tahoma"/>
            <family val="2"/>
          </rPr>
          <t>Data Entry Cell, Engineering Fees</t>
        </r>
      </text>
    </comment>
    <comment ref="E32" authorId="1" shapeId="0" xr:uid="{00000000-0006-0000-0B00-0000F7010000}">
      <text>
        <r>
          <rPr>
            <b/>
            <sz val="10"/>
            <color indexed="81"/>
            <rFont val="Tahoma"/>
            <family val="2"/>
          </rPr>
          <t>Data Entry Cell, Other Architectural and Engineering Fees</t>
        </r>
      </text>
    </comment>
    <comment ref="F32" authorId="1" shapeId="0" xr:uid="{00000000-0006-0000-0B00-0000F8010000}">
      <text>
        <r>
          <rPr>
            <b/>
            <sz val="10"/>
            <color indexed="81"/>
            <rFont val="Tahoma"/>
            <family val="2"/>
          </rPr>
          <t>Data Entry Cell, Other Architectural and Engineering Fees</t>
        </r>
      </text>
    </comment>
    <comment ref="G32" authorId="1" shapeId="0" xr:uid="{00000000-0006-0000-0B00-0000F9010000}">
      <text>
        <r>
          <rPr>
            <b/>
            <sz val="10"/>
            <color indexed="81"/>
            <rFont val="Tahoma"/>
            <family val="2"/>
          </rPr>
          <t>Data Entry Cell, Other Architectural and Engineering Fees</t>
        </r>
      </text>
    </comment>
    <comment ref="H32" authorId="1" shapeId="0" xr:uid="{00000000-0006-0000-0B00-0000FA010000}">
      <text>
        <r>
          <rPr>
            <b/>
            <sz val="10"/>
            <color indexed="81"/>
            <rFont val="Tahoma"/>
            <family val="2"/>
          </rPr>
          <t>Data Entry Cell, Other Architectural and Engineering Fees</t>
        </r>
      </text>
    </comment>
    <comment ref="I32" authorId="1" shapeId="0" xr:uid="{00000000-0006-0000-0B00-0000FB010000}">
      <text>
        <r>
          <rPr>
            <b/>
            <sz val="10"/>
            <color indexed="81"/>
            <rFont val="Tahoma"/>
            <family val="2"/>
          </rPr>
          <t>Data Entry Cell, Other Architectural and Engineering Fees</t>
        </r>
      </text>
    </comment>
    <comment ref="J32" authorId="1" shapeId="0" xr:uid="{00000000-0006-0000-0B00-0000FC010000}">
      <text>
        <r>
          <rPr>
            <b/>
            <sz val="10"/>
            <color indexed="81"/>
            <rFont val="Tahoma"/>
            <family val="2"/>
          </rPr>
          <t>Data Entry Cell, Other Architectural and Engineering Fees</t>
        </r>
      </text>
    </comment>
    <comment ref="K32" authorId="1" shapeId="0" xr:uid="{00000000-0006-0000-0B00-0000FD010000}">
      <text>
        <r>
          <rPr>
            <b/>
            <sz val="10"/>
            <color indexed="81"/>
            <rFont val="Tahoma"/>
            <family val="2"/>
          </rPr>
          <t>Data Entry Cell, Other Architectural and Engineering Fees</t>
        </r>
      </text>
    </comment>
    <comment ref="L32" authorId="1" shapeId="0" xr:uid="{00000000-0006-0000-0B00-0000FE010000}">
      <text>
        <r>
          <rPr>
            <b/>
            <sz val="10"/>
            <color indexed="81"/>
            <rFont val="Tahoma"/>
            <family val="2"/>
          </rPr>
          <t>Data Entry Cell, Other Architectural and Engineering Fees</t>
        </r>
      </text>
    </comment>
    <comment ref="M32" authorId="1" shapeId="0" xr:uid="{00000000-0006-0000-0B00-0000FF010000}">
      <text>
        <r>
          <rPr>
            <b/>
            <sz val="10"/>
            <color indexed="81"/>
            <rFont val="Tahoma"/>
            <family val="2"/>
          </rPr>
          <t>Data Entry Cell, Other Architectural and Engineering Fees</t>
        </r>
      </text>
    </comment>
    <comment ref="N32" authorId="1" shapeId="0" xr:uid="{00000000-0006-0000-0B00-000000020000}">
      <text>
        <r>
          <rPr>
            <b/>
            <sz val="10"/>
            <color indexed="81"/>
            <rFont val="Tahoma"/>
            <family val="2"/>
          </rPr>
          <t>Data Entry Cell, Other Architectural and Engineering Fees</t>
        </r>
      </text>
    </comment>
    <comment ref="O32" authorId="1" shapeId="0" xr:uid="{00000000-0006-0000-0B00-000001020000}">
      <text>
        <r>
          <rPr>
            <b/>
            <sz val="10"/>
            <color indexed="81"/>
            <rFont val="Tahoma"/>
            <family val="2"/>
          </rPr>
          <t>Data Entry Cell, Other Architectural and Engineering Fees</t>
        </r>
      </text>
    </comment>
    <comment ref="P32" authorId="1" shapeId="0" xr:uid="{00000000-0006-0000-0B00-000002020000}">
      <text>
        <r>
          <rPr>
            <b/>
            <sz val="10"/>
            <color indexed="81"/>
            <rFont val="Tahoma"/>
            <family val="2"/>
          </rPr>
          <t>Data Entry Cell, Other Architectural and Engineering Fees</t>
        </r>
      </text>
    </comment>
    <comment ref="Q32" authorId="1" shapeId="0" xr:uid="{00000000-0006-0000-0B00-000003020000}">
      <text>
        <r>
          <rPr>
            <b/>
            <sz val="10"/>
            <color indexed="81"/>
            <rFont val="Tahoma"/>
            <family val="2"/>
          </rPr>
          <t>Data Entry Cell, Other Architectural and Engineering Fees</t>
        </r>
      </text>
    </comment>
    <comment ref="R32" authorId="1" shapeId="0" xr:uid="{00000000-0006-0000-0B00-000004020000}">
      <text>
        <r>
          <rPr>
            <b/>
            <sz val="10"/>
            <color indexed="81"/>
            <rFont val="Tahoma"/>
            <family val="2"/>
          </rPr>
          <t>Data Entry Cell, Other Architectural and Engineering Fees</t>
        </r>
      </text>
    </comment>
    <comment ref="S32" authorId="1" shapeId="0" xr:uid="{00000000-0006-0000-0B00-000005020000}">
      <text>
        <r>
          <rPr>
            <b/>
            <sz val="10"/>
            <color indexed="81"/>
            <rFont val="Tahoma"/>
            <family val="2"/>
          </rPr>
          <t>Data Entry Cell, Other Architectural and Engineering Fees</t>
        </r>
      </text>
    </comment>
    <comment ref="T32" authorId="1" shapeId="0" xr:uid="{00000000-0006-0000-0B00-000006020000}">
      <text>
        <r>
          <rPr>
            <b/>
            <sz val="10"/>
            <color indexed="81"/>
            <rFont val="Tahoma"/>
            <family val="2"/>
          </rPr>
          <t>Data Entry Cell, Other Architectural and Engineering Fees</t>
        </r>
      </text>
    </comment>
    <comment ref="U32" authorId="1" shapeId="0" xr:uid="{00000000-0006-0000-0B00-000007020000}">
      <text>
        <r>
          <rPr>
            <b/>
            <sz val="10"/>
            <color indexed="81"/>
            <rFont val="Tahoma"/>
            <family val="2"/>
          </rPr>
          <t>Data Entry Cell, Other Architectural and Engineering Fees</t>
        </r>
      </text>
    </comment>
    <comment ref="V32" authorId="1" shapeId="0" xr:uid="{00000000-0006-0000-0B00-000008020000}">
      <text>
        <r>
          <rPr>
            <b/>
            <sz val="10"/>
            <color indexed="81"/>
            <rFont val="Tahoma"/>
            <family val="2"/>
          </rPr>
          <t>Data Entry Cell, Other Architectural and Engineering Fees</t>
        </r>
      </text>
    </comment>
    <comment ref="W32" authorId="1" shapeId="0" xr:uid="{00000000-0006-0000-0B00-000009020000}">
      <text>
        <r>
          <rPr>
            <b/>
            <sz val="10"/>
            <color indexed="81"/>
            <rFont val="Tahoma"/>
            <family val="2"/>
          </rPr>
          <t>Data Entry Cell, Other Architectural and Engineering Fees</t>
        </r>
      </text>
    </comment>
    <comment ref="X32" authorId="1" shapeId="0" xr:uid="{00000000-0006-0000-0B00-00000A020000}">
      <text>
        <r>
          <rPr>
            <b/>
            <sz val="10"/>
            <color indexed="81"/>
            <rFont val="Tahoma"/>
            <family val="2"/>
          </rPr>
          <t>Data Entry Cell, Other Architectural and Engineering Fees</t>
        </r>
      </text>
    </comment>
    <comment ref="Y32" authorId="1" shapeId="0" xr:uid="{00000000-0006-0000-0B00-00000B020000}">
      <text>
        <r>
          <rPr>
            <b/>
            <sz val="10"/>
            <color indexed="81"/>
            <rFont val="Tahoma"/>
            <family val="2"/>
          </rPr>
          <t>Data Entry Cell, Other Architectural and Engineering Fees</t>
        </r>
      </text>
    </comment>
    <comment ref="Z32" authorId="1" shapeId="0" xr:uid="{00000000-0006-0000-0B00-00000C020000}">
      <text>
        <r>
          <rPr>
            <b/>
            <sz val="10"/>
            <color indexed="81"/>
            <rFont val="Tahoma"/>
            <family val="2"/>
          </rPr>
          <t>Data Entry Cell, Other Architectural and Engineering Fees</t>
        </r>
      </text>
    </comment>
    <comment ref="AA32" authorId="1" shapeId="0" xr:uid="{00000000-0006-0000-0B00-00000D020000}">
      <text>
        <r>
          <rPr>
            <b/>
            <sz val="10"/>
            <color indexed="81"/>
            <rFont val="Tahoma"/>
            <family val="2"/>
          </rPr>
          <t>Data Entry Cell, Other Architectural and Engineering Fees</t>
        </r>
      </text>
    </comment>
    <comment ref="AB32" authorId="1" shapeId="0" xr:uid="{00000000-0006-0000-0B00-00000E020000}">
      <text>
        <r>
          <rPr>
            <b/>
            <sz val="10"/>
            <color indexed="81"/>
            <rFont val="Tahoma"/>
            <family val="2"/>
          </rPr>
          <t>Data Entry Cell, Other Architectural and Engineering Fees</t>
        </r>
      </text>
    </comment>
    <comment ref="AC32" authorId="1" shapeId="0" xr:uid="{00000000-0006-0000-0B00-00000F020000}">
      <text>
        <r>
          <rPr>
            <b/>
            <sz val="10"/>
            <color indexed="81"/>
            <rFont val="Tahoma"/>
            <family val="2"/>
          </rPr>
          <t>Data Entry Cell, Other Architectural and Engineering Fees</t>
        </r>
      </text>
    </comment>
    <comment ref="E34" authorId="1" shapeId="0" xr:uid="{00000000-0006-0000-0B00-000010020000}">
      <text>
        <r>
          <rPr>
            <b/>
            <sz val="10"/>
            <color indexed="81"/>
            <rFont val="Tahoma"/>
            <family val="2"/>
          </rPr>
          <t>Data Entry Cell, Project Consultant Fees</t>
        </r>
      </text>
    </comment>
    <comment ref="F34" authorId="1" shapeId="0" xr:uid="{00000000-0006-0000-0B00-000011020000}">
      <text>
        <r>
          <rPr>
            <b/>
            <sz val="10"/>
            <color indexed="81"/>
            <rFont val="Tahoma"/>
            <family val="2"/>
          </rPr>
          <t>Data Entry Cell, Project Consultant Fees</t>
        </r>
      </text>
    </comment>
    <comment ref="G34" authorId="1" shapeId="0" xr:uid="{00000000-0006-0000-0B00-000012020000}">
      <text>
        <r>
          <rPr>
            <b/>
            <sz val="10"/>
            <color indexed="81"/>
            <rFont val="Tahoma"/>
            <family val="2"/>
          </rPr>
          <t>Data Entry Cell, Project Consultant Fees</t>
        </r>
      </text>
    </comment>
    <comment ref="H34" authorId="1" shapeId="0" xr:uid="{00000000-0006-0000-0B00-000013020000}">
      <text>
        <r>
          <rPr>
            <b/>
            <sz val="10"/>
            <color indexed="81"/>
            <rFont val="Tahoma"/>
            <family val="2"/>
          </rPr>
          <t>Data Entry Cell, Project Consultant Fees</t>
        </r>
      </text>
    </comment>
    <comment ref="I34" authorId="1" shapeId="0" xr:uid="{00000000-0006-0000-0B00-000014020000}">
      <text>
        <r>
          <rPr>
            <b/>
            <sz val="10"/>
            <color indexed="81"/>
            <rFont val="Tahoma"/>
            <family val="2"/>
          </rPr>
          <t>Data Entry Cell, Project Consultant Fees</t>
        </r>
      </text>
    </comment>
    <comment ref="J34" authorId="1" shapeId="0" xr:uid="{00000000-0006-0000-0B00-000015020000}">
      <text>
        <r>
          <rPr>
            <b/>
            <sz val="10"/>
            <color indexed="81"/>
            <rFont val="Tahoma"/>
            <family val="2"/>
          </rPr>
          <t>Data Entry Cell, Project Consultant Fees</t>
        </r>
      </text>
    </comment>
    <comment ref="K34" authorId="1" shapeId="0" xr:uid="{00000000-0006-0000-0B00-000016020000}">
      <text>
        <r>
          <rPr>
            <b/>
            <sz val="10"/>
            <color indexed="81"/>
            <rFont val="Tahoma"/>
            <family val="2"/>
          </rPr>
          <t>Data Entry Cell, Project Consultant Fees</t>
        </r>
      </text>
    </comment>
    <comment ref="L34" authorId="1" shapeId="0" xr:uid="{00000000-0006-0000-0B00-000017020000}">
      <text>
        <r>
          <rPr>
            <b/>
            <sz val="10"/>
            <color indexed="81"/>
            <rFont val="Tahoma"/>
            <family val="2"/>
          </rPr>
          <t>Data Entry Cell, Project Consultant Fees</t>
        </r>
      </text>
    </comment>
    <comment ref="M34" authorId="1" shapeId="0" xr:uid="{00000000-0006-0000-0B00-000018020000}">
      <text>
        <r>
          <rPr>
            <b/>
            <sz val="10"/>
            <color indexed="81"/>
            <rFont val="Tahoma"/>
            <family val="2"/>
          </rPr>
          <t>Data Entry Cell, Project Consultant Fees</t>
        </r>
      </text>
    </comment>
    <comment ref="N34" authorId="1" shapeId="0" xr:uid="{00000000-0006-0000-0B00-000019020000}">
      <text>
        <r>
          <rPr>
            <b/>
            <sz val="10"/>
            <color indexed="81"/>
            <rFont val="Tahoma"/>
            <family val="2"/>
          </rPr>
          <t>Data Entry Cell, Project Consultant Fees</t>
        </r>
      </text>
    </comment>
    <comment ref="O34" authorId="1" shapeId="0" xr:uid="{00000000-0006-0000-0B00-00001A020000}">
      <text>
        <r>
          <rPr>
            <b/>
            <sz val="10"/>
            <color indexed="81"/>
            <rFont val="Tahoma"/>
            <family val="2"/>
          </rPr>
          <t>Data Entry Cell, Project Consultant Fees</t>
        </r>
      </text>
    </comment>
    <comment ref="P34" authorId="1" shapeId="0" xr:uid="{00000000-0006-0000-0B00-00001B020000}">
      <text>
        <r>
          <rPr>
            <b/>
            <sz val="10"/>
            <color indexed="81"/>
            <rFont val="Tahoma"/>
            <family val="2"/>
          </rPr>
          <t>Data Entry Cell, Project Consultant Fees</t>
        </r>
      </text>
    </comment>
    <comment ref="Q34" authorId="1" shapeId="0" xr:uid="{00000000-0006-0000-0B00-00001C020000}">
      <text>
        <r>
          <rPr>
            <b/>
            <sz val="10"/>
            <color indexed="81"/>
            <rFont val="Tahoma"/>
            <family val="2"/>
          </rPr>
          <t>Data Entry Cell, Project Consultant Fees</t>
        </r>
      </text>
    </comment>
    <comment ref="R34" authorId="1" shapeId="0" xr:uid="{00000000-0006-0000-0B00-00001D020000}">
      <text>
        <r>
          <rPr>
            <b/>
            <sz val="10"/>
            <color indexed="81"/>
            <rFont val="Tahoma"/>
            <family val="2"/>
          </rPr>
          <t>Data Entry Cell, Project Consultant Fees</t>
        </r>
      </text>
    </comment>
    <comment ref="S34" authorId="1" shapeId="0" xr:uid="{00000000-0006-0000-0B00-00001E020000}">
      <text>
        <r>
          <rPr>
            <b/>
            <sz val="10"/>
            <color indexed="81"/>
            <rFont val="Tahoma"/>
            <family val="2"/>
          </rPr>
          <t>Data Entry Cell, Project Consultant Fees</t>
        </r>
      </text>
    </comment>
    <comment ref="T34" authorId="1" shapeId="0" xr:uid="{00000000-0006-0000-0B00-00001F020000}">
      <text>
        <r>
          <rPr>
            <b/>
            <sz val="10"/>
            <color indexed="81"/>
            <rFont val="Tahoma"/>
            <family val="2"/>
          </rPr>
          <t>Data Entry Cell, Project Consultant Fees</t>
        </r>
      </text>
    </comment>
    <comment ref="U34" authorId="1" shapeId="0" xr:uid="{00000000-0006-0000-0B00-000020020000}">
      <text>
        <r>
          <rPr>
            <b/>
            <sz val="10"/>
            <color indexed="81"/>
            <rFont val="Tahoma"/>
            <family val="2"/>
          </rPr>
          <t>Data Entry Cell, Project Consultant Fees</t>
        </r>
      </text>
    </comment>
    <comment ref="V34" authorId="1" shapeId="0" xr:uid="{00000000-0006-0000-0B00-000021020000}">
      <text>
        <r>
          <rPr>
            <b/>
            <sz val="10"/>
            <color indexed="81"/>
            <rFont val="Tahoma"/>
            <family val="2"/>
          </rPr>
          <t>Data Entry Cell, Project Consultant Fees</t>
        </r>
      </text>
    </comment>
    <comment ref="W34" authorId="1" shapeId="0" xr:uid="{00000000-0006-0000-0B00-000022020000}">
      <text>
        <r>
          <rPr>
            <b/>
            <sz val="10"/>
            <color indexed="81"/>
            <rFont val="Tahoma"/>
            <family val="2"/>
          </rPr>
          <t>Data Entry Cell, Project Consultant Fees</t>
        </r>
      </text>
    </comment>
    <comment ref="X34" authorId="1" shapeId="0" xr:uid="{00000000-0006-0000-0B00-000023020000}">
      <text>
        <r>
          <rPr>
            <b/>
            <sz val="10"/>
            <color indexed="81"/>
            <rFont val="Tahoma"/>
            <family val="2"/>
          </rPr>
          <t>Data Entry Cell, Project Consultant Fees</t>
        </r>
      </text>
    </comment>
    <comment ref="Y34" authorId="1" shapeId="0" xr:uid="{00000000-0006-0000-0B00-000024020000}">
      <text>
        <r>
          <rPr>
            <b/>
            <sz val="10"/>
            <color indexed="81"/>
            <rFont val="Tahoma"/>
            <family val="2"/>
          </rPr>
          <t>Data Entry Cell, Project Consultant Fees</t>
        </r>
      </text>
    </comment>
    <comment ref="Z34" authorId="1" shapeId="0" xr:uid="{00000000-0006-0000-0B00-000025020000}">
      <text>
        <r>
          <rPr>
            <b/>
            <sz val="10"/>
            <color indexed="81"/>
            <rFont val="Tahoma"/>
            <family val="2"/>
          </rPr>
          <t>Data Entry Cell, Project Consultant Fees</t>
        </r>
      </text>
    </comment>
    <comment ref="AA34" authorId="1" shapeId="0" xr:uid="{00000000-0006-0000-0B00-000026020000}">
      <text>
        <r>
          <rPr>
            <b/>
            <sz val="10"/>
            <color indexed="81"/>
            <rFont val="Tahoma"/>
            <family val="2"/>
          </rPr>
          <t>Data Entry Cell, Project Consultant Fees</t>
        </r>
      </text>
    </comment>
    <comment ref="AB34" authorId="1" shapeId="0" xr:uid="{00000000-0006-0000-0B00-000027020000}">
      <text>
        <r>
          <rPr>
            <b/>
            <sz val="10"/>
            <color indexed="81"/>
            <rFont val="Tahoma"/>
            <family val="2"/>
          </rPr>
          <t>Data Entry Cell, Project Consultant Fees</t>
        </r>
      </text>
    </comment>
    <comment ref="AC34" authorId="1" shapeId="0" xr:uid="{00000000-0006-0000-0B00-000028020000}">
      <text>
        <r>
          <rPr>
            <b/>
            <sz val="10"/>
            <color indexed="81"/>
            <rFont val="Tahoma"/>
            <family val="2"/>
          </rPr>
          <t>Data Entry Cell, Project Consultant Fees</t>
        </r>
      </text>
    </comment>
    <comment ref="E35" authorId="1" shapeId="0" xr:uid="{00000000-0006-0000-0B00-000029020000}">
      <text>
        <r>
          <rPr>
            <b/>
            <sz val="10"/>
            <color indexed="81"/>
            <rFont val="Tahoma"/>
            <family val="2"/>
          </rPr>
          <t>Data Entry Cell, Owner Attorney Fees (initial closing)</t>
        </r>
      </text>
    </comment>
    <comment ref="F35" authorId="1" shapeId="0" xr:uid="{00000000-0006-0000-0B00-00002A020000}">
      <text>
        <r>
          <rPr>
            <b/>
            <sz val="10"/>
            <color indexed="81"/>
            <rFont val="Tahoma"/>
            <family val="2"/>
          </rPr>
          <t>Data Entry Cell, Owner Attorney Fees (initial closing)</t>
        </r>
      </text>
    </comment>
    <comment ref="G35" authorId="1" shapeId="0" xr:uid="{00000000-0006-0000-0B00-00002B020000}">
      <text>
        <r>
          <rPr>
            <b/>
            <sz val="10"/>
            <color indexed="81"/>
            <rFont val="Tahoma"/>
            <family val="2"/>
          </rPr>
          <t>Data Entry Cell, Owner Attorney Fees (initial closing)</t>
        </r>
      </text>
    </comment>
    <comment ref="H35" authorId="1" shapeId="0" xr:uid="{00000000-0006-0000-0B00-00002C020000}">
      <text>
        <r>
          <rPr>
            <b/>
            <sz val="10"/>
            <color indexed="81"/>
            <rFont val="Tahoma"/>
            <family val="2"/>
          </rPr>
          <t>Data Entry Cell, Owner Attorney Fees (initial closing)</t>
        </r>
      </text>
    </comment>
    <comment ref="I35" authorId="1" shapeId="0" xr:uid="{00000000-0006-0000-0B00-00002D020000}">
      <text>
        <r>
          <rPr>
            <b/>
            <sz val="10"/>
            <color indexed="81"/>
            <rFont val="Tahoma"/>
            <family val="2"/>
          </rPr>
          <t>Data Entry Cell, Owner Attorney Fees (initial closing)</t>
        </r>
      </text>
    </comment>
    <comment ref="J35" authorId="1" shapeId="0" xr:uid="{00000000-0006-0000-0B00-00002E020000}">
      <text>
        <r>
          <rPr>
            <b/>
            <sz val="10"/>
            <color indexed="81"/>
            <rFont val="Tahoma"/>
            <family val="2"/>
          </rPr>
          <t>Data Entry Cell, Owner Attorney Fees (initial closing)</t>
        </r>
      </text>
    </comment>
    <comment ref="K35" authorId="1" shapeId="0" xr:uid="{00000000-0006-0000-0B00-00002F020000}">
      <text>
        <r>
          <rPr>
            <b/>
            <sz val="10"/>
            <color indexed="81"/>
            <rFont val="Tahoma"/>
            <family val="2"/>
          </rPr>
          <t>Data Entry Cell, Owner Attorney Fees (initial closing)</t>
        </r>
      </text>
    </comment>
    <comment ref="L35" authorId="1" shapeId="0" xr:uid="{00000000-0006-0000-0B00-000030020000}">
      <text>
        <r>
          <rPr>
            <b/>
            <sz val="10"/>
            <color indexed="81"/>
            <rFont val="Tahoma"/>
            <family val="2"/>
          </rPr>
          <t>Data Entry Cell, Owner Attorney Fees (initial closing)</t>
        </r>
      </text>
    </comment>
    <comment ref="M35" authorId="1" shapeId="0" xr:uid="{00000000-0006-0000-0B00-000031020000}">
      <text>
        <r>
          <rPr>
            <b/>
            <sz val="10"/>
            <color indexed="81"/>
            <rFont val="Tahoma"/>
            <family val="2"/>
          </rPr>
          <t>Data Entry Cell, Owner Attorney Fees (initial closing)</t>
        </r>
      </text>
    </comment>
    <comment ref="N35" authorId="1" shapeId="0" xr:uid="{00000000-0006-0000-0B00-000032020000}">
      <text>
        <r>
          <rPr>
            <b/>
            <sz val="10"/>
            <color indexed="81"/>
            <rFont val="Tahoma"/>
            <family val="2"/>
          </rPr>
          <t>Data Entry Cell, Owner Attorney Fees (initial closing)</t>
        </r>
      </text>
    </comment>
    <comment ref="O35" authorId="1" shapeId="0" xr:uid="{00000000-0006-0000-0B00-000033020000}">
      <text>
        <r>
          <rPr>
            <b/>
            <sz val="10"/>
            <color indexed="81"/>
            <rFont val="Tahoma"/>
            <family val="2"/>
          </rPr>
          <t>Data Entry Cell, Owner Attorney Fees (initial closing)</t>
        </r>
      </text>
    </comment>
    <comment ref="P35" authorId="1" shapeId="0" xr:uid="{00000000-0006-0000-0B00-000034020000}">
      <text>
        <r>
          <rPr>
            <b/>
            <sz val="10"/>
            <color indexed="81"/>
            <rFont val="Tahoma"/>
            <family val="2"/>
          </rPr>
          <t>Data Entry Cell, Owner Attorney Fees (initial closing)</t>
        </r>
      </text>
    </comment>
    <comment ref="Q35" authorId="1" shapeId="0" xr:uid="{00000000-0006-0000-0B00-000035020000}">
      <text>
        <r>
          <rPr>
            <b/>
            <sz val="10"/>
            <color indexed="81"/>
            <rFont val="Tahoma"/>
            <family val="2"/>
          </rPr>
          <t>Data Entry Cell, Owner Attorney Fees (initial closing)</t>
        </r>
      </text>
    </comment>
    <comment ref="R35" authorId="1" shapeId="0" xr:uid="{00000000-0006-0000-0B00-000036020000}">
      <text>
        <r>
          <rPr>
            <b/>
            <sz val="10"/>
            <color indexed="81"/>
            <rFont val="Tahoma"/>
            <family val="2"/>
          </rPr>
          <t>Data Entry Cell, Owner Attorney Fees (initial closing)</t>
        </r>
      </text>
    </comment>
    <comment ref="S35" authorId="1" shapeId="0" xr:uid="{00000000-0006-0000-0B00-000037020000}">
      <text>
        <r>
          <rPr>
            <b/>
            <sz val="10"/>
            <color indexed="81"/>
            <rFont val="Tahoma"/>
            <family val="2"/>
          </rPr>
          <t>Data Entry Cell, Owner Attorney Fees (initial closing)</t>
        </r>
      </text>
    </comment>
    <comment ref="T35" authorId="1" shapeId="0" xr:uid="{00000000-0006-0000-0B00-000038020000}">
      <text>
        <r>
          <rPr>
            <b/>
            <sz val="10"/>
            <color indexed="81"/>
            <rFont val="Tahoma"/>
            <family val="2"/>
          </rPr>
          <t>Data Entry Cell, Owner Attorney Fees (initial closing)</t>
        </r>
      </text>
    </comment>
    <comment ref="U35" authorId="1" shapeId="0" xr:uid="{00000000-0006-0000-0B00-000039020000}">
      <text>
        <r>
          <rPr>
            <b/>
            <sz val="10"/>
            <color indexed="81"/>
            <rFont val="Tahoma"/>
            <family val="2"/>
          </rPr>
          <t>Data Entry Cell, Owner Attorney Fees (initial closing)</t>
        </r>
      </text>
    </comment>
    <comment ref="V35" authorId="1" shapeId="0" xr:uid="{00000000-0006-0000-0B00-00003A020000}">
      <text>
        <r>
          <rPr>
            <b/>
            <sz val="10"/>
            <color indexed="81"/>
            <rFont val="Tahoma"/>
            <family val="2"/>
          </rPr>
          <t>Data Entry Cell, Owner Attorney Fees (initial closing)</t>
        </r>
      </text>
    </comment>
    <comment ref="W35" authorId="1" shapeId="0" xr:uid="{00000000-0006-0000-0B00-00003B020000}">
      <text>
        <r>
          <rPr>
            <b/>
            <sz val="10"/>
            <color indexed="81"/>
            <rFont val="Tahoma"/>
            <family val="2"/>
          </rPr>
          <t>Data Entry Cell, Owner Attorney Fees (initial closing)</t>
        </r>
      </text>
    </comment>
    <comment ref="X35" authorId="1" shapeId="0" xr:uid="{00000000-0006-0000-0B00-00003C020000}">
      <text>
        <r>
          <rPr>
            <b/>
            <sz val="10"/>
            <color indexed="81"/>
            <rFont val="Tahoma"/>
            <family val="2"/>
          </rPr>
          <t>Data Entry Cell, Owner Attorney Fees (initial closing)</t>
        </r>
      </text>
    </comment>
    <comment ref="Y35" authorId="1" shapeId="0" xr:uid="{00000000-0006-0000-0B00-00003D020000}">
      <text>
        <r>
          <rPr>
            <b/>
            <sz val="10"/>
            <color indexed="81"/>
            <rFont val="Tahoma"/>
            <family val="2"/>
          </rPr>
          <t>Data Entry Cell, Owner Attorney Fees (initial closing)</t>
        </r>
      </text>
    </comment>
    <comment ref="Z35" authorId="1" shapeId="0" xr:uid="{00000000-0006-0000-0B00-00003E020000}">
      <text>
        <r>
          <rPr>
            <b/>
            <sz val="10"/>
            <color indexed="81"/>
            <rFont val="Tahoma"/>
            <family val="2"/>
          </rPr>
          <t>Data Entry Cell, Owner Attorney Fees (initial closing)</t>
        </r>
      </text>
    </comment>
    <comment ref="AA35" authorId="1" shapeId="0" xr:uid="{00000000-0006-0000-0B00-00003F020000}">
      <text>
        <r>
          <rPr>
            <b/>
            <sz val="10"/>
            <color indexed="81"/>
            <rFont val="Tahoma"/>
            <family val="2"/>
          </rPr>
          <t>Data Entry Cell, Owner Attorney Fees (initial closing)</t>
        </r>
      </text>
    </comment>
    <comment ref="AB35" authorId="1" shapeId="0" xr:uid="{00000000-0006-0000-0B00-000040020000}">
      <text>
        <r>
          <rPr>
            <b/>
            <sz val="10"/>
            <color indexed="81"/>
            <rFont val="Tahoma"/>
            <family val="2"/>
          </rPr>
          <t>Data Entry Cell, Owner Attorney Fees (initial closing)</t>
        </r>
      </text>
    </comment>
    <comment ref="AC35" authorId="1" shapeId="0" xr:uid="{00000000-0006-0000-0B00-000041020000}">
      <text>
        <r>
          <rPr>
            <b/>
            <sz val="10"/>
            <color indexed="81"/>
            <rFont val="Tahoma"/>
            <family val="2"/>
          </rPr>
          <t>Data Entry Cell, Owner Attorney Fees (initial closing)</t>
        </r>
      </text>
    </comment>
    <comment ref="E36" authorId="1" shapeId="0" xr:uid="{00000000-0006-0000-0B00-000042020000}">
      <text>
        <r>
          <rPr>
            <b/>
            <sz val="10"/>
            <color indexed="81"/>
            <rFont val="Tahoma"/>
            <family val="2"/>
          </rPr>
          <t>Data Entry Cell, Owner Attorney Fees (final closing)</t>
        </r>
      </text>
    </comment>
    <comment ref="F36" authorId="1" shapeId="0" xr:uid="{00000000-0006-0000-0B00-000043020000}">
      <text>
        <r>
          <rPr>
            <b/>
            <sz val="10"/>
            <color indexed="81"/>
            <rFont val="Tahoma"/>
            <family val="2"/>
          </rPr>
          <t>Data Entry Cell, Owner Attorney Fees (final closing)</t>
        </r>
      </text>
    </comment>
    <comment ref="G36" authorId="1" shapeId="0" xr:uid="{00000000-0006-0000-0B00-000044020000}">
      <text>
        <r>
          <rPr>
            <b/>
            <sz val="10"/>
            <color indexed="81"/>
            <rFont val="Tahoma"/>
            <family val="2"/>
          </rPr>
          <t>Data Entry Cell, Owner Attorney Fees (final closing)</t>
        </r>
      </text>
    </comment>
    <comment ref="H36" authorId="1" shapeId="0" xr:uid="{00000000-0006-0000-0B00-000045020000}">
      <text>
        <r>
          <rPr>
            <b/>
            <sz val="10"/>
            <color indexed="81"/>
            <rFont val="Tahoma"/>
            <family val="2"/>
          </rPr>
          <t>Data Entry Cell, Owner Attorney Fees (final closing)</t>
        </r>
      </text>
    </comment>
    <comment ref="I36" authorId="1" shapeId="0" xr:uid="{00000000-0006-0000-0B00-000046020000}">
      <text>
        <r>
          <rPr>
            <b/>
            <sz val="10"/>
            <color indexed="81"/>
            <rFont val="Tahoma"/>
            <family val="2"/>
          </rPr>
          <t>Data Entry Cell, Owner Attorney Fees (final closing)</t>
        </r>
      </text>
    </comment>
    <comment ref="J36" authorId="1" shapeId="0" xr:uid="{00000000-0006-0000-0B00-000047020000}">
      <text>
        <r>
          <rPr>
            <b/>
            <sz val="10"/>
            <color indexed="81"/>
            <rFont val="Tahoma"/>
            <family val="2"/>
          </rPr>
          <t>Data Entry Cell, Owner Attorney Fees (final closing)</t>
        </r>
      </text>
    </comment>
    <comment ref="K36" authorId="1" shapeId="0" xr:uid="{00000000-0006-0000-0B00-000048020000}">
      <text>
        <r>
          <rPr>
            <b/>
            <sz val="10"/>
            <color indexed="81"/>
            <rFont val="Tahoma"/>
            <family val="2"/>
          </rPr>
          <t>Data Entry Cell, Owner Attorney Fees (final closing)</t>
        </r>
      </text>
    </comment>
    <comment ref="L36" authorId="1" shapeId="0" xr:uid="{00000000-0006-0000-0B00-000049020000}">
      <text>
        <r>
          <rPr>
            <b/>
            <sz val="10"/>
            <color indexed="81"/>
            <rFont val="Tahoma"/>
            <family val="2"/>
          </rPr>
          <t>Data Entry Cell, Owner Attorney Fees (final closing)</t>
        </r>
      </text>
    </comment>
    <comment ref="M36" authorId="1" shapeId="0" xr:uid="{00000000-0006-0000-0B00-00004A020000}">
      <text>
        <r>
          <rPr>
            <b/>
            <sz val="10"/>
            <color indexed="81"/>
            <rFont val="Tahoma"/>
            <family val="2"/>
          </rPr>
          <t>Data Entry Cell, Owner Attorney Fees (final closing)</t>
        </r>
      </text>
    </comment>
    <comment ref="N36" authorId="1" shapeId="0" xr:uid="{00000000-0006-0000-0B00-00004B020000}">
      <text>
        <r>
          <rPr>
            <b/>
            <sz val="10"/>
            <color indexed="81"/>
            <rFont val="Tahoma"/>
            <family val="2"/>
          </rPr>
          <t>Data Entry Cell, Owner Attorney Fees (final closing)</t>
        </r>
      </text>
    </comment>
    <comment ref="O36" authorId="1" shapeId="0" xr:uid="{00000000-0006-0000-0B00-00004C020000}">
      <text>
        <r>
          <rPr>
            <b/>
            <sz val="10"/>
            <color indexed="81"/>
            <rFont val="Tahoma"/>
            <family val="2"/>
          </rPr>
          <t>Data Entry Cell, Owner Attorney Fees (final closing)</t>
        </r>
      </text>
    </comment>
    <comment ref="P36" authorId="1" shapeId="0" xr:uid="{00000000-0006-0000-0B00-00004D020000}">
      <text>
        <r>
          <rPr>
            <b/>
            <sz val="10"/>
            <color indexed="81"/>
            <rFont val="Tahoma"/>
            <family val="2"/>
          </rPr>
          <t>Data Entry Cell, Owner Attorney Fees (final closing)</t>
        </r>
      </text>
    </comment>
    <comment ref="Q36" authorId="1" shapeId="0" xr:uid="{00000000-0006-0000-0B00-00004E020000}">
      <text>
        <r>
          <rPr>
            <b/>
            <sz val="10"/>
            <color indexed="81"/>
            <rFont val="Tahoma"/>
            <family val="2"/>
          </rPr>
          <t>Data Entry Cell, Owner Attorney Fees (final closing)</t>
        </r>
      </text>
    </comment>
    <comment ref="R36" authorId="1" shapeId="0" xr:uid="{00000000-0006-0000-0B00-00004F020000}">
      <text>
        <r>
          <rPr>
            <b/>
            <sz val="10"/>
            <color indexed="81"/>
            <rFont val="Tahoma"/>
            <family val="2"/>
          </rPr>
          <t>Data Entry Cell, Owner Attorney Fees (final closing)</t>
        </r>
      </text>
    </comment>
    <comment ref="S36" authorId="1" shapeId="0" xr:uid="{00000000-0006-0000-0B00-000050020000}">
      <text>
        <r>
          <rPr>
            <b/>
            <sz val="10"/>
            <color indexed="81"/>
            <rFont val="Tahoma"/>
            <family val="2"/>
          </rPr>
          <t>Data Entry Cell, Owner Attorney Fees (final closing)</t>
        </r>
      </text>
    </comment>
    <comment ref="T36" authorId="1" shapeId="0" xr:uid="{00000000-0006-0000-0B00-000051020000}">
      <text>
        <r>
          <rPr>
            <b/>
            <sz val="10"/>
            <color indexed="81"/>
            <rFont val="Tahoma"/>
            <family val="2"/>
          </rPr>
          <t>Data Entry Cell, Owner Attorney Fees (final closing)</t>
        </r>
      </text>
    </comment>
    <comment ref="U36" authorId="1" shapeId="0" xr:uid="{00000000-0006-0000-0B00-000052020000}">
      <text>
        <r>
          <rPr>
            <b/>
            <sz val="10"/>
            <color indexed="81"/>
            <rFont val="Tahoma"/>
            <family val="2"/>
          </rPr>
          <t>Data Entry Cell, Owner Attorney Fees (final closing)</t>
        </r>
      </text>
    </comment>
    <comment ref="V36" authorId="1" shapeId="0" xr:uid="{00000000-0006-0000-0B00-000053020000}">
      <text>
        <r>
          <rPr>
            <b/>
            <sz val="10"/>
            <color indexed="81"/>
            <rFont val="Tahoma"/>
            <family val="2"/>
          </rPr>
          <t>Data Entry Cell, Owner Attorney Fees (final closing)</t>
        </r>
      </text>
    </comment>
    <comment ref="W36" authorId="1" shapeId="0" xr:uid="{00000000-0006-0000-0B00-000054020000}">
      <text>
        <r>
          <rPr>
            <b/>
            <sz val="10"/>
            <color indexed="81"/>
            <rFont val="Tahoma"/>
            <family val="2"/>
          </rPr>
          <t>Data Entry Cell, Owner Attorney Fees (final closing)</t>
        </r>
      </text>
    </comment>
    <comment ref="X36" authorId="1" shapeId="0" xr:uid="{00000000-0006-0000-0B00-000055020000}">
      <text>
        <r>
          <rPr>
            <b/>
            <sz val="10"/>
            <color indexed="81"/>
            <rFont val="Tahoma"/>
            <family val="2"/>
          </rPr>
          <t>Data Entry Cell, Owner Attorney Fees (final closing)</t>
        </r>
      </text>
    </comment>
    <comment ref="Y36" authorId="1" shapeId="0" xr:uid="{00000000-0006-0000-0B00-000056020000}">
      <text>
        <r>
          <rPr>
            <b/>
            <sz val="10"/>
            <color indexed="81"/>
            <rFont val="Tahoma"/>
            <family val="2"/>
          </rPr>
          <t>Data Entry Cell, Owner Attorney Fees (final closing)</t>
        </r>
      </text>
    </comment>
    <comment ref="Z36" authorId="1" shapeId="0" xr:uid="{00000000-0006-0000-0B00-000057020000}">
      <text>
        <r>
          <rPr>
            <b/>
            <sz val="10"/>
            <color indexed="81"/>
            <rFont val="Tahoma"/>
            <family val="2"/>
          </rPr>
          <t>Data Entry Cell, Owner Attorney Fees (final closing)</t>
        </r>
      </text>
    </comment>
    <comment ref="AA36" authorId="1" shapeId="0" xr:uid="{00000000-0006-0000-0B00-000058020000}">
      <text>
        <r>
          <rPr>
            <b/>
            <sz val="10"/>
            <color indexed="81"/>
            <rFont val="Tahoma"/>
            <family val="2"/>
          </rPr>
          <t>Data Entry Cell, Owner Attorney Fees (final closing)</t>
        </r>
      </text>
    </comment>
    <comment ref="AB36" authorId="1" shapeId="0" xr:uid="{00000000-0006-0000-0B00-000059020000}">
      <text>
        <r>
          <rPr>
            <b/>
            <sz val="10"/>
            <color indexed="81"/>
            <rFont val="Tahoma"/>
            <family val="2"/>
          </rPr>
          <t>Data Entry Cell, Owner Attorney Fees (final closing)</t>
        </r>
      </text>
    </comment>
    <comment ref="AC36" authorId="1" shapeId="0" xr:uid="{00000000-0006-0000-0B00-00005A020000}">
      <text>
        <r>
          <rPr>
            <b/>
            <sz val="10"/>
            <color indexed="81"/>
            <rFont val="Tahoma"/>
            <family val="2"/>
          </rPr>
          <t>Data Entry Cell, Owner Attorney Fees (final closing)</t>
        </r>
      </text>
    </comment>
    <comment ref="E37" authorId="1" shapeId="0" xr:uid="{00000000-0006-0000-0B00-00005B020000}">
      <text>
        <r>
          <rPr>
            <b/>
            <sz val="10"/>
            <color indexed="81"/>
            <rFont val="Tahoma"/>
            <family val="2"/>
          </rPr>
          <t>Data Entry Cell, Syndication Fees</t>
        </r>
      </text>
    </comment>
    <comment ref="F37" authorId="1" shapeId="0" xr:uid="{00000000-0006-0000-0B00-00005C020000}">
      <text>
        <r>
          <rPr>
            <b/>
            <sz val="10"/>
            <color indexed="81"/>
            <rFont val="Tahoma"/>
            <family val="2"/>
          </rPr>
          <t>Data Entry Cell, Syndication Fees</t>
        </r>
      </text>
    </comment>
    <comment ref="G37" authorId="1" shapeId="0" xr:uid="{00000000-0006-0000-0B00-00005D020000}">
      <text>
        <r>
          <rPr>
            <b/>
            <sz val="10"/>
            <color indexed="81"/>
            <rFont val="Tahoma"/>
            <family val="2"/>
          </rPr>
          <t>Data Entry Cell, Syndication Fees</t>
        </r>
      </text>
    </comment>
    <comment ref="H37" authorId="1" shapeId="0" xr:uid="{00000000-0006-0000-0B00-00005E020000}">
      <text>
        <r>
          <rPr>
            <b/>
            <sz val="10"/>
            <color indexed="81"/>
            <rFont val="Tahoma"/>
            <family val="2"/>
          </rPr>
          <t>Data Entry Cell, Syndication Fees</t>
        </r>
      </text>
    </comment>
    <comment ref="I37" authorId="1" shapeId="0" xr:uid="{00000000-0006-0000-0B00-00005F020000}">
      <text>
        <r>
          <rPr>
            <b/>
            <sz val="10"/>
            <color indexed="81"/>
            <rFont val="Tahoma"/>
            <family val="2"/>
          </rPr>
          <t>Data Entry Cell, Syndication Fees</t>
        </r>
      </text>
    </comment>
    <comment ref="J37" authorId="1" shapeId="0" xr:uid="{00000000-0006-0000-0B00-000060020000}">
      <text>
        <r>
          <rPr>
            <b/>
            <sz val="10"/>
            <color indexed="81"/>
            <rFont val="Tahoma"/>
            <family val="2"/>
          </rPr>
          <t>Data Entry Cell, Syndication Fees</t>
        </r>
      </text>
    </comment>
    <comment ref="K37" authorId="1" shapeId="0" xr:uid="{00000000-0006-0000-0B00-000061020000}">
      <text>
        <r>
          <rPr>
            <b/>
            <sz val="10"/>
            <color indexed="81"/>
            <rFont val="Tahoma"/>
            <family val="2"/>
          </rPr>
          <t>Data Entry Cell, Syndication Fees</t>
        </r>
      </text>
    </comment>
    <comment ref="L37" authorId="1" shapeId="0" xr:uid="{00000000-0006-0000-0B00-000062020000}">
      <text>
        <r>
          <rPr>
            <b/>
            <sz val="10"/>
            <color indexed="81"/>
            <rFont val="Tahoma"/>
            <family val="2"/>
          </rPr>
          <t>Data Entry Cell, Syndication Fees</t>
        </r>
      </text>
    </comment>
    <comment ref="M37" authorId="1" shapeId="0" xr:uid="{00000000-0006-0000-0B00-000063020000}">
      <text>
        <r>
          <rPr>
            <b/>
            <sz val="10"/>
            <color indexed="81"/>
            <rFont val="Tahoma"/>
            <family val="2"/>
          </rPr>
          <t>Data Entry Cell, Syndication Fees</t>
        </r>
      </text>
    </comment>
    <comment ref="N37" authorId="1" shapeId="0" xr:uid="{00000000-0006-0000-0B00-000064020000}">
      <text>
        <r>
          <rPr>
            <b/>
            <sz val="10"/>
            <color indexed="81"/>
            <rFont val="Tahoma"/>
            <family val="2"/>
          </rPr>
          <t>Data Entry Cell, Syndication Fees</t>
        </r>
      </text>
    </comment>
    <comment ref="O37" authorId="1" shapeId="0" xr:uid="{00000000-0006-0000-0B00-000065020000}">
      <text>
        <r>
          <rPr>
            <b/>
            <sz val="10"/>
            <color indexed="81"/>
            <rFont val="Tahoma"/>
            <family val="2"/>
          </rPr>
          <t>Data Entry Cell, Syndication Fees</t>
        </r>
      </text>
    </comment>
    <comment ref="P37" authorId="1" shapeId="0" xr:uid="{00000000-0006-0000-0B00-000066020000}">
      <text>
        <r>
          <rPr>
            <b/>
            <sz val="10"/>
            <color indexed="81"/>
            <rFont val="Tahoma"/>
            <family val="2"/>
          </rPr>
          <t>Data Entry Cell, Syndication Fees</t>
        </r>
      </text>
    </comment>
    <comment ref="Q37" authorId="1" shapeId="0" xr:uid="{00000000-0006-0000-0B00-000067020000}">
      <text>
        <r>
          <rPr>
            <b/>
            <sz val="10"/>
            <color indexed="81"/>
            <rFont val="Tahoma"/>
            <family val="2"/>
          </rPr>
          <t>Data Entry Cell, Syndication Fees</t>
        </r>
      </text>
    </comment>
    <comment ref="R37" authorId="1" shapeId="0" xr:uid="{00000000-0006-0000-0B00-000068020000}">
      <text>
        <r>
          <rPr>
            <b/>
            <sz val="10"/>
            <color indexed="81"/>
            <rFont val="Tahoma"/>
            <family val="2"/>
          </rPr>
          <t>Data Entry Cell, Syndication Fees</t>
        </r>
      </text>
    </comment>
    <comment ref="S37" authorId="1" shapeId="0" xr:uid="{00000000-0006-0000-0B00-000069020000}">
      <text>
        <r>
          <rPr>
            <b/>
            <sz val="10"/>
            <color indexed="81"/>
            <rFont val="Tahoma"/>
            <family val="2"/>
          </rPr>
          <t>Data Entry Cell, Syndication Fees</t>
        </r>
      </text>
    </comment>
    <comment ref="T37" authorId="1" shapeId="0" xr:uid="{00000000-0006-0000-0B00-00006A020000}">
      <text>
        <r>
          <rPr>
            <b/>
            <sz val="10"/>
            <color indexed="81"/>
            <rFont val="Tahoma"/>
            <family val="2"/>
          </rPr>
          <t>Data Entry Cell, Syndication Fees</t>
        </r>
      </text>
    </comment>
    <comment ref="U37" authorId="1" shapeId="0" xr:uid="{00000000-0006-0000-0B00-00006B020000}">
      <text>
        <r>
          <rPr>
            <b/>
            <sz val="10"/>
            <color indexed="81"/>
            <rFont val="Tahoma"/>
            <family val="2"/>
          </rPr>
          <t>Data Entry Cell, Syndication Fees</t>
        </r>
      </text>
    </comment>
    <comment ref="V37" authorId="1" shapeId="0" xr:uid="{00000000-0006-0000-0B00-00006C020000}">
      <text>
        <r>
          <rPr>
            <b/>
            <sz val="10"/>
            <color indexed="81"/>
            <rFont val="Tahoma"/>
            <family val="2"/>
          </rPr>
          <t>Data Entry Cell, Syndication Fees</t>
        </r>
      </text>
    </comment>
    <comment ref="W37" authorId="1" shapeId="0" xr:uid="{00000000-0006-0000-0B00-00006D020000}">
      <text>
        <r>
          <rPr>
            <b/>
            <sz val="10"/>
            <color indexed="81"/>
            <rFont val="Tahoma"/>
            <family val="2"/>
          </rPr>
          <t>Data Entry Cell, Syndication Fees</t>
        </r>
      </text>
    </comment>
    <comment ref="X37" authorId="1" shapeId="0" xr:uid="{00000000-0006-0000-0B00-00006E020000}">
      <text>
        <r>
          <rPr>
            <b/>
            <sz val="10"/>
            <color indexed="81"/>
            <rFont val="Tahoma"/>
            <family val="2"/>
          </rPr>
          <t>Data Entry Cell, Syndication Fees</t>
        </r>
      </text>
    </comment>
    <comment ref="Y37" authorId="1" shapeId="0" xr:uid="{00000000-0006-0000-0B00-00006F020000}">
      <text>
        <r>
          <rPr>
            <b/>
            <sz val="10"/>
            <color indexed="81"/>
            <rFont val="Tahoma"/>
            <family val="2"/>
          </rPr>
          <t>Data Entry Cell, Syndication Fees</t>
        </r>
      </text>
    </comment>
    <comment ref="Z37" authorId="1" shapeId="0" xr:uid="{00000000-0006-0000-0B00-000070020000}">
      <text>
        <r>
          <rPr>
            <b/>
            <sz val="10"/>
            <color indexed="81"/>
            <rFont val="Tahoma"/>
            <family val="2"/>
          </rPr>
          <t>Data Entry Cell, Syndication Fees</t>
        </r>
      </text>
    </comment>
    <comment ref="AA37" authorId="1" shapeId="0" xr:uid="{00000000-0006-0000-0B00-000071020000}">
      <text>
        <r>
          <rPr>
            <b/>
            <sz val="10"/>
            <color indexed="81"/>
            <rFont val="Tahoma"/>
            <family val="2"/>
          </rPr>
          <t>Data Entry Cell, Syndication Fees</t>
        </r>
      </text>
    </comment>
    <comment ref="AB37" authorId="1" shapeId="0" xr:uid="{00000000-0006-0000-0B00-000072020000}">
      <text>
        <r>
          <rPr>
            <b/>
            <sz val="10"/>
            <color indexed="81"/>
            <rFont val="Tahoma"/>
            <family val="2"/>
          </rPr>
          <t>Data Entry Cell, Syndication Fees</t>
        </r>
      </text>
    </comment>
    <comment ref="AC37" authorId="1" shapeId="0" xr:uid="{00000000-0006-0000-0B00-000073020000}">
      <text>
        <r>
          <rPr>
            <b/>
            <sz val="10"/>
            <color indexed="81"/>
            <rFont val="Tahoma"/>
            <family val="2"/>
          </rPr>
          <t>Data Entry Cell, Syndication Fees</t>
        </r>
      </text>
    </comment>
    <comment ref="E38" authorId="1" shapeId="0" xr:uid="{00000000-0006-0000-0B00-000074020000}">
      <text>
        <r>
          <rPr>
            <b/>
            <sz val="10"/>
            <color indexed="81"/>
            <rFont val="Tahoma"/>
            <family val="2"/>
          </rPr>
          <t>Data Entry Cell, Other Owner Organizational Expenses</t>
        </r>
      </text>
    </comment>
    <comment ref="F38" authorId="1" shapeId="0" xr:uid="{00000000-0006-0000-0B00-000075020000}">
      <text>
        <r>
          <rPr>
            <b/>
            <sz val="10"/>
            <color indexed="81"/>
            <rFont val="Tahoma"/>
            <family val="2"/>
          </rPr>
          <t>Data Entry Cell, Other Owner Organizational Expenses</t>
        </r>
      </text>
    </comment>
    <comment ref="G38" authorId="1" shapeId="0" xr:uid="{00000000-0006-0000-0B00-000076020000}">
      <text>
        <r>
          <rPr>
            <b/>
            <sz val="10"/>
            <color indexed="81"/>
            <rFont val="Tahoma"/>
            <family val="2"/>
          </rPr>
          <t>Data Entry Cell, Other Owner Organizational Expenses</t>
        </r>
      </text>
    </comment>
    <comment ref="H38" authorId="1" shapeId="0" xr:uid="{00000000-0006-0000-0B00-000077020000}">
      <text>
        <r>
          <rPr>
            <b/>
            <sz val="10"/>
            <color indexed="81"/>
            <rFont val="Tahoma"/>
            <family val="2"/>
          </rPr>
          <t>Data Entry Cell, Other Owner Organizational Expenses</t>
        </r>
      </text>
    </comment>
    <comment ref="I38" authorId="1" shapeId="0" xr:uid="{00000000-0006-0000-0B00-000078020000}">
      <text>
        <r>
          <rPr>
            <b/>
            <sz val="10"/>
            <color indexed="81"/>
            <rFont val="Tahoma"/>
            <family val="2"/>
          </rPr>
          <t>Data Entry Cell, Other Owner Organizational Expenses</t>
        </r>
      </text>
    </comment>
    <comment ref="J38" authorId="1" shapeId="0" xr:uid="{00000000-0006-0000-0B00-000079020000}">
      <text>
        <r>
          <rPr>
            <b/>
            <sz val="10"/>
            <color indexed="81"/>
            <rFont val="Tahoma"/>
            <family val="2"/>
          </rPr>
          <t>Data Entry Cell, Other Owner Organizational Expenses</t>
        </r>
      </text>
    </comment>
    <comment ref="K38" authorId="1" shapeId="0" xr:uid="{00000000-0006-0000-0B00-00007A020000}">
      <text>
        <r>
          <rPr>
            <b/>
            <sz val="10"/>
            <color indexed="81"/>
            <rFont val="Tahoma"/>
            <family val="2"/>
          </rPr>
          <t>Data Entry Cell, Other Owner Organizational Expenses</t>
        </r>
      </text>
    </comment>
    <comment ref="L38" authorId="1" shapeId="0" xr:uid="{00000000-0006-0000-0B00-00007B020000}">
      <text>
        <r>
          <rPr>
            <b/>
            <sz val="10"/>
            <color indexed="81"/>
            <rFont val="Tahoma"/>
            <family val="2"/>
          </rPr>
          <t>Data Entry Cell, Other Owner Organizational Expenses</t>
        </r>
      </text>
    </comment>
    <comment ref="M38" authorId="1" shapeId="0" xr:uid="{00000000-0006-0000-0B00-00007C020000}">
      <text>
        <r>
          <rPr>
            <b/>
            <sz val="10"/>
            <color indexed="81"/>
            <rFont val="Tahoma"/>
            <family val="2"/>
          </rPr>
          <t>Data Entry Cell, Other Owner Organizational Expenses</t>
        </r>
      </text>
    </comment>
    <comment ref="N38" authorId="1" shapeId="0" xr:uid="{00000000-0006-0000-0B00-00007D020000}">
      <text>
        <r>
          <rPr>
            <b/>
            <sz val="10"/>
            <color indexed="81"/>
            <rFont val="Tahoma"/>
            <family val="2"/>
          </rPr>
          <t>Data Entry Cell, Other Owner Organizational Expenses</t>
        </r>
      </text>
    </comment>
    <comment ref="O38" authorId="1" shapeId="0" xr:uid="{00000000-0006-0000-0B00-00007E020000}">
      <text>
        <r>
          <rPr>
            <b/>
            <sz val="10"/>
            <color indexed="81"/>
            <rFont val="Tahoma"/>
            <family val="2"/>
          </rPr>
          <t>Data Entry Cell, Other Owner Organizational Expenses</t>
        </r>
      </text>
    </comment>
    <comment ref="P38" authorId="1" shapeId="0" xr:uid="{00000000-0006-0000-0B00-00007F020000}">
      <text>
        <r>
          <rPr>
            <b/>
            <sz val="10"/>
            <color indexed="81"/>
            <rFont val="Tahoma"/>
            <family val="2"/>
          </rPr>
          <t>Data Entry Cell, Other Owner Organizational Expenses</t>
        </r>
      </text>
    </comment>
    <comment ref="Q38" authorId="1" shapeId="0" xr:uid="{00000000-0006-0000-0B00-000080020000}">
      <text>
        <r>
          <rPr>
            <b/>
            <sz val="10"/>
            <color indexed="81"/>
            <rFont val="Tahoma"/>
            <family val="2"/>
          </rPr>
          <t>Data Entry Cell, Other Owner Organizational Expenses</t>
        </r>
      </text>
    </comment>
    <comment ref="R38" authorId="1" shapeId="0" xr:uid="{00000000-0006-0000-0B00-000081020000}">
      <text>
        <r>
          <rPr>
            <b/>
            <sz val="10"/>
            <color indexed="81"/>
            <rFont val="Tahoma"/>
            <family val="2"/>
          </rPr>
          <t>Data Entry Cell, Other Owner Organizational Expenses</t>
        </r>
      </text>
    </comment>
    <comment ref="S38" authorId="1" shapeId="0" xr:uid="{00000000-0006-0000-0B00-000082020000}">
      <text>
        <r>
          <rPr>
            <b/>
            <sz val="10"/>
            <color indexed="81"/>
            <rFont val="Tahoma"/>
            <family val="2"/>
          </rPr>
          <t>Data Entry Cell, Other Owner Organizational Expenses</t>
        </r>
      </text>
    </comment>
    <comment ref="T38" authorId="1" shapeId="0" xr:uid="{00000000-0006-0000-0B00-000083020000}">
      <text>
        <r>
          <rPr>
            <b/>
            <sz val="10"/>
            <color indexed="81"/>
            <rFont val="Tahoma"/>
            <family val="2"/>
          </rPr>
          <t>Data Entry Cell, Other Owner Organizational Expenses</t>
        </r>
      </text>
    </comment>
    <comment ref="U38" authorId="1" shapeId="0" xr:uid="{00000000-0006-0000-0B00-000084020000}">
      <text>
        <r>
          <rPr>
            <b/>
            <sz val="10"/>
            <color indexed="81"/>
            <rFont val="Tahoma"/>
            <family val="2"/>
          </rPr>
          <t>Data Entry Cell, Other Owner Organizational Expenses</t>
        </r>
      </text>
    </comment>
    <comment ref="V38" authorId="1" shapeId="0" xr:uid="{00000000-0006-0000-0B00-000085020000}">
      <text>
        <r>
          <rPr>
            <b/>
            <sz val="10"/>
            <color indexed="81"/>
            <rFont val="Tahoma"/>
            <family val="2"/>
          </rPr>
          <t>Data Entry Cell, Other Owner Organizational Expenses</t>
        </r>
      </text>
    </comment>
    <comment ref="W38" authorId="1" shapeId="0" xr:uid="{00000000-0006-0000-0B00-000086020000}">
      <text>
        <r>
          <rPr>
            <b/>
            <sz val="10"/>
            <color indexed="81"/>
            <rFont val="Tahoma"/>
            <family val="2"/>
          </rPr>
          <t>Data Entry Cell, Other Owner Organizational Expenses</t>
        </r>
      </text>
    </comment>
    <comment ref="X38" authorId="1" shapeId="0" xr:uid="{00000000-0006-0000-0B00-000087020000}">
      <text>
        <r>
          <rPr>
            <b/>
            <sz val="10"/>
            <color indexed="81"/>
            <rFont val="Tahoma"/>
            <family val="2"/>
          </rPr>
          <t>Data Entry Cell, Other Owner Organizational Expenses</t>
        </r>
      </text>
    </comment>
    <comment ref="Y38" authorId="1" shapeId="0" xr:uid="{00000000-0006-0000-0B00-000088020000}">
      <text>
        <r>
          <rPr>
            <b/>
            <sz val="10"/>
            <color indexed="81"/>
            <rFont val="Tahoma"/>
            <family val="2"/>
          </rPr>
          <t>Data Entry Cell, Other Owner Organizational Expenses</t>
        </r>
      </text>
    </comment>
    <comment ref="Z38" authorId="1" shapeId="0" xr:uid="{00000000-0006-0000-0B00-000089020000}">
      <text>
        <r>
          <rPr>
            <b/>
            <sz val="10"/>
            <color indexed="81"/>
            <rFont val="Tahoma"/>
            <family val="2"/>
          </rPr>
          <t>Data Entry Cell, Other Owner Organizational Expenses</t>
        </r>
      </text>
    </comment>
    <comment ref="AA38" authorId="1" shapeId="0" xr:uid="{00000000-0006-0000-0B00-00008A020000}">
      <text>
        <r>
          <rPr>
            <b/>
            <sz val="10"/>
            <color indexed="81"/>
            <rFont val="Tahoma"/>
            <family val="2"/>
          </rPr>
          <t>Data Entry Cell, Other Owner Organizational Expenses</t>
        </r>
      </text>
    </comment>
    <comment ref="AB38" authorId="1" shapeId="0" xr:uid="{00000000-0006-0000-0B00-00008B020000}">
      <text>
        <r>
          <rPr>
            <b/>
            <sz val="10"/>
            <color indexed="81"/>
            <rFont val="Tahoma"/>
            <family val="2"/>
          </rPr>
          <t>Data Entry Cell, Other Owner Organizational Expenses</t>
        </r>
      </text>
    </comment>
    <comment ref="AC38" authorId="1" shapeId="0" xr:uid="{00000000-0006-0000-0B00-00008C020000}">
      <text>
        <r>
          <rPr>
            <b/>
            <sz val="10"/>
            <color indexed="81"/>
            <rFont val="Tahoma"/>
            <family val="2"/>
          </rPr>
          <t>Data Entry Cell, Other Owner Organizational Expenses</t>
        </r>
      </text>
    </comment>
    <comment ref="E39" authorId="1" shapeId="0" xr:uid="{00000000-0006-0000-0B00-00008D020000}">
      <text>
        <r>
          <rPr>
            <b/>
            <sz val="10"/>
            <color indexed="81"/>
            <rFont val="Tahoma"/>
            <family val="2"/>
          </rPr>
          <t>Data Entry Cell, Market Study Cost</t>
        </r>
      </text>
    </comment>
    <comment ref="F39" authorId="1" shapeId="0" xr:uid="{00000000-0006-0000-0B00-00008E020000}">
      <text>
        <r>
          <rPr>
            <b/>
            <sz val="10"/>
            <color indexed="81"/>
            <rFont val="Tahoma"/>
            <family val="2"/>
          </rPr>
          <t>Data Entry Cell, Market Study Cost</t>
        </r>
      </text>
    </comment>
    <comment ref="G39" authorId="1" shapeId="0" xr:uid="{00000000-0006-0000-0B00-00008F020000}">
      <text>
        <r>
          <rPr>
            <b/>
            <sz val="10"/>
            <color indexed="81"/>
            <rFont val="Tahoma"/>
            <family val="2"/>
          </rPr>
          <t>Data Entry Cell, Market Study Cost</t>
        </r>
      </text>
    </comment>
    <comment ref="H39" authorId="1" shapeId="0" xr:uid="{00000000-0006-0000-0B00-000090020000}">
      <text>
        <r>
          <rPr>
            <b/>
            <sz val="10"/>
            <color indexed="81"/>
            <rFont val="Tahoma"/>
            <family val="2"/>
          </rPr>
          <t>Data Entry Cell, Market Study Cost</t>
        </r>
      </text>
    </comment>
    <comment ref="I39" authorId="1" shapeId="0" xr:uid="{00000000-0006-0000-0B00-000091020000}">
      <text>
        <r>
          <rPr>
            <b/>
            <sz val="10"/>
            <color indexed="81"/>
            <rFont val="Tahoma"/>
            <family val="2"/>
          </rPr>
          <t>Data Entry Cell, Market Study Cost</t>
        </r>
      </text>
    </comment>
    <comment ref="J39" authorId="1" shapeId="0" xr:uid="{00000000-0006-0000-0B00-000092020000}">
      <text>
        <r>
          <rPr>
            <b/>
            <sz val="10"/>
            <color indexed="81"/>
            <rFont val="Tahoma"/>
            <family val="2"/>
          </rPr>
          <t>Data Entry Cell, Market Study Cost</t>
        </r>
      </text>
    </comment>
    <comment ref="K39" authorId="1" shapeId="0" xr:uid="{00000000-0006-0000-0B00-000093020000}">
      <text>
        <r>
          <rPr>
            <b/>
            <sz val="10"/>
            <color indexed="81"/>
            <rFont val="Tahoma"/>
            <family val="2"/>
          </rPr>
          <t>Data Entry Cell, Market Study Cost</t>
        </r>
      </text>
    </comment>
    <comment ref="L39" authorId="1" shapeId="0" xr:uid="{00000000-0006-0000-0B00-000094020000}">
      <text>
        <r>
          <rPr>
            <b/>
            <sz val="10"/>
            <color indexed="81"/>
            <rFont val="Tahoma"/>
            <family val="2"/>
          </rPr>
          <t>Data Entry Cell, Market Study Cost</t>
        </r>
      </text>
    </comment>
    <comment ref="M39" authorId="1" shapeId="0" xr:uid="{00000000-0006-0000-0B00-000095020000}">
      <text>
        <r>
          <rPr>
            <b/>
            <sz val="10"/>
            <color indexed="81"/>
            <rFont val="Tahoma"/>
            <family val="2"/>
          </rPr>
          <t>Data Entry Cell, Market Study Cost</t>
        </r>
      </text>
    </comment>
    <comment ref="N39" authorId="1" shapeId="0" xr:uid="{00000000-0006-0000-0B00-000096020000}">
      <text>
        <r>
          <rPr>
            <b/>
            <sz val="10"/>
            <color indexed="81"/>
            <rFont val="Tahoma"/>
            <family val="2"/>
          </rPr>
          <t>Data Entry Cell, Market Study Cost</t>
        </r>
      </text>
    </comment>
    <comment ref="O39" authorId="1" shapeId="0" xr:uid="{00000000-0006-0000-0B00-000097020000}">
      <text>
        <r>
          <rPr>
            <b/>
            <sz val="10"/>
            <color indexed="81"/>
            <rFont val="Tahoma"/>
            <family val="2"/>
          </rPr>
          <t>Data Entry Cell, Market Study Cost</t>
        </r>
      </text>
    </comment>
    <comment ref="P39" authorId="1" shapeId="0" xr:uid="{00000000-0006-0000-0B00-000098020000}">
      <text>
        <r>
          <rPr>
            <b/>
            <sz val="10"/>
            <color indexed="81"/>
            <rFont val="Tahoma"/>
            <family val="2"/>
          </rPr>
          <t>Data Entry Cell, Market Study Cost</t>
        </r>
      </text>
    </comment>
    <comment ref="Q39" authorId="1" shapeId="0" xr:uid="{00000000-0006-0000-0B00-000099020000}">
      <text>
        <r>
          <rPr>
            <b/>
            <sz val="10"/>
            <color indexed="81"/>
            <rFont val="Tahoma"/>
            <family val="2"/>
          </rPr>
          <t>Data Entry Cell, Market Study Cost</t>
        </r>
      </text>
    </comment>
    <comment ref="R39" authorId="1" shapeId="0" xr:uid="{00000000-0006-0000-0B00-00009A020000}">
      <text>
        <r>
          <rPr>
            <b/>
            <sz val="10"/>
            <color indexed="81"/>
            <rFont val="Tahoma"/>
            <family val="2"/>
          </rPr>
          <t>Data Entry Cell, Market Study Cost</t>
        </r>
      </text>
    </comment>
    <comment ref="S39" authorId="1" shapeId="0" xr:uid="{00000000-0006-0000-0B00-00009B020000}">
      <text>
        <r>
          <rPr>
            <b/>
            <sz val="10"/>
            <color indexed="81"/>
            <rFont val="Tahoma"/>
            <family val="2"/>
          </rPr>
          <t>Data Entry Cell, Market Study Cost</t>
        </r>
      </text>
    </comment>
    <comment ref="T39" authorId="1" shapeId="0" xr:uid="{00000000-0006-0000-0B00-00009C020000}">
      <text>
        <r>
          <rPr>
            <b/>
            <sz val="10"/>
            <color indexed="81"/>
            <rFont val="Tahoma"/>
            <family val="2"/>
          </rPr>
          <t>Data Entry Cell, Market Study Cost</t>
        </r>
      </text>
    </comment>
    <comment ref="U39" authorId="1" shapeId="0" xr:uid="{00000000-0006-0000-0B00-00009D020000}">
      <text>
        <r>
          <rPr>
            <b/>
            <sz val="10"/>
            <color indexed="81"/>
            <rFont val="Tahoma"/>
            <family val="2"/>
          </rPr>
          <t>Data Entry Cell, Market Study Cost</t>
        </r>
      </text>
    </comment>
    <comment ref="V39" authorId="1" shapeId="0" xr:uid="{00000000-0006-0000-0B00-00009E020000}">
      <text>
        <r>
          <rPr>
            <b/>
            <sz val="10"/>
            <color indexed="81"/>
            <rFont val="Tahoma"/>
            <family val="2"/>
          </rPr>
          <t>Data Entry Cell, Market Study Cost</t>
        </r>
      </text>
    </comment>
    <comment ref="W39" authorId="1" shapeId="0" xr:uid="{00000000-0006-0000-0B00-00009F020000}">
      <text>
        <r>
          <rPr>
            <b/>
            <sz val="10"/>
            <color indexed="81"/>
            <rFont val="Tahoma"/>
            <family val="2"/>
          </rPr>
          <t>Data Entry Cell, Market Study Cost</t>
        </r>
      </text>
    </comment>
    <comment ref="X39" authorId="1" shapeId="0" xr:uid="{00000000-0006-0000-0B00-0000A0020000}">
      <text>
        <r>
          <rPr>
            <b/>
            <sz val="10"/>
            <color indexed="81"/>
            <rFont val="Tahoma"/>
            <family val="2"/>
          </rPr>
          <t>Data Entry Cell, Market Study Cost</t>
        </r>
      </text>
    </comment>
    <comment ref="Y39" authorId="1" shapeId="0" xr:uid="{00000000-0006-0000-0B00-0000A1020000}">
      <text>
        <r>
          <rPr>
            <b/>
            <sz val="10"/>
            <color indexed="81"/>
            <rFont val="Tahoma"/>
            <family val="2"/>
          </rPr>
          <t>Data Entry Cell, Market Study Cost</t>
        </r>
      </text>
    </comment>
    <comment ref="Z39" authorId="1" shapeId="0" xr:uid="{00000000-0006-0000-0B00-0000A2020000}">
      <text>
        <r>
          <rPr>
            <b/>
            <sz val="10"/>
            <color indexed="81"/>
            <rFont val="Tahoma"/>
            <family val="2"/>
          </rPr>
          <t>Data Entry Cell, Market Study Cost</t>
        </r>
      </text>
    </comment>
    <comment ref="AA39" authorId="1" shapeId="0" xr:uid="{00000000-0006-0000-0B00-0000A3020000}">
      <text>
        <r>
          <rPr>
            <b/>
            <sz val="10"/>
            <color indexed="81"/>
            <rFont val="Tahoma"/>
            <family val="2"/>
          </rPr>
          <t>Data Entry Cell, Market Study Cost</t>
        </r>
      </text>
    </comment>
    <comment ref="AB39" authorId="1" shapeId="0" xr:uid="{00000000-0006-0000-0B00-0000A4020000}">
      <text>
        <r>
          <rPr>
            <b/>
            <sz val="10"/>
            <color indexed="81"/>
            <rFont val="Tahoma"/>
            <family val="2"/>
          </rPr>
          <t>Data Entry Cell, Market Study Cost</t>
        </r>
      </text>
    </comment>
    <comment ref="AC39" authorId="1" shapeId="0" xr:uid="{00000000-0006-0000-0B00-0000A5020000}">
      <text>
        <r>
          <rPr>
            <b/>
            <sz val="10"/>
            <color indexed="81"/>
            <rFont val="Tahoma"/>
            <family val="2"/>
          </rPr>
          <t>Data Entry Cell, Market Study Cost</t>
        </r>
      </text>
    </comment>
    <comment ref="E40" authorId="1" shapeId="0" xr:uid="{00000000-0006-0000-0B00-0000A6020000}">
      <text>
        <r>
          <rPr>
            <b/>
            <sz val="10"/>
            <color indexed="81"/>
            <rFont val="Tahoma"/>
            <family val="2"/>
          </rPr>
          <t>Data Entry Cell, Survey Cost</t>
        </r>
      </text>
    </comment>
    <comment ref="F40" authorId="1" shapeId="0" xr:uid="{00000000-0006-0000-0B00-0000A7020000}">
      <text>
        <r>
          <rPr>
            <b/>
            <sz val="10"/>
            <color indexed="81"/>
            <rFont val="Tahoma"/>
            <family val="2"/>
          </rPr>
          <t>Data Entry Cell, Survey Cost</t>
        </r>
      </text>
    </comment>
    <comment ref="G40" authorId="1" shapeId="0" xr:uid="{00000000-0006-0000-0B00-0000A8020000}">
      <text>
        <r>
          <rPr>
            <b/>
            <sz val="10"/>
            <color indexed="81"/>
            <rFont val="Tahoma"/>
            <family val="2"/>
          </rPr>
          <t>Data Entry Cell, Survey Cost</t>
        </r>
      </text>
    </comment>
    <comment ref="H40" authorId="1" shapeId="0" xr:uid="{00000000-0006-0000-0B00-0000A9020000}">
      <text>
        <r>
          <rPr>
            <b/>
            <sz val="10"/>
            <color indexed="81"/>
            <rFont val="Tahoma"/>
            <family val="2"/>
          </rPr>
          <t>Data Entry Cell, Survey Cost</t>
        </r>
      </text>
    </comment>
    <comment ref="I40" authorId="1" shapeId="0" xr:uid="{00000000-0006-0000-0B00-0000AA020000}">
      <text>
        <r>
          <rPr>
            <b/>
            <sz val="10"/>
            <color indexed="81"/>
            <rFont val="Tahoma"/>
            <family val="2"/>
          </rPr>
          <t>Data Entry Cell, Survey Cost</t>
        </r>
      </text>
    </comment>
    <comment ref="J40" authorId="1" shapeId="0" xr:uid="{00000000-0006-0000-0B00-0000AB020000}">
      <text>
        <r>
          <rPr>
            <b/>
            <sz val="10"/>
            <color indexed="81"/>
            <rFont val="Tahoma"/>
            <family val="2"/>
          </rPr>
          <t>Data Entry Cell, Survey Cost</t>
        </r>
      </text>
    </comment>
    <comment ref="K40" authorId="1" shapeId="0" xr:uid="{00000000-0006-0000-0B00-0000AC020000}">
      <text>
        <r>
          <rPr>
            <b/>
            <sz val="10"/>
            <color indexed="81"/>
            <rFont val="Tahoma"/>
            <family val="2"/>
          </rPr>
          <t>Data Entry Cell, Survey Cost</t>
        </r>
      </text>
    </comment>
    <comment ref="L40" authorId="1" shapeId="0" xr:uid="{00000000-0006-0000-0B00-0000AD020000}">
      <text>
        <r>
          <rPr>
            <b/>
            <sz val="10"/>
            <color indexed="81"/>
            <rFont val="Tahoma"/>
            <family val="2"/>
          </rPr>
          <t>Data Entry Cell, Survey Cost</t>
        </r>
      </text>
    </comment>
    <comment ref="M40" authorId="1" shapeId="0" xr:uid="{00000000-0006-0000-0B00-0000AE020000}">
      <text>
        <r>
          <rPr>
            <b/>
            <sz val="10"/>
            <color indexed="81"/>
            <rFont val="Tahoma"/>
            <family val="2"/>
          </rPr>
          <t>Data Entry Cell, Survey Cost</t>
        </r>
      </text>
    </comment>
    <comment ref="N40" authorId="1" shapeId="0" xr:uid="{00000000-0006-0000-0B00-0000AF020000}">
      <text>
        <r>
          <rPr>
            <b/>
            <sz val="10"/>
            <color indexed="81"/>
            <rFont val="Tahoma"/>
            <family val="2"/>
          </rPr>
          <t>Data Entry Cell, Survey Cost</t>
        </r>
      </text>
    </comment>
    <comment ref="O40" authorId="1" shapeId="0" xr:uid="{00000000-0006-0000-0B00-0000B0020000}">
      <text>
        <r>
          <rPr>
            <b/>
            <sz val="10"/>
            <color indexed="81"/>
            <rFont val="Tahoma"/>
            <family val="2"/>
          </rPr>
          <t>Data Entry Cell, Survey Cost</t>
        </r>
      </text>
    </comment>
    <comment ref="P40" authorId="1" shapeId="0" xr:uid="{00000000-0006-0000-0B00-0000B1020000}">
      <text>
        <r>
          <rPr>
            <b/>
            <sz val="10"/>
            <color indexed="81"/>
            <rFont val="Tahoma"/>
            <family val="2"/>
          </rPr>
          <t>Data Entry Cell, Survey Cost</t>
        </r>
      </text>
    </comment>
    <comment ref="Q40" authorId="1" shapeId="0" xr:uid="{00000000-0006-0000-0B00-0000B2020000}">
      <text>
        <r>
          <rPr>
            <b/>
            <sz val="10"/>
            <color indexed="81"/>
            <rFont val="Tahoma"/>
            <family val="2"/>
          </rPr>
          <t>Data Entry Cell, Survey Cost</t>
        </r>
      </text>
    </comment>
    <comment ref="R40" authorId="1" shapeId="0" xr:uid="{00000000-0006-0000-0B00-0000B3020000}">
      <text>
        <r>
          <rPr>
            <b/>
            <sz val="10"/>
            <color indexed="81"/>
            <rFont val="Tahoma"/>
            <family val="2"/>
          </rPr>
          <t>Data Entry Cell, Survey Cost</t>
        </r>
      </text>
    </comment>
    <comment ref="S40" authorId="1" shapeId="0" xr:uid="{00000000-0006-0000-0B00-0000B4020000}">
      <text>
        <r>
          <rPr>
            <b/>
            <sz val="10"/>
            <color indexed="81"/>
            <rFont val="Tahoma"/>
            <family val="2"/>
          </rPr>
          <t>Data Entry Cell, Survey Cost</t>
        </r>
      </text>
    </comment>
    <comment ref="T40" authorId="1" shapeId="0" xr:uid="{00000000-0006-0000-0B00-0000B5020000}">
      <text>
        <r>
          <rPr>
            <b/>
            <sz val="10"/>
            <color indexed="81"/>
            <rFont val="Tahoma"/>
            <family val="2"/>
          </rPr>
          <t>Data Entry Cell, Survey Cost</t>
        </r>
      </text>
    </comment>
    <comment ref="U40" authorId="1" shapeId="0" xr:uid="{00000000-0006-0000-0B00-0000B6020000}">
      <text>
        <r>
          <rPr>
            <b/>
            <sz val="10"/>
            <color indexed="81"/>
            <rFont val="Tahoma"/>
            <family val="2"/>
          </rPr>
          <t>Data Entry Cell, Survey Cost</t>
        </r>
      </text>
    </comment>
    <comment ref="V40" authorId="1" shapeId="0" xr:uid="{00000000-0006-0000-0B00-0000B7020000}">
      <text>
        <r>
          <rPr>
            <b/>
            <sz val="10"/>
            <color indexed="81"/>
            <rFont val="Tahoma"/>
            <family val="2"/>
          </rPr>
          <t>Data Entry Cell, Survey Cost</t>
        </r>
      </text>
    </comment>
    <comment ref="W40" authorId="1" shapeId="0" xr:uid="{00000000-0006-0000-0B00-0000B8020000}">
      <text>
        <r>
          <rPr>
            <b/>
            <sz val="10"/>
            <color indexed="81"/>
            <rFont val="Tahoma"/>
            <family val="2"/>
          </rPr>
          <t>Data Entry Cell, Survey Cost</t>
        </r>
      </text>
    </comment>
    <comment ref="X40" authorId="1" shapeId="0" xr:uid="{00000000-0006-0000-0B00-0000B9020000}">
      <text>
        <r>
          <rPr>
            <b/>
            <sz val="10"/>
            <color indexed="81"/>
            <rFont val="Tahoma"/>
            <family val="2"/>
          </rPr>
          <t>Data Entry Cell, Survey Cost</t>
        </r>
      </text>
    </comment>
    <comment ref="Y40" authorId="1" shapeId="0" xr:uid="{00000000-0006-0000-0B00-0000BA020000}">
      <text>
        <r>
          <rPr>
            <b/>
            <sz val="10"/>
            <color indexed="81"/>
            <rFont val="Tahoma"/>
            <family val="2"/>
          </rPr>
          <t>Data Entry Cell, Survey Cost</t>
        </r>
      </text>
    </comment>
    <comment ref="Z40" authorId="1" shapeId="0" xr:uid="{00000000-0006-0000-0B00-0000BB020000}">
      <text>
        <r>
          <rPr>
            <b/>
            <sz val="10"/>
            <color indexed="81"/>
            <rFont val="Tahoma"/>
            <family val="2"/>
          </rPr>
          <t>Data Entry Cell, Survey Cost</t>
        </r>
      </text>
    </comment>
    <comment ref="AA40" authorId="1" shapeId="0" xr:uid="{00000000-0006-0000-0B00-0000BC020000}">
      <text>
        <r>
          <rPr>
            <b/>
            <sz val="10"/>
            <color indexed="81"/>
            <rFont val="Tahoma"/>
            <family val="2"/>
          </rPr>
          <t>Data Entry Cell, Survey Cost</t>
        </r>
      </text>
    </comment>
    <comment ref="AB40" authorId="1" shapeId="0" xr:uid="{00000000-0006-0000-0B00-0000BD020000}">
      <text>
        <r>
          <rPr>
            <b/>
            <sz val="10"/>
            <color indexed="81"/>
            <rFont val="Tahoma"/>
            <family val="2"/>
          </rPr>
          <t>Data Entry Cell, Survey Cost</t>
        </r>
      </text>
    </comment>
    <comment ref="AC40" authorId="1" shapeId="0" xr:uid="{00000000-0006-0000-0B00-0000BE020000}">
      <text>
        <r>
          <rPr>
            <b/>
            <sz val="10"/>
            <color indexed="81"/>
            <rFont val="Tahoma"/>
            <family val="2"/>
          </rPr>
          <t>Data Entry Cell, Survey Cost</t>
        </r>
      </text>
    </comment>
    <comment ref="E41" authorId="1" shapeId="0" xr:uid="{00000000-0006-0000-0B00-0000BF020000}">
      <text>
        <r>
          <rPr>
            <b/>
            <sz val="10"/>
            <color indexed="81"/>
            <rFont val="Tahoma"/>
            <family val="2"/>
          </rPr>
          <t>Data Entry Cell, Appraisal Cost</t>
        </r>
      </text>
    </comment>
    <comment ref="F41" authorId="1" shapeId="0" xr:uid="{00000000-0006-0000-0B00-0000C0020000}">
      <text>
        <r>
          <rPr>
            <b/>
            <sz val="10"/>
            <color indexed="81"/>
            <rFont val="Tahoma"/>
            <family val="2"/>
          </rPr>
          <t>Data Entry Cell, Appraisal Cost</t>
        </r>
      </text>
    </comment>
    <comment ref="G41" authorId="1" shapeId="0" xr:uid="{00000000-0006-0000-0B00-0000C1020000}">
      <text>
        <r>
          <rPr>
            <b/>
            <sz val="10"/>
            <color indexed="81"/>
            <rFont val="Tahoma"/>
            <family val="2"/>
          </rPr>
          <t>Data Entry Cell, Appraisal Cost</t>
        </r>
      </text>
    </comment>
    <comment ref="H41" authorId="1" shapeId="0" xr:uid="{00000000-0006-0000-0B00-0000C2020000}">
      <text>
        <r>
          <rPr>
            <b/>
            <sz val="10"/>
            <color indexed="81"/>
            <rFont val="Tahoma"/>
            <family val="2"/>
          </rPr>
          <t>Data Entry Cell, Appraisal Cost</t>
        </r>
      </text>
    </comment>
    <comment ref="I41" authorId="1" shapeId="0" xr:uid="{00000000-0006-0000-0B00-0000C3020000}">
      <text>
        <r>
          <rPr>
            <b/>
            <sz val="10"/>
            <color indexed="81"/>
            <rFont val="Tahoma"/>
            <family val="2"/>
          </rPr>
          <t>Data Entry Cell, Appraisal Cost</t>
        </r>
      </text>
    </comment>
    <comment ref="J41" authorId="1" shapeId="0" xr:uid="{00000000-0006-0000-0B00-0000C4020000}">
      <text>
        <r>
          <rPr>
            <b/>
            <sz val="10"/>
            <color indexed="81"/>
            <rFont val="Tahoma"/>
            <family val="2"/>
          </rPr>
          <t>Data Entry Cell, Appraisal Cost</t>
        </r>
      </text>
    </comment>
    <comment ref="K41" authorId="1" shapeId="0" xr:uid="{00000000-0006-0000-0B00-0000C5020000}">
      <text>
        <r>
          <rPr>
            <b/>
            <sz val="10"/>
            <color indexed="81"/>
            <rFont val="Tahoma"/>
            <family val="2"/>
          </rPr>
          <t>Data Entry Cell, Appraisal Cost</t>
        </r>
      </text>
    </comment>
    <comment ref="L41" authorId="1" shapeId="0" xr:uid="{00000000-0006-0000-0B00-0000C6020000}">
      <text>
        <r>
          <rPr>
            <b/>
            <sz val="10"/>
            <color indexed="81"/>
            <rFont val="Tahoma"/>
            <family val="2"/>
          </rPr>
          <t>Data Entry Cell, Appraisal Cost</t>
        </r>
      </text>
    </comment>
    <comment ref="M41" authorId="1" shapeId="0" xr:uid="{00000000-0006-0000-0B00-0000C7020000}">
      <text>
        <r>
          <rPr>
            <b/>
            <sz val="10"/>
            <color indexed="81"/>
            <rFont val="Tahoma"/>
            <family val="2"/>
          </rPr>
          <t>Data Entry Cell, Appraisal Cost</t>
        </r>
      </text>
    </comment>
    <comment ref="N41" authorId="1" shapeId="0" xr:uid="{00000000-0006-0000-0B00-0000C8020000}">
      <text>
        <r>
          <rPr>
            <b/>
            <sz val="10"/>
            <color indexed="81"/>
            <rFont val="Tahoma"/>
            <family val="2"/>
          </rPr>
          <t>Data Entry Cell, Appraisal Cost</t>
        </r>
      </text>
    </comment>
    <comment ref="O41" authorId="1" shapeId="0" xr:uid="{00000000-0006-0000-0B00-0000C9020000}">
      <text>
        <r>
          <rPr>
            <b/>
            <sz val="10"/>
            <color indexed="81"/>
            <rFont val="Tahoma"/>
            <family val="2"/>
          </rPr>
          <t>Data Entry Cell, Appraisal Cost</t>
        </r>
      </text>
    </comment>
    <comment ref="P41" authorId="1" shapeId="0" xr:uid="{00000000-0006-0000-0B00-0000CA020000}">
      <text>
        <r>
          <rPr>
            <b/>
            <sz val="10"/>
            <color indexed="81"/>
            <rFont val="Tahoma"/>
            <family val="2"/>
          </rPr>
          <t>Data Entry Cell, Appraisal Cost</t>
        </r>
      </text>
    </comment>
    <comment ref="Q41" authorId="1" shapeId="0" xr:uid="{00000000-0006-0000-0B00-0000CB020000}">
      <text>
        <r>
          <rPr>
            <b/>
            <sz val="10"/>
            <color indexed="81"/>
            <rFont val="Tahoma"/>
            <family val="2"/>
          </rPr>
          <t>Data Entry Cell, Appraisal Cost</t>
        </r>
      </text>
    </comment>
    <comment ref="R41" authorId="1" shapeId="0" xr:uid="{00000000-0006-0000-0B00-0000CC020000}">
      <text>
        <r>
          <rPr>
            <b/>
            <sz val="10"/>
            <color indexed="81"/>
            <rFont val="Tahoma"/>
            <family val="2"/>
          </rPr>
          <t>Data Entry Cell, Appraisal Cost</t>
        </r>
      </text>
    </comment>
    <comment ref="S41" authorId="1" shapeId="0" xr:uid="{00000000-0006-0000-0B00-0000CD020000}">
      <text>
        <r>
          <rPr>
            <b/>
            <sz val="10"/>
            <color indexed="81"/>
            <rFont val="Tahoma"/>
            <family val="2"/>
          </rPr>
          <t>Data Entry Cell, Appraisal Cost</t>
        </r>
      </text>
    </comment>
    <comment ref="T41" authorId="1" shapeId="0" xr:uid="{00000000-0006-0000-0B00-0000CE020000}">
      <text>
        <r>
          <rPr>
            <b/>
            <sz val="10"/>
            <color indexed="81"/>
            <rFont val="Tahoma"/>
            <family val="2"/>
          </rPr>
          <t>Data Entry Cell, Appraisal Cost</t>
        </r>
      </text>
    </comment>
    <comment ref="U41" authorId="1" shapeId="0" xr:uid="{00000000-0006-0000-0B00-0000CF020000}">
      <text>
        <r>
          <rPr>
            <b/>
            <sz val="10"/>
            <color indexed="81"/>
            <rFont val="Tahoma"/>
            <family val="2"/>
          </rPr>
          <t>Data Entry Cell, Appraisal Cost</t>
        </r>
      </text>
    </comment>
    <comment ref="V41" authorId="1" shapeId="0" xr:uid="{00000000-0006-0000-0B00-0000D0020000}">
      <text>
        <r>
          <rPr>
            <b/>
            <sz val="10"/>
            <color indexed="81"/>
            <rFont val="Tahoma"/>
            <family val="2"/>
          </rPr>
          <t>Data Entry Cell, Appraisal Cost</t>
        </r>
      </text>
    </comment>
    <comment ref="W41" authorId="1" shapeId="0" xr:uid="{00000000-0006-0000-0B00-0000D1020000}">
      <text>
        <r>
          <rPr>
            <b/>
            <sz val="10"/>
            <color indexed="81"/>
            <rFont val="Tahoma"/>
            <family val="2"/>
          </rPr>
          <t>Data Entry Cell, Appraisal Cost</t>
        </r>
      </text>
    </comment>
    <comment ref="X41" authorId="1" shapeId="0" xr:uid="{00000000-0006-0000-0B00-0000D2020000}">
      <text>
        <r>
          <rPr>
            <b/>
            <sz val="10"/>
            <color indexed="81"/>
            <rFont val="Tahoma"/>
            <family val="2"/>
          </rPr>
          <t>Data Entry Cell, Appraisal Cost</t>
        </r>
      </text>
    </comment>
    <comment ref="Y41" authorId="1" shapeId="0" xr:uid="{00000000-0006-0000-0B00-0000D3020000}">
      <text>
        <r>
          <rPr>
            <b/>
            <sz val="10"/>
            <color indexed="81"/>
            <rFont val="Tahoma"/>
            <family val="2"/>
          </rPr>
          <t>Data Entry Cell, Appraisal Cost</t>
        </r>
      </text>
    </comment>
    <comment ref="Z41" authorId="1" shapeId="0" xr:uid="{00000000-0006-0000-0B00-0000D4020000}">
      <text>
        <r>
          <rPr>
            <b/>
            <sz val="10"/>
            <color indexed="81"/>
            <rFont val="Tahoma"/>
            <family val="2"/>
          </rPr>
          <t>Data Entry Cell, Appraisal Cost</t>
        </r>
      </text>
    </comment>
    <comment ref="AA41" authorId="1" shapeId="0" xr:uid="{00000000-0006-0000-0B00-0000D5020000}">
      <text>
        <r>
          <rPr>
            <b/>
            <sz val="10"/>
            <color indexed="81"/>
            <rFont val="Tahoma"/>
            <family val="2"/>
          </rPr>
          <t>Data Entry Cell, Appraisal Cost</t>
        </r>
      </text>
    </comment>
    <comment ref="AB41" authorId="1" shapeId="0" xr:uid="{00000000-0006-0000-0B00-0000D6020000}">
      <text>
        <r>
          <rPr>
            <b/>
            <sz val="10"/>
            <color indexed="81"/>
            <rFont val="Tahoma"/>
            <family val="2"/>
          </rPr>
          <t>Data Entry Cell, Appraisal Cost</t>
        </r>
      </text>
    </comment>
    <comment ref="AC41" authorId="1" shapeId="0" xr:uid="{00000000-0006-0000-0B00-0000D7020000}">
      <text>
        <r>
          <rPr>
            <b/>
            <sz val="10"/>
            <color indexed="81"/>
            <rFont val="Tahoma"/>
            <family val="2"/>
          </rPr>
          <t>Data Entry Cell, Appraisal Cost</t>
        </r>
      </text>
    </comment>
    <comment ref="E42" authorId="1" shapeId="0" xr:uid="{00000000-0006-0000-0B00-0000D8020000}">
      <text>
        <r>
          <rPr>
            <b/>
            <sz val="10"/>
            <color indexed="81"/>
            <rFont val="Tahoma"/>
            <family val="2"/>
          </rPr>
          <t>Data Entry Cell, Soil Boring/
Environmental Survey Cost</t>
        </r>
      </text>
    </comment>
    <comment ref="F42" authorId="1" shapeId="0" xr:uid="{00000000-0006-0000-0B00-0000D9020000}">
      <text>
        <r>
          <rPr>
            <b/>
            <sz val="10"/>
            <color indexed="81"/>
            <rFont val="Tahoma"/>
            <family val="2"/>
          </rPr>
          <t>Data Entry Cell, Soil Boring/
Environmental Survey Cost</t>
        </r>
      </text>
    </comment>
    <comment ref="G42" authorId="1" shapeId="0" xr:uid="{00000000-0006-0000-0B00-0000DA020000}">
      <text>
        <r>
          <rPr>
            <b/>
            <sz val="10"/>
            <color indexed="81"/>
            <rFont val="Tahoma"/>
            <family val="2"/>
          </rPr>
          <t>Data Entry Cell, Soil Boring/
Environmental Survey Cost</t>
        </r>
      </text>
    </comment>
    <comment ref="H42" authorId="1" shapeId="0" xr:uid="{00000000-0006-0000-0B00-0000DB020000}">
      <text>
        <r>
          <rPr>
            <b/>
            <sz val="10"/>
            <color indexed="81"/>
            <rFont val="Tahoma"/>
            <family val="2"/>
          </rPr>
          <t>Data Entry Cell, Soil Boring/
Environmental Survey Cost</t>
        </r>
      </text>
    </comment>
    <comment ref="I42" authorId="1" shapeId="0" xr:uid="{00000000-0006-0000-0B00-0000DC020000}">
      <text>
        <r>
          <rPr>
            <b/>
            <sz val="10"/>
            <color indexed="81"/>
            <rFont val="Tahoma"/>
            <family val="2"/>
          </rPr>
          <t>Data Entry Cell, Soil Boring/
Environmental Survey Cost</t>
        </r>
      </text>
    </comment>
    <comment ref="J42" authorId="1" shapeId="0" xr:uid="{00000000-0006-0000-0B00-0000DD020000}">
      <text>
        <r>
          <rPr>
            <b/>
            <sz val="10"/>
            <color indexed="81"/>
            <rFont val="Tahoma"/>
            <family val="2"/>
          </rPr>
          <t>Data Entry Cell, Soil Boring/
Environmental Survey Cost</t>
        </r>
      </text>
    </comment>
    <comment ref="K42" authorId="1" shapeId="0" xr:uid="{00000000-0006-0000-0B00-0000DE020000}">
      <text>
        <r>
          <rPr>
            <b/>
            <sz val="10"/>
            <color indexed="81"/>
            <rFont val="Tahoma"/>
            <family val="2"/>
          </rPr>
          <t>Data Entry Cell, Soil Boring/
Environmental Survey Cost</t>
        </r>
      </text>
    </comment>
    <comment ref="L42" authorId="1" shapeId="0" xr:uid="{00000000-0006-0000-0B00-0000DF020000}">
      <text>
        <r>
          <rPr>
            <b/>
            <sz val="10"/>
            <color indexed="81"/>
            <rFont val="Tahoma"/>
            <family val="2"/>
          </rPr>
          <t>Data Entry Cell, Soil Boring/
Environmental Survey Cost</t>
        </r>
      </text>
    </comment>
    <comment ref="M42" authorId="1" shapeId="0" xr:uid="{00000000-0006-0000-0B00-0000E0020000}">
      <text>
        <r>
          <rPr>
            <b/>
            <sz val="10"/>
            <color indexed="81"/>
            <rFont val="Tahoma"/>
            <family val="2"/>
          </rPr>
          <t>Data Entry Cell, Soil Boring/
Environmental Survey Cost</t>
        </r>
      </text>
    </comment>
    <comment ref="N42" authorId="1" shapeId="0" xr:uid="{00000000-0006-0000-0B00-0000E1020000}">
      <text>
        <r>
          <rPr>
            <b/>
            <sz val="10"/>
            <color indexed="81"/>
            <rFont val="Tahoma"/>
            <family val="2"/>
          </rPr>
          <t>Data Entry Cell, Soil Boring/
Environmental Survey Cost</t>
        </r>
      </text>
    </comment>
    <comment ref="O42" authorId="1" shapeId="0" xr:uid="{00000000-0006-0000-0B00-0000E2020000}">
      <text>
        <r>
          <rPr>
            <b/>
            <sz val="10"/>
            <color indexed="81"/>
            <rFont val="Tahoma"/>
            <family val="2"/>
          </rPr>
          <t>Data Entry Cell, Soil Boring/
Environmental Survey Cost</t>
        </r>
      </text>
    </comment>
    <comment ref="P42" authorId="1" shapeId="0" xr:uid="{00000000-0006-0000-0B00-0000E3020000}">
      <text>
        <r>
          <rPr>
            <b/>
            <sz val="10"/>
            <color indexed="81"/>
            <rFont val="Tahoma"/>
            <family val="2"/>
          </rPr>
          <t>Data Entry Cell, Soil Boring/
Environmental Survey Cost</t>
        </r>
      </text>
    </comment>
    <comment ref="Q42" authorId="1" shapeId="0" xr:uid="{00000000-0006-0000-0B00-0000E4020000}">
      <text>
        <r>
          <rPr>
            <b/>
            <sz val="10"/>
            <color indexed="81"/>
            <rFont val="Tahoma"/>
            <family val="2"/>
          </rPr>
          <t>Data Entry Cell, Soil Boring/
Environmental Survey Cost</t>
        </r>
      </text>
    </comment>
    <comment ref="R42" authorId="1" shapeId="0" xr:uid="{00000000-0006-0000-0B00-0000E5020000}">
      <text>
        <r>
          <rPr>
            <b/>
            <sz val="10"/>
            <color indexed="81"/>
            <rFont val="Tahoma"/>
            <family val="2"/>
          </rPr>
          <t>Data Entry Cell, Soil Boring/
Environmental Survey Cost</t>
        </r>
      </text>
    </comment>
    <comment ref="S42" authorId="1" shapeId="0" xr:uid="{00000000-0006-0000-0B00-0000E6020000}">
      <text>
        <r>
          <rPr>
            <b/>
            <sz val="10"/>
            <color indexed="81"/>
            <rFont val="Tahoma"/>
            <family val="2"/>
          </rPr>
          <t>Data Entry Cell, Soil Boring/
Environmental Survey Cost</t>
        </r>
      </text>
    </comment>
    <comment ref="T42" authorId="1" shapeId="0" xr:uid="{00000000-0006-0000-0B00-0000E7020000}">
      <text>
        <r>
          <rPr>
            <b/>
            <sz val="10"/>
            <color indexed="81"/>
            <rFont val="Tahoma"/>
            <family val="2"/>
          </rPr>
          <t>Data Entry Cell, Soil Boring/
Environmental Survey Cost</t>
        </r>
      </text>
    </comment>
    <comment ref="U42" authorId="1" shapeId="0" xr:uid="{00000000-0006-0000-0B00-0000E8020000}">
      <text>
        <r>
          <rPr>
            <b/>
            <sz val="10"/>
            <color indexed="81"/>
            <rFont val="Tahoma"/>
            <family val="2"/>
          </rPr>
          <t>Data Entry Cell, Soil Boring/
Environmental Survey Cost</t>
        </r>
      </text>
    </comment>
    <comment ref="V42" authorId="1" shapeId="0" xr:uid="{00000000-0006-0000-0B00-0000E9020000}">
      <text>
        <r>
          <rPr>
            <b/>
            <sz val="10"/>
            <color indexed="81"/>
            <rFont val="Tahoma"/>
            <family val="2"/>
          </rPr>
          <t>Data Entry Cell, Soil Boring/
Environmental Survey Cost</t>
        </r>
      </text>
    </comment>
    <comment ref="W42" authorId="1" shapeId="0" xr:uid="{00000000-0006-0000-0B00-0000EA020000}">
      <text>
        <r>
          <rPr>
            <b/>
            <sz val="10"/>
            <color indexed="81"/>
            <rFont val="Tahoma"/>
            <family val="2"/>
          </rPr>
          <t>Data Entry Cell, Soil Boring/
Environmental Survey Cost</t>
        </r>
      </text>
    </comment>
    <comment ref="X42" authorId="1" shapeId="0" xr:uid="{00000000-0006-0000-0B00-0000EB020000}">
      <text>
        <r>
          <rPr>
            <b/>
            <sz val="10"/>
            <color indexed="81"/>
            <rFont val="Tahoma"/>
            <family val="2"/>
          </rPr>
          <t>Data Entry Cell, Soil Boring/
Environmental Survey Cost</t>
        </r>
      </text>
    </comment>
    <comment ref="Y42" authorId="1" shapeId="0" xr:uid="{00000000-0006-0000-0B00-0000EC020000}">
      <text>
        <r>
          <rPr>
            <b/>
            <sz val="10"/>
            <color indexed="81"/>
            <rFont val="Tahoma"/>
            <family val="2"/>
          </rPr>
          <t>Data Entry Cell, Soil Boring/
Environmental Survey Cost</t>
        </r>
      </text>
    </comment>
    <comment ref="Z42" authorId="1" shapeId="0" xr:uid="{00000000-0006-0000-0B00-0000ED020000}">
      <text>
        <r>
          <rPr>
            <b/>
            <sz val="10"/>
            <color indexed="81"/>
            <rFont val="Tahoma"/>
            <family val="2"/>
          </rPr>
          <t>Data Entry Cell, Soil Boring/
Environmental Survey Cost</t>
        </r>
      </text>
    </comment>
    <comment ref="AA42" authorId="1" shapeId="0" xr:uid="{00000000-0006-0000-0B00-0000EE020000}">
      <text>
        <r>
          <rPr>
            <b/>
            <sz val="10"/>
            <color indexed="81"/>
            <rFont val="Tahoma"/>
            <family val="2"/>
          </rPr>
          <t>Data Entry Cell, Soil Boring/
Environmental Survey Cost</t>
        </r>
      </text>
    </comment>
    <comment ref="AB42" authorId="1" shapeId="0" xr:uid="{00000000-0006-0000-0B00-0000EF020000}">
      <text>
        <r>
          <rPr>
            <b/>
            <sz val="10"/>
            <color indexed="81"/>
            <rFont val="Tahoma"/>
            <family val="2"/>
          </rPr>
          <t>Data Entry Cell, Soil Boring/
Environmental Survey Cost</t>
        </r>
      </text>
    </comment>
    <comment ref="AC42" authorId="1" shapeId="0" xr:uid="{00000000-0006-0000-0B00-0000F0020000}">
      <text>
        <r>
          <rPr>
            <b/>
            <sz val="10"/>
            <color indexed="81"/>
            <rFont val="Tahoma"/>
            <family val="2"/>
          </rPr>
          <t>Data Entry Cell, Soil Boring/
Environmental Survey Cost</t>
        </r>
      </text>
    </comment>
    <comment ref="E43" authorId="1" shapeId="0" xr:uid="{00000000-0006-0000-0B00-0000F1020000}">
      <text>
        <r>
          <rPr>
            <b/>
            <sz val="10"/>
            <color indexed="81"/>
            <rFont val="Tahoma"/>
            <family val="2"/>
          </rPr>
          <t>Data Entry Cell, Capital Needs Assessment Cost</t>
        </r>
      </text>
    </comment>
    <comment ref="F43" authorId="1" shapeId="0" xr:uid="{00000000-0006-0000-0B00-0000F2020000}">
      <text>
        <r>
          <rPr>
            <b/>
            <sz val="10"/>
            <color indexed="81"/>
            <rFont val="Tahoma"/>
            <family val="2"/>
          </rPr>
          <t>Data Entry Cell, Capital Needs Assessment Cost</t>
        </r>
      </text>
    </comment>
    <comment ref="G43" authorId="1" shapeId="0" xr:uid="{00000000-0006-0000-0B00-0000F3020000}">
      <text>
        <r>
          <rPr>
            <b/>
            <sz val="10"/>
            <color indexed="81"/>
            <rFont val="Tahoma"/>
            <family val="2"/>
          </rPr>
          <t>Data Entry Cell, Capital Needs Assessment Cost</t>
        </r>
      </text>
    </comment>
    <comment ref="H43" authorId="1" shapeId="0" xr:uid="{00000000-0006-0000-0B00-0000F4020000}">
      <text>
        <r>
          <rPr>
            <b/>
            <sz val="10"/>
            <color indexed="81"/>
            <rFont val="Tahoma"/>
            <family val="2"/>
          </rPr>
          <t>Data Entry Cell, Capital Needs Assessment Cost</t>
        </r>
      </text>
    </comment>
    <comment ref="I43" authorId="1" shapeId="0" xr:uid="{00000000-0006-0000-0B00-0000F5020000}">
      <text>
        <r>
          <rPr>
            <b/>
            <sz val="10"/>
            <color indexed="81"/>
            <rFont val="Tahoma"/>
            <family val="2"/>
          </rPr>
          <t>Data Entry Cell, Capital Needs Assessment Cost</t>
        </r>
      </text>
    </comment>
    <comment ref="J43" authorId="1" shapeId="0" xr:uid="{00000000-0006-0000-0B00-0000F6020000}">
      <text>
        <r>
          <rPr>
            <b/>
            <sz val="10"/>
            <color indexed="81"/>
            <rFont val="Tahoma"/>
            <family val="2"/>
          </rPr>
          <t>Data Entry Cell, Capital Needs Assessment Cost</t>
        </r>
      </text>
    </comment>
    <comment ref="K43" authorId="1" shapeId="0" xr:uid="{00000000-0006-0000-0B00-0000F7020000}">
      <text>
        <r>
          <rPr>
            <b/>
            <sz val="10"/>
            <color indexed="81"/>
            <rFont val="Tahoma"/>
            <family val="2"/>
          </rPr>
          <t>Data Entry Cell, Capital Needs Assessment Cost</t>
        </r>
      </text>
    </comment>
    <comment ref="L43" authorId="1" shapeId="0" xr:uid="{00000000-0006-0000-0B00-0000F8020000}">
      <text>
        <r>
          <rPr>
            <b/>
            <sz val="10"/>
            <color indexed="81"/>
            <rFont val="Tahoma"/>
            <family val="2"/>
          </rPr>
          <t>Data Entry Cell, Capital Needs Assessment Cost</t>
        </r>
      </text>
    </comment>
    <comment ref="M43" authorId="1" shapeId="0" xr:uid="{00000000-0006-0000-0B00-0000F9020000}">
      <text>
        <r>
          <rPr>
            <b/>
            <sz val="10"/>
            <color indexed="81"/>
            <rFont val="Tahoma"/>
            <family val="2"/>
          </rPr>
          <t>Data Entry Cell, Capital Needs Assessment Cost</t>
        </r>
      </text>
    </comment>
    <comment ref="N43" authorId="1" shapeId="0" xr:uid="{00000000-0006-0000-0B00-0000FA020000}">
      <text>
        <r>
          <rPr>
            <b/>
            <sz val="10"/>
            <color indexed="81"/>
            <rFont val="Tahoma"/>
            <family val="2"/>
          </rPr>
          <t>Data Entry Cell, Capital Needs Assessment Cost</t>
        </r>
      </text>
    </comment>
    <comment ref="O43" authorId="1" shapeId="0" xr:uid="{00000000-0006-0000-0B00-0000FB020000}">
      <text>
        <r>
          <rPr>
            <b/>
            <sz val="10"/>
            <color indexed="81"/>
            <rFont val="Tahoma"/>
            <family val="2"/>
          </rPr>
          <t>Data Entry Cell, Capital Needs Assessment Cost</t>
        </r>
      </text>
    </comment>
    <comment ref="P43" authorId="1" shapeId="0" xr:uid="{00000000-0006-0000-0B00-0000FC020000}">
      <text>
        <r>
          <rPr>
            <b/>
            <sz val="10"/>
            <color indexed="81"/>
            <rFont val="Tahoma"/>
            <family val="2"/>
          </rPr>
          <t>Data Entry Cell, Capital Needs Assessment Cost</t>
        </r>
      </text>
    </comment>
    <comment ref="Q43" authorId="1" shapeId="0" xr:uid="{00000000-0006-0000-0B00-0000FD020000}">
      <text>
        <r>
          <rPr>
            <b/>
            <sz val="10"/>
            <color indexed="81"/>
            <rFont val="Tahoma"/>
            <family val="2"/>
          </rPr>
          <t>Data Entry Cell, Capital Needs Assessment Cost</t>
        </r>
      </text>
    </comment>
    <comment ref="R43" authorId="1" shapeId="0" xr:uid="{00000000-0006-0000-0B00-0000FE020000}">
      <text>
        <r>
          <rPr>
            <b/>
            <sz val="10"/>
            <color indexed="81"/>
            <rFont val="Tahoma"/>
            <family val="2"/>
          </rPr>
          <t>Data Entry Cell, Capital Needs Assessment Cost</t>
        </r>
      </text>
    </comment>
    <comment ref="S43" authorId="1" shapeId="0" xr:uid="{00000000-0006-0000-0B00-0000FF020000}">
      <text>
        <r>
          <rPr>
            <b/>
            <sz val="10"/>
            <color indexed="81"/>
            <rFont val="Tahoma"/>
            <family val="2"/>
          </rPr>
          <t>Data Entry Cell, Capital Needs Assessment Cost</t>
        </r>
      </text>
    </comment>
    <comment ref="T43" authorId="1" shapeId="0" xr:uid="{00000000-0006-0000-0B00-000000030000}">
      <text>
        <r>
          <rPr>
            <b/>
            <sz val="10"/>
            <color indexed="81"/>
            <rFont val="Tahoma"/>
            <family val="2"/>
          </rPr>
          <t>Data Entry Cell, Capital Needs Assessment Cost</t>
        </r>
      </text>
    </comment>
    <comment ref="U43" authorId="1" shapeId="0" xr:uid="{00000000-0006-0000-0B00-000001030000}">
      <text>
        <r>
          <rPr>
            <b/>
            <sz val="10"/>
            <color indexed="81"/>
            <rFont val="Tahoma"/>
            <family val="2"/>
          </rPr>
          <t>Data Entry Cell, Capital Needs Assessment Cost</t>
        </r>
      </text>
    </comment>
    <comment ref="V43" authorId="1" shapeId="0" xr:uid="{00000000-0006-0000-0B00-000002030000}">
      <text>
        <r>
          <rPr>
            <b/>
            <sz val="10"/>
            <color indexed="81"/>
            <rFont val="Tahoma"/>
            <family val="2"/>
          </rPr>
          <t>Data Entry Cell, Capital Needs Assessment Cost</t>
        </r>
      </text>
    </comment>
    <comment ref="W43" authorId="1" shapeId="0" xr:uid="{00000000-0006-0000-0B00-000003030000}">
      <text>
        <r>
          <rPr>
            <b/>
            <sz val="10"/>
            <color indexed="81"/>
            <rFont val="Tahoma"/>
            <family val="2"/>
          </rPr>
          <t>Data Entry Cell, Capital Needs Assessment Cost</t>
        </r>
      </text>
    </comment>
    <comment ref="X43" authorId="1" shapeId="0" xr:uid="{00000000-0006-0000-0B00-000004030000}">
      <text>
        <r>
          <rPr>
            <b/>
            <sz val="10"/>
            <color indexed="81"/>
            <rFont val="Tahoma"/>
            <family val="2"/>
          </rPr>
          <t>Data Entry Cell, Capital Needs Assessment Cost</t>
        </r>
      </text>
    </comment>
    <comment ref="Y43" authorId="1" shapeId="0" xr:uid="{00000000-0006-0000-0B00-000005030000}">
      <text>
        <r>
          <rPr>
            <b/>
            <sz val="10"/>
            <color indexed="81"/>
            <rFont val="Tahoma"/>
            <family val="2"/>
          </rPr>
          <t>Data Entry Cell, Capital Needs Assessment Cost</t>
        </r>
      </text>
    </comment>
    <comment ref="Z43" authorId="1" shapeId="0" xr:uid="{00000000-0006-0000-0B00-000006030000}">
      <text>
        <r>
          <rPr>
            <b/>
            <sz val="10"/>
            <color indexed="81"/>
            <rFont val="Tahoma"/>
            <family val="2"/>
          </rPr>
          <t>Data Entry Cell, Capital Needs Assessment Cost</t>
        </r>
      </text>
    </comment>
    <comment ref="AA43" authorId="1" shapeId="0" xr:uid="{00000000-0006-0000-0B00-000007030000}">
      <text>
        <r>
          <rPr>
            <b/>
            <sz val="10"/>
            <color indexed="81"/>
            <rFont val="Tahoma"/>
            <family val="2"/>
          </rPr>
          <t>Data Entry Cell, Capital Needs Assessment Cost</t>
        </r>
      </text>
    </comment>
    <comment ref="AB43" authorId="1" shapeId="0" xr:uid="{00000000-0006-0000-0B00-000008030000}">
      <text>
        <r>
          <rPr>
            <b/>
            <sz val="10"/>
            <color indexed="81"/>
            <rFont val="Tahoma"/>
            <family val="2"/>
          </rPr>
          <t>Data Entry Cell, Capital Needs Assessment Cost</t>
        </r>
      </text>
    </comment>
    <comment ref="AC43" authorId="1" shapeId="0" xr:uid="{00000000-0006-0000-0B00-000009030000}">
      <text>
        <r>
          <rPr>
            <b/>
            <sz val="10"/>
            <color indexed="81"/>
            <rFont val="Tahoma"/>
            <family val="2"/>
          </rPr>
          <t>Data Entry Cell, Capital Needs Assessment Cost</t>
        </r>
      </text>
    </comment>
    <comment ref="E44" authorId="1" shapeId="0" xr:uid="{00000000-0006-0000-0B00-00000A030000}">
      <text>
        <r>
          <rPr>
            <b/>
            <sz val="10"/>
            <color indexed="81"/>
            <rFont val="Tahoma"/>
            <family val="2"/>
          </rPr>
          <t>Data Entry Cell, Other Third Party Reports Costs</t>
        </r>
      </text>
    </comment>
    <comment ref="F44" authorId="1" shapeId="0" xr:uid="{00000000-0006-0000-0B00-00000B030000}">
      <text>
        <r>
          <rPr>
            <b/>
            <sz val="10"/>
            <color indexed="81"/>
            <rFont val="Tahoma"/>
            <family val="2"/>
          </rPr>
          <t>Data Entry Cell, Other Third Party Reports Costs</t>
        </r>
      </text>
    </comment>
    <comment ref="G44" authorId="1" shapeId="0" xr:uid="{00000000-0006-0000-0B00-00000C030000}">
      <text>
        <r>
          <rPr>
            <b/>
            <sz val="10"/>
            <color indexed="81"/>
            <rFont val="Tahoma"/>
            <family val="2"/>
          </rPr>
          <t>Data Entry Cell, Other Third Party Reports Costs</t>
        </r>
      </text>
    </comment>
    <comment ref="H44" authorId="1" shapeId="0" xr:uid="{00000000-0006-0000-0B00-00000D030000}">
      <text>
        <r>
          <rPr>
            <b/>
            <sz val="10"/>
            <color indexed="81"/>
            <rFont val="Tahoma"/>
            <family val="2"/>
          </rPr>
          <t>Data Entry Cell, Other Third Party Reports Costs</t>
        </r>
      </text>
    </comment>
    <comment ref="I44" authorId="1" shapeId="0" xr:uid="{00000000-0006-0000-0B00-00000E030000}">
      <text>
        <r>
          <rPr>
            <b/>
            <sz val="10"/>
            <color indexed="81"/>
            <rFont val="Tahoma"/>
            <family val="2"/>
          </rPr>
          <t>Data Entry Cell, Other Third Party Reports Costs</t>
        </r>
      </text>
    </comment>
    <comment ref="J44" authorId="1" shapeId="0" xr:uid="{00000000-0006-0000-0B00-00000F030000}">
      <text>
        <r>
          <rPr>
            <b/>
            <sz val="10"/>
            <color indexed="81"/>
            <rFont val="Tahoma"/>
            <family val="2"/>
          </rPr>
          <t>Data Entry Cell, Other Third Party Reports Costs</t>
        </r>
      </text>
    </comment>
    <comment ref="K44" authorId="1" shapeId="0" xr:uid="{00000000-0006-0000-0B00-000010030000}">
      <text>
        <r>
          <rPr>
            <b/>
            <sz val="10"/>
            <color indexed="81"/>
            <rFont val="Tahoma"/>
            <family val="2"/>
          </rPr>
          <t>Data Entry Cell, Other Third Party Reports Costs</t>
        </r>
      </text>
    </comment>
    <comment ref="L44" authorId="1" shapeId="0" xr:uid="{00000000-0006-0000-0B00-000011030000}">
      <text>
        <r>
          <rPr>
            <b/>
            <sz val="10"/>
            <color indexed="81"/>
            <rFont val="Tahoma"/>
            <family val="2"/>
          </rPr>
          <t>Data Entry Cell, Other Third Party Reports Costs</t>
        </r>
      </text>
    </comment>
    <comment ref="M44" authorId="1" shapeId="0" xr:uid="{00000000-0006-0000-0B00-000012030000}">
      <text>
        <r>
          <rPr>
            <b/>
            <sz val="10"/>
            <color indexed="81"/>
            <rFont val="Tahoma"/>
            <family val="2"/>
          </rPr>
          <t>Data Entry Cell, Other Third Party Reports Costs</t>
        </r>
      </text>
    </comment>
    <comment ref="N44" authorId="1" shapeId="0" xr:uid="{00000000-0006-0000-0B00-000013030000}">
      <text>
        <r>
          <rPr>
            <b/>
            <sz val="10"/>
            <color indexed="81"/>
            <rFont val="Tahoma"/>
            <family val="2"/>
          </rPr>
          <t>Data Entry Cell, Other Third Party Reports Costs</t>
        </r>
      </text>
    </comment>
    <comment ref="O44" authorId="1" shapeId="0" xr:uid="{00000000-0006-0000-0B00-000014030000}">
      <text>
        <r>
          <rPr>
            <b/>
            <sz val="10"/>
            <color indexed="81"/>
            <rFont val="Tahoma"/>
            <family val="2"/>
          </rPr>
          <t>Data Entry Cell, Other Third Party Reports Costs</t>
        </r>
      </text>
    </comment>
    <comment ref="P44" authorId="1" shapeId="0" xr:uid="{00000000-0006-0000-0B00-000015030000}">
      <text>
        <r>
          <rPr>
            <b/>
            <sz val="10"/>
            <color indexed="81"/>
            <rFont val="Tahoma"/>
            <family val="2"/>
          </rPr>
          <t>Data Entry Cell, Other Third Party Reports Costs</t>
        </r>
      </text>
    </comment>
    <comment ref="Q44" authorId="1" shapeId="0" xr:uid="{00000000-0006-0000-0B00-000016030000}">
      <text>
        <r>
          <rPr>
            <b/>
            <sz val="10"/>
            <color indexed="81"/>
            <rFont val="Tahoma"/>
            <family val="2"/>
          </rPr>
          <t>Data Entry Cell, Other Third Party Reports Costs</t>
        </r>
      </text>
    </comment>
    <comment ref="R44" authorId="1" shapeId="0" xr:uid="{00000000-0006-0000-0B00-000017030000}">
      <text>
        <r>
          <rPr>
            <b/>
            <sz val="10"/>
            <color indexed="81"/>
            <rFont val="Tahoma"/>
            <family val="2"/>
          </rPr>
          <t>Data Entry Cell, Other Third Party Reports Costs</t>
        </r>
      </text>
    </comment>
    <comment ref="S44" authorId="1" shapeId="0" xr:uid="{00000000-0006-0000-0B00-000018030000}">
      <text>
        <r>
          <rPr>
            <b/>
            <sz val="10"/>
            <color indexed="81"/>
            <rFont val="Tahoma"/>
            <family val="2"/>
          </rPr>
          <t>Data Entry Cell, Other Third Party Reports Costs</t>
        </r>
      </text>
    </comment>
    <comment ref="T44" authorId="1" shapeId="0" xr:uid="{00000000-0006-0000-0B00-000019030000}">
      <text>
        <r>
          <rPr>
            <b/>
            <sz val="10"/>
            <color indexed="81"/>
            <rFont val="Tahoma"/>
            <family val="2"/>
          </rPr>
          <t>Data Entry Cell, Other Third Party Reports Costs</t>
        </r>
      </text>
    </comment>
    <comment ref="U44" authorId="1" shapeId="0" xr:uid="{00000000-0006-0000-0B00-00001A030000}">
      <text>
        <r>
          <rPr>
            <b/>
            <sz val="10"/>
            <color indexed="81"/>
            <rFont val="Tahoma"/>
            <family val="2"/>
          </rPr>
          <t>Data Entry Cell, Other Third Party Reports Costs</t>
        </r>
      </text>
    </comment>
    <comment ref="V44" authorId="1" shapeId="0" xr:uid="{00000000-0006-0000-0B00-00001B030000}">
      <text>
        <r>
          <rPr>
            <b/>
            <sz val="10"/>
            <color indexed="81"/>
            <rFont val="Tahoma"/>
            <family val="2"/>
          </rPr>
          <t>Data Entry Cell, Other Third Party Reports Costs</t>
        </r>
      </text>
    </comment>
    <comment ref="W44" authorId="1" shapeId="0" xr:uid="{00000000-0006-0000-0B00-00001C030000}">
      <text>
        <r>
          <rPr>
            <b/>
            <sz val="10"/>
            <color indexed="81"/>
            <rFont val="Tahoma"/>
            <family val="2"/>
          </rPr>
          <t>Data Entry Cell, Other Third Party Reports Costs</t>
        </r>
      </text>
    </comment>
    <comment ref="X44" authorId="1" shapeId="0" xr:uid="{00000000-0006-0000-0B00-00001D030000}">
      <text>
        <r>
          <rPr>
            <b/>
            <sz val="10"/>
            <color indexed="81"/>
            <rFont val="Tahoma"/>
            <family val="2"/>
          </rPr>
          <t>Data Entry Cell, Other Third Party Reports Costs</t>
        </r>
      </text>
    </comment>
    <comment ref="Y44" authorId="1" shapeId="0" xr:uid="{00000000-0006-0000-0B00-00001E030000}">
      <text>
        <r>
          <rPr>
            <b/>
            <sz val="10"/>
            <color indexed="81"/>
            <rFont val="Tahoma"/>
            <family val="2"/>
          </rPr>
          <t>Data Entry Cell, Other Third Party Reports Costs</t>
        </r>
      </text>
    </comment>
    <comment ref="Z44" authorId="1" shapeId="0" xr:uid="{00000000-0006-0000-0B00-00001F030000}">
      <text>
        <r>
          <rPr>
            <b/>
            <sz val="10"/>
            <color indexed="81"/>
            <rFont val="Tahoma"/>
            <family val="2"/>
          </rPr>
          <t>Data Entry Cell, Other Third Party Reports Costs</t>
        </r>
      </text>
    </comment>
    <comment ref="AA44" authorId="1" shapeId="0" xr:uid="{00000000-0006-0000-0B00-000020030000}">
      <text>
        <r>
          <rPr>
            <b/>
            <sz val="10"/>
            <color indexed="81"/>
            <rFont val="Tahoma"/>
            <family val="2"/>
          </rPr>
          <t>Data Entry Cell, Other Third Party Reports Costs</t>
        </r>
      </text>
    </comment>
    <comment ref="AB44" authorId="1" shapeId="0" xr:uid="{00000000-0006-0000-0B00-000021030000}">
      <text>
        <r>
          <rPr>
            <b/>
            <sz val="10"/>
            <color indexed="81"/>
            <rFont val="Tahoma"/>
            <family val="2"/>
          </rPr>
          <t>Data Entry Cell, Other Third Party Reports Costs</t>
        </r>
      </text>
    </comment>
    <comment ref="AC44" authorId="1" shapeId="0" xr:uid="{00000000-0006-0000-0B00-000022030000}">
      <text>
        <r>
          <rPr>
            <b/>
            <sz val="10"/>
            <color indexed="81"/>
            <rFont val="Tahoma"/>
            <family val="2"/>
          </rPr>
          <t>Data Entry Cell, Other Third Party Reports Costs</t>
        </r>
      </text>
    </comment>
    <comment ref="E45" authorId="1" shapeId="0" xr:uid="{00000000-0006-0000-0B00-000023030000}">
      <text>
        <r>
          <rPr>
            <b/>
            <sz val="10"/>
            <color indexed="81"/>
            <rFont val="Tahoma"/>
            <family val="2"/>
          </rPr>
          <t>Data Entry Cell, Tap Fees &amp; Impact Fees</t>
        </r>
      </text>
    </comment>
    <comment ref="F45" authorId="1" shapeId="0" xr:uid="{00000000-0006-0000-0B00-000024030000}">
      <text>
        <r>
          <rPr>
            <b/>
            <sz val="10"/>
            <color indexed="81"/>
            <rFont val="Tahoma"/>
            <family val="2"/>
          </rPr>
          <t>Data Entry Cell, Tap Fees &amp; Impact Fees</t>
        </r>
      </text>
    </comment>
    <comment ref="G45" authorId="1" shapeId="0" xr:uid="{00000000-0006-0000-0B00-000025030000}">
      <text>
        <r>
          <rPr>
            <b/>
            <sz val="10"/>
            <color indexed="81"/>
            <rFont val="Tahoma"/>
            <family val="2"/>
          </rPr>
          <t>Data Entry Cell, Tap Fees &amp; Impact Fees</t>
        </r>
      </text>
    </comment>
    <comment ref="H45" authorId="1" shapeId="0" xr:uid="{00000000-0006-0000-0B00-000026030000}">
      <text>
        <r>
          <rPr>
            <b/>
            <sz val="10"/>
            <color indexed="81"/>
            <rFont val="Tahoma"/>
            <family val="2"/>
          </rPr>
          <t>Data Entry Cell, Tap Fees &amp; Impact Fees</t>
        </r>
      </text>
    </comment>
    <comment ref="I45" authorId="1" shapeId="0" xr:uid="{00000000-0006-0000-0B00-000027030000}">
      <text>
        <r>
          <rPr>
            <b/>
            <sz val="10"/>
            <color indexed="81"/>
            <rFont val="Tahoma"/>
            <family val="2"/>
          </rPr>
          <t>Data Entry Cell, Tap Fees &amp; Impact Fees</t>
        </r>
      </text>
    </comment>
    <comment ref="J45" authorId="1" shapeId="0" xr:uid="{00000000-0006-0000-0B00-000028030000}">
      <text>
        <r>
          <rPr>
            <b/>
            <sz val="10"/>
            <color indexed="81"/>
            <rFont val="Tahoma"/>
            <family val="2"/>
          </rPr>
          <t>Data Entry Cell, Tap Fees &amp; Impact Fees</t>
        </r>
      </text>
    </comment>
    <comment ref="K45" authorId="1" shapeId="0" xr:uid="{00000000-0006-0000-0B00-000029030000}">
      <text>
        <r>
          <rPr>
            <b/>
            <sz val="10"/>
            <color indexed="81"/>
            <rFont val="Tahoma"/>
            <family val="2"/>
          </rPr>
          <t>Data Entry Cell, Tap Fees &amp; Impact Fees</t>
        </r>
      </text>
    </comment>
    <comment ref="L45" authorId="1" shapeId="0" xr:uid="{00000000-0006-0000-0B00-00002A030000}">
      <text>
        <r>
          <rPr>
            <b/>
            <sz val="10"/>
            <color indexed="81"/>
            <rFont val="Tahoma"/>
            <family val="2"/>
          </rPr>
          <t>Data Entry Cell, Tap Fees &amp; Impact Fees</t>
        </r>
      </text>
    </comment>
    <comment ref="M45" authorId="1" shapeId="0" xr:uid="{00000000-0006-0000-0B00-00002B030000}">
      <text>
        <r>
          <rPr>
            <b/>
            <sz val="10"/>
            <color indexed="81"/>
            <rFont val="Tahoma"/>
            <family val="2"/>
          </rPr>
          <t>Data Entry Cell, Tap Fees &amp; Impact Fees</t>
        </r>
      </text>
    </comment>
    <comment ref="N45" authorId="1" shapeId="0" xr:uid="{00000000-0006-0000-0B00-00002C030000}">
      <text>
        <r>
          <rPr>
            <b/>
            <sz val="10"/>
            <color indexed="81"/>
            <rFont val="Tahoma"/>
            <family val="2"/>
          </rPr>
          <t>Data Entry Cell, Tap Fees &amp; Impact Fees</t>
        </r>
      </text>
    </comment>
    <comment ref="O45" authorId="1" shapeId="0" xr:uid="{00000000-0006-0000-0B00-00002D030000}">
      <text>
        <r>
          <rPr>
            <b/>
            <sz val="10"/>
            <color indexed="81"/>
            <rFont val="Tahoma"/>
            <family val="2"/>
          </rPr>
          <t>Data Entry Cell, Tap Fees &amp; Impact Fees</t>
        </r>
      </text>
    </comment>
    <comment ref="P45" authorId="1" shapeId="0" xr:uid="{00000000-0006-0000-0B00-00002E030000}">
      <text>
        <r>
          <rPr>
            <b/>
            <sz val="10"/>
            <color indexed="81"/>
            <rFont val="Tahoma"/>
            <family val="2"/>
          </rPr>
          <t>Data Entry Cell, Tap Fees &amp; Impact Fees</t>
        </r>
      </text>
    </comment>
    <comment ref="Q45" authorId="1" shapeId="0" xr:uid="{00000000-0006-0000-0B00-00002F030000}">
      <text>
        <r>
          <rPr>
            <b/>
            <sz val="10"/>
            <color indexed="81"/>
            <rFont val="Tahoma"/>
            <family val="2"/>
          </rPr>
          <t>Data Entry Cell, Tap Fees &amp; Impact Fees</t>
        </r>
      </text>
    </comment>
    <comment ref="R45" authorId="1" shapeId="0" xr:uid="{00000000-0006-0000-0B00-000030030000}">
      <text>
        <r>
          <rPr>
            <b/>
            <sz val="10"/>
            <color indexed="81"/>
            <rFont val="Tahoma"/>
            <family val="2"/>
          </rPr>
          <t>Data Entry Cell, Tap Fees &amp; Impact Fees</t>
        </r>
      </text>
    </comment>
    <comment ref="S45" authorId="1" shapeId="0" xr:uid="{00000000-0006-0000-0B00-000031030000}">
      <text>
        <r>
          <rPr>
            <b/>
            <sz val="10"/>
            <color indexed="81"/>
            <rFont val="Tahoma"/>
            <family val="2"/>
          </rPr>
          <t>Data Entry Cell, Tap Fees &amp; Impact Fees</t>
        </r>
      </text>
    </comment>
    <comment ref="T45" authorId="1" shapeId="0" xr:uid="{00000000-0006-0000-0B00-000032030000}">
      <text>
        <r>
          <rPr>
            <b/>
            <sz val="10"/>
            <color indexed="81"/>
            <rFont val="Tahoma"/>
            <family val="2"/>
          </rPr>
          <t>Data Entry Cell, Tap Fees &amp; Impact Fees</t>
        </r>
      </text>
    </comment>
    <comment ref="U45" authorId="1" shapeId="0" xr:uid="{00000000-0006-0000-0B00-000033030000}">
      <text>
        <r>
          <rPr>
            <b/>
            <sz val="10"/>
            <color indexed="81"/>
            <rFont val="Tahoma"/>
            <family val="2"/>
          </rPr>
          <t>Data Entry Cell, Tap Fees &amp; Impact Fees</t>
        </r>
      </text>
    </comment>
    <comment ref="V45" authorId="1" shapeId="0" xr:uid="{00000000-0006-0000-0B00-000034030000}">
      <text>
        <r>
          <rPr>
            <b/>
            <sz val="10"/>
            <color indexed="81"/>
            <rFont val="Tahoma"/>
            <family val="2"/>
          </rPr>
          <t>Data Entry Cell, Tap Fees &amp; Impact Fees</t>
        </r>
      </text>
    </comment>
    <comment ref="W45" authorId="1" shapeId="0" xr:uid="{00000000-0006-0000-0B00-000035030000}">
      <text>
        <r>
          <rPr>
            <b/>
            <sz val="10"/>
            <color indexed="81"/>
            <rFont val="Tahoma"/>
            <family val="2"/>
          </rPr>
          <t>Data Entry Cell, Tap Fees &amp; Impact Fees</t>
        </r>
      </text>
    </comment>
    <comment ref="X45" authorId="1" shapeId="0" xr:uid="{00000000-0006-0000-0B00-000036030000}">
      <text>
        <r>
          <rPr>
            <b/>
            <sz val="10"/>
            <color indexed="81"/>
            <rFont val="Tahoma"/>
            <family val="2"/>
          </rPr>
          <t>Data Entry Cell, Tap Fees &amp; Impact Fees</t>
        </r>
      </text>
    </comment>
    <comment ref="Y45" authorId="1" shapeId="0" xr:uid="{00000000-0006-0000-0B00-000037030000}">
      <text>
        <r>
          <rPr>
            <b/>
            <sz val="10"/>
            <color indexed="81"/>
            <rFont val="Tahoma"/>
            <family val="2"/>
          </rPr>
          <t>Data Entry Cell, Tap Fees &amp; Impact Fees</t>
        </r>
      </text>
    </comment>
    <comment ref="Z45" authorId="1" shapeId="0" xr:uid="{00000000-0006-0000-0B00-000038030000}">
      <text>
        <r>
          <rPr>
            <b/>
            <sz val="10"/>
            <color indexed="81"/>
            <rFont val="Tahoma"/>
            <family val="2"/>
          </rPr>
          <t>Data Entry Cell, Tap Fees &amp; Impact Fees</t>
        </r>
      </text>
    </comment>
    <comment ref="AA45" authorId="1" shapeId="0" xr:uid="{00000000-0006-0000-0B00-000039030000}">
      <text>
        <r>
          <rPr>
            <b/>
            <sz val="10"/>
            <color indexed="81"/>
            <rFont val="Tahoma"/>
            <family val="2"/>
          </rPr>
          <t>Data Entry Cell, Tap Fees &amp; Impact Fees</t>
        </r>
      </text>
    </comment>
    <comment ref="AB45" authorId="1" shapeId="0" xr:uid="{00000000-0006-0000-0B00-00003A030000}">
      <text>
        <r>
          <rPr>
            <b/>
            <sz val="10"/>
            <color indexed="81"/>
            <rFont val="Tahoma"/>
            <family val="2"/>
          </rPr>
          <t>Data Entry Cell, Tap Fees &amp; Impact Fees</t>
        </r>
      </text>
    </comment>
    <comment ref="AC45" authorId="1" shapeId="0" xr:uid="{00000000-0006-0000-0B00-00003B030000}">
      <text>
        <r>
          <rPr>
            <b/>
            <sz val="10"/>
            <color indexed="81"/>
            <rFont val="Tahoma"/>
            <family val="2"/>
          </rPr>
          <t>Data Entry Cell, Tap Fees &amp; Impact Fees</t>
        </r>
      </text>
    </comment>
    <comment ref="E46" authorId="1" shapeId="0" xr:uid="{00000000-0006-0000-0B00-00003C030000}">
      <text>
        <r>
          <rPr>
            <b/>
            <sz val="10"/>
            <color indexed="81"/>
            <rFont val="Tahoma"/>
            <family val="2"/>
          </rPr>
          <t>Data Entry Cell, Permitting Cost</t>
        </r>
      </text>
    </comment>
    <comment ref="F46" authorId="1" shapeId="0" xr:uid="{00000000-0006-0000-0B00-00003D030000}">
      <text>
        <r>
          <rPr>
            <b/>
            <sz val="10"/>
            <color indexed="81"/>
            <rFont val="Tahoma"/>
            <family val="2"/>
          </rPr>
          <t>Data Entry Cell, Permitting Cost</t>
        </r>
      </text>
    </comment>
    <comment ref="G46" authorId="1" shapeId="0" xr:uid="{00000000-0006-0000-0B00-00003E030000}">
      <text>
        <r>
          <rPr>
            <b/>
            <sz val="10"/>
            <color indexed="81"/>
            <rFont val="Tahoma"/>
            <family val="2"/>
          </rPr>
          <t>Data Entry Cell, Permitting Cost</t>
        </r>
      </text>
    </comment>
    <comment ref="H46" authorId="1" shapeId="0" xr:uid="{00000000-0006-0000-0B00-00003F030000}">
      <text>
        <r>
          <rPr>
            <b/>
            <sz val="10"/>
            <color indexed="81"/>
            <rFont val="Tahoma"/>
            <family val="2"/>
          </rPr>
          <t>Data Entry Cell, Permitting Cost</t>
        </r>
      </text>
    </comment>
    <comment ref="I46" authorId="1" shapeId="0" xr:uid="{00000000-0006-0000-0B00-000040030000}">
      <text>
        <r>
          <rPr>
            <b/>
            <sz val="10"/>
            <color indexed="81"/>
            <rFont val="Tahoma"/>
            <family val="2"/>
          </rPr>
          <t>Data Entry Cell, Permitting Cost</t>
        </r>
      </text>
    </comment>
    <comment ref="J46" authorId="1" shapeId="0" xr:uid="{00000000-0006-0000-0B00-000041030000}">
      <text>
        <r>
          <rPr>
            <b/>
            <sz val="10"/>
            <color indexed="81"/>
            <rFont val="Tahoma"/>
            <family val="2"/>
          </rPr>
          <t>Data Entry Cell, Permitting Cost</t>
        </r>
      </text>
    </comment>
    <comment ref="K46" authorId="1" shapeId="0" xr:uid="{00000000-0006-0000-0B00-000042030000}">
      <text>
        <r>
          <rPr>
            <b/>
            <sz val="10"/>
            <color indexed="81"/>
            <rFont val="Tahoma"/>
            <family val="2"/>
          </rPr>
          <t>Data Entry Cell, Permitting Cost</t>
        </r>
      </text>
    </comment>
    <comment ref="L46" authorId="1" shapeId="0" xr:uid="{00000000-0006-0000-0B00-000043030000}">
      <text>
        <r>
          <rPr>
            <b/>
            <sz val="10"/>
            <color indexed="81"/>
            <rFont val="Tahoma"/>
            <family val="2"/>
          </rPr>
          <t>Data Entry Cell, Permitting Cost</t>
        </r>
      </text>
    </comment>
    <comment ref="M46" authorId="1" shapeId="0" xr:uid="{00000000-0006-0000-0B00-000044030000}">
      <text>
        <r>
          <rPr>
            <b/>
            <sz val="10"/>
            <color indexed="81"/>
            <rFont val="Tahoma"/>
            <family val="2"/>
          </rPr>
          <t>Data Entry Cell, Permitting Cost</t>
        </r>
      </text>
    </comment>
    <comment ref="N46" authorId="1" shapeId="0" xr:uid="{00000000-0006-0000-0B00-000045030000}">
      <text>
        <r>
          <rPr>
            <b/>
            <sz val="10"/>
            <color indexed="81"/>
            <rFont val="Tahoma"/>
            <family val="2"/>
          </rPr>
          <t>Data Entry Cell, Permitting Cost</t>
        </r>
      </text>
    </comment>
    <comment ref="O46" authorId="1" shapeId="0" xr:uid="{00000000-0006-0000-0B00-000046030000}">
      <text>
        <r>
          <rPr>
            <b/>
            <sz val="10"/>
            <color indexed="81"/>
            <rFont val="Tahoma"/>
            <family val="2"/>
          </rPr>
          <t>Data Entry Cell, Permitting Cost</t>
        </r>
      </text>
    </comment>
    <comment ref="P46" authorId="1" shapeId="0" xr:uid="{00000000-0006-0000-0B00-000047030000}">
      <text>
        <r>
          <rPr>
            <b/>
            <sz val="10"/>
            <color indexed="81"/>
            <rFont val="Tahoma"/>
            <family val="2"/>
          </rPr>
          <t>Data Entry Cell, Permitting Cost</t>
        </r>
      </text>
    </comment>
    <comment ref="Q46" authorId="1" shapeId="0" xr:uid="{00000000-0006-0000-0B00-000048030000}">
      <text>
        <r>
          <rPr>
            <b/>
            <sz val="10"/>
            <color indexed="81"/>
            <rFont val="Tahoma"/>
            <family val="2"/>
          </rPr>
          <t>Data Entry Cell, Permitting Cost</t>
        </r>
      </text>
    </comment>
    <comment ref="R46" authorId="1" shapeId="0" xr:uid="{00000000-0006-0000-0B00-000049030000}">
      <text>
        <r>
          <rPr>
            <b/>
            <sz val="10"/>
            <color indexed="81"/>
            <rFont val="Tahoma"/>
            <family val="2"/>
          </rPr>
          <t>Data Entry Cell, Permitting Cost</t>
        </r>
      </text>
    </comment>
    <comment ref="S46" authorId="1" shapeId="0" xr:uid="{00000000-0006-0000-0B00-00004A030000}">
      <text>
        <r>
          <rPr>
            <b/>
            <sz val="10"/>
            <color indexed="81"/>
            <rFont val="Tahoma"/>
            <family val="2"/>
          </rPr>
          <t>Data Entry Cell, Permitting Cost</t>
        </r>
      </text>
    </comment>
    <comment ref="T46" authorId="1" shapeId="0" xr:uid="{00000000-0006-0000-0B00-00004B030000}">
      <text>
        <r>
          <rPr>
            <b/>
            <sz val="10"/>
            <color indexed="81"/>
            <rFont val="Tahoma"/>
            <family val="2"/>
          </rPr>
          <t>Data Entry Cell, Permitting Cost</t>
        </r>
      </text>
    </comment>
    <comment ref="U46" authorId="1" shapeId="0" xr:uid="{00000000-0006-0000-0B00-00004C030000}">
      <text>
        <r>
          <rPr>
            <b/>
            <sz val="10"/>
            <color indexed="81"/>
            <rFont val="Tahoma"/>
            <family val="2"/>
          </rPr>
          <t>Data Entry Cell, Permitting Cost</t>
        </r>
      </text>
    </comment>
    <comment ref="V46" authorId="1" shapeId="0" xr:uid="{00000000-0006-0000-0B00-00004D030000}">
      <text>
        <r>
          <rPr>
            <b/>
            <sz val="10"/>
            <color indexed="81"/>
            <rFont val="Tahoma"/>
            <family val="2"/>
          </rPr>
          <t>Data Entry Cell, Permitting Cost</t>
        </r>
      </text>
    </comment>
    <comment ref="W46" authorId="1" shapeId="0" xr:uid="{00000000-0006-0000-0B00-00004E030000}">
      <text>
        <r>
          <rPr>
            <b/>
            <sz val="10"/>
            <color indexed="81"/>
            <rFont val="Tahoma"/>
            <family val="2"/>
          </rPr>
          <t>Data Entry Cell, Permitting Cost</t>
        </r>
      </text>
    </comment>
    <comment ref="X46" authorId="1" shapeId="0" xr:uid="{00000000-0006-0000-0B00-00004F030000}">
      <text>
        <r>
          <rPr>
            <b/>
            <sz val="10"/>
            <color indexed="81"/>
            <rFont val="Tahoma"/>
            <family val="2"/>
          </rPr>
          <t>Data Entry Cell, Permitting Cost</t>
        </r>
      </text>
    </comment>
    <comment ref="Y46" authorId="1" shapeId="0" xr:uid="{00000000-0006-0000-0B00-000050030000}">
      <text>
        <r>
          <rPr>
            <b/>
            <sz val="10"/>
            <color indexed="81"/>
            <rFont val="Tahoma"/>
            <family val="2"/>
          </rPr>
          <t>Data Entry Cell, Permitting Cost</t>
        </r>
      </text>
    </comment>
    <comment ref="Z46" authorId="1" shapeId="0" xr:uid="{00000000-0006-0000-0B00-000051030000}">
      <text>
        <r>
          <rPr>
            <b/>
            <sz val="10"/>
            <color indexed="81"/>
            <rFont val="Tahoma"/>
            <family val="2"/>
          </rPr>
          <t>Data Entry Cell, Permitting Cost</t>
        </r>
      </text>
    </comment>
    <comment ref="AA46" authorId="1" shapeId="0" xr:uid="{00000000-0006-0000-0B00-000052030000}">
      <text>
        <r>
          <rPr>
            <b/>
            <sz val="10"/>
            <color indexed="81"/>
            <rFont val="Tahoma"/>
            <family val="2"/>
          </rPr>
          <t>Data Entry Cell, Permitting Cost</t>
        </r>
      </text>
    </comment>
    <comment ref="AB46" authorId="1" shapeId="0" xr:uid="{00000000-0006-0000-0B00-000053030000}">
      <text>
        <r>
          <rPr>
            <b/>
            <sz val="10"/>
            <color indexed="81"/>
            <rFont val="Tahoma"/>
            <family val="2"/>
          </rPr>
          <t>Data Entry Cell, Permitting Cost</t>
        </r>
      </text>
    </comment>
    <comment ref="AC46" authorId="1" shapeId="0" xr:uid="{00000000-0006-0000-0B00-000054030000}">
      <text>
        <r>
          <rPr>
            <b/>
            <sz val="10"/>
            <color indexed="81"/>
            <rFont val="Tahoma"/>
            <family val="2"/>
          </rPr>
          <t>Data Entry Cell, Permitting Cost</t>
        </r>
      </text>
    </comment>
    <comment ref="E47" authorId="1" shapeId="0" xr:uid="{00000000-0006-0000-0B00-000055030000}">
      <text>
        <r>
          <rPr>
            <b/>
            <sz val="10"/>
            <color indexed="81"/>
            <rFont val="Tahoma"/>
            <family val="2"/>
          </rPr>
          <t>Data Entry Cell, Tax Credit Fees</t>
        </r>
      </text>
    </comment>
    <comment ref="F47" authorId="1" shapeId="0" xr:uid="{00000000-0006-0000-0B00-000056030000}">
      <text>
        <r>
          <rPr>
            <b/>
            <sz val="10"/>
            <color indexed="81"/>
            <rFont val="Tahoma"/>
            <family val="2"/>
          </rPr>
          <t>Data Entry Cell, Tax Credit Fees</t>
        </r>
      </text>
    </comment>
    <comment ref="G47" authorId="1" shapeId="0" xr:uid="{00000000-0006-0000-0B00-000057030000}">
      <text>
        <r>
          <rPr>
            <b/>
            <sz val="10"/>
            <color indexed="81"/>
            <rFont val="Tahoma"/>
            <family val="2"/>
          </rPr>
          <t>Data Entry Cell, Tax Credit Fees</t>
        </r>
      </text>
    </comment>
    <comment ref="H47" authorId="1" shapeId="0" xr:uid="{00000000-0006-0000-0B00-000058030000}">
      <text>
        <r>
          <rPr>
            <b/>
            <sz val="10"/>
            <color indexed="81"/>
            <rFont val="Tahoma"/>
            <family val="2"/>
          </rPr>
          <t>Data Entry Cell, Tax Credit Fees</t>
        </r>
      </text>
    </comment>
    <comment ref="I47" authorId="1" shapeId="0" xr:uid="{00000000-0006-0000-0B00-000059030000}">
      <text>
        <r>
          <rPr>
            <b/>
            <sz val="10"/>
            <color indexed="81"/>
            <rFont val="Tahoma"/>
            <family val="2"/>
          </rPr>
          <t>Data Entry Cell, Tax Credit Fees</t>
        </r>
      </text>
    </comment>
    <comment ref="J47" authorId="1" shapeId="0" xr:uid="{00000000-0006-0000-0B00-00005A030000}">
      <text>
        <r>
          <rPr>
            <b/>
            <sz val="10"/>
            <color indexed="81"/>
            <rFont val="Tahoma"/>
            <family val="2"/>
          </rPr>
          <t>Data Entry Cell, Tax Credit Fees</t>
        </r>
      </text>
    </comment>
    <comment ref="K47" authorId="1" shapeId="0" xr:uid="{00000000-0006-0000-0B00-00005B030000}">
      <text>
        <r>
          <rPr>
            <b/>
            <sz val="10"/>
            <color indexed="81"/>
            <rFont val="Tahoma"/>
            <family val="2"/>
          </rPr>
          <t>Data Entry Cell, Tax Credit Fees</t>
        </r>
      </text>
    </comment>
    <comment ref="L47" authorId="1" shapeId="0" xr:uid="{00000000-0006-0000-0B00-00005C030000}">
      <text>
        <r>
          <rPr>
            <b/>
            <sz val="10"/>
            <color indexed="81"/>
            <rFont val="Tahoma"/>
            <family val="2"/>
          </rPr>
          <t>Data Entry Cell, Tax Credit Fees</t>
        </r>
      </text>
    </comment>
    <comment ref="M47" authorId="1" shapeId="0" xr:uid="{00000000-0006-0000-0B00-00005D030000}">
      <text>
        <r>
          <rPr>
            <b/>
            <sz val="10"/>
            <color indexed="81"/>
            <rFont val="Tahoma"/>
            <family val="2"/>
          </rPr>
          <t>Data Entry Cell, Tax Credit Fees</t>
        </r>
      </text>
    </comment>
    <comment ref="N47" authorId="1" shapeId="0" xr:uid="{00000000-0006-0000-0B00-00005E030000}">
      <text>
        <r>
          <rPr>
            <b/>
            <sz val="10"/>
            <color indexed="81"/>
            <rFont val="Tahoma"/>
            <family val="2"/>
          </rPr>
          <t>Data Entry Cell, Tax Credit Fees</t>
        </r>
      </text>
    </comment>
    <comment ref="O47" authorId="1" shapeId="0" xr:uid="{00000000-0006-0000-0B00-00005F030000}">
      <text>
        <r>
          <rPr>
            <b/>
            <sz val="10"/>
            <color indexed="81"/>
            <rFont val="Tahoma"/>
            <family val="2"/>
          </rPr>
          <t>Data Entry Cell, Tax Credit Fees</t>
        </r>
      </text>
    </comment>
    <comment ref="P47" authorId="1" shapeId="0" xr:uid="{00000000-0006-0000-0B00-000060030000}">
      <text>
        <r>
          <rPr>
            <b/>
            <sz val="10"/>
            <color indexed="81"/>
            <rFont val="Tahoma"/>
            <family val="2"/>
          </rPr>
          <t>Data Entry Cell, Tax Credit Fees</t>
        </r>
      </text>
    </comment>
    <comment ref="Q47" authorId="1" shapeId="0" xr:uid="{00000000-0006-0000-0B00-000061030000}">
      <text>
        <r>
          <rPr>
            <b/>
            <sz val="10"/>
            <color indexed="81"/>
            <rFont val="Tahoma"/>
            <family val="2"/>
          </rPr>
          <t>Data Entry Cell, Tax Credit Fees</t>
        </r>
      </text>
    </comment>
    <comment ref="R47" authorId="1" shapeId="0" xr:uid="{00000000-0006-0000-0B00-000062030000}">
      <text>
        <r>
          <rPr>
            <b/>
            <sz val="10"/>
            <color indexed="81"/>
            <rFont val="Tahoma"/>
            <family val="2"/>
          </rPr>
          <t>Data Entry Cell, Tax Credit Fees</t>
        </r>
      </text>
    </comment>
    <comment ref="S47" authorId="1" shapeId="0" xr:uid="{00000000-0006-0000-0B00-000063030000}">
      <text>
        <r>
          <rPr>
            <b/>
            <sz val="10"/>
            <color indexed="81"/>
            <rFont val="Tahoma"/>
            <family val="2"/>
          </rPr>
          <t>Data Entry Cell, Tax Credit Fees</t>
        </r>
      </text>
    </comment>
    <comment ref="T47" authorId="1" shapeId="0" xr:uid="{00000000-0006-0000-0B00-000064030000}">
      <text>
        <r>
          <rPr>
            <b/>
            <sz val="10"/>
            <color indexed="81"/>
            <rFont val="Tahoma"/>
            <family val="2"/>
          </rPr>
          <t>Data Entry Cell, Tax Credit Fees</t>
        </r>
      </text>
    </comment>
    <comment ref="U47" authorId="1" shapeId="0" xr:uid="{00000000-0006-0000-0B00-000065030000}">
      <text>
        <r>
          <rPr>
            <b/>
            <sz val="10"/>
            <color indexed="81"/>
            <rFont val="Tahoma"/>
            <family val="2"/>
          </rPr>
          <t>Data Entry Cell, Tax Credit Fees</t>
        </r>
      </text>
    </comment>
    <comment ref="V47" authorId="1" shapeId="0" xr:uid="{00000000-0006-0000-0B00-000066030000}">
      <text>
        <r>
          <rPr>
            <b/>
            <sz val="10"/>
            <color indexed="81"/>
            <rFont val="Tahoma"/>
            <family val="2"/>
          </rPr>
          <t>Data Entry Cell, Tax Credit Fees</t>
        </r>
      </text>
    </comment>
    <comment ref="W47" authorId="1" shapeId="0" xr:uid="{00000000-0006-0000-0B00-000067030000}">
      <text>
        <r>
          <rPr>
            <b/>
            <sz val="10"/>
            <color indexed="81"/>
            <rFont val="Tahoma"/>
            <family val="2"/>
          </rPr>
          <t>Data Entry Cell, Tax Credit Fees</t>
        </r>
      </text>
    </comment>
    <comment ref="X47" authorId="1" shapeId="0" xr:uid="{00000000-0006-0000-0B00-000068030000}">
      <text>
        <r>
          <rPr>
            <b/>
            <sz val="10"/>
            <color indexed="81"/>
            <rFont val="Tahoma"/>
            <family val="2"/>
          </rPr>
          <t>Data Entry Cell, Tax Credit Fees</t>
        </r>
      </text>
    </comment>
    <comment ref="Y47" authorId="1" shapeId="0" xr:uid="{00000000-0006-0000-0B00-000069030000}">
      <text>
        <r>
          <rPr>
            <b/>
            <sz val="10"/>
            <color indexed="81"/>
            <rFont val="Tahoma"/>
            <family val="2"/>
          </rPr>
          <t>Data Entry Cell, Tax Credit Fees</t>
        </r>
      </text>
    </comment>
    <comment ref="Z47" authorId="1" shapeId="0" xr:uid="{00000000-0006-0000-0B00-00006A030000}">
      <text>
        <r>
          <rPr>
            <b/>
            <sz val="10"/>
            <color indexed="81"/>
            <rFont val="Tahoma"/>
            <family val="2"/>
          </rPr>
          <t>Data Entry Cell, Tax Credit Fees</t>
        </r>
      </text>
    </comment>
    <comment ref="AA47" authorId="1" shapeId="0" xr:uid="{00000000-0006-0000-0B00-00006B030000}">
      <text>
        <r>
          <rPr>
            <b/>
            <sz val="10"/>
            <color indexed="81"/>
            <rFont val="Tahoma"/>
            <family val="2"/>
          </rPr>
          <t>Data Entry Cell, Tax Credit Fees</t>
        </r>
      </text>
    </comment>
    <comment ref="AB47" authorId="1" shapeId="0" xr:uid="{00000000-0006-0000-0B00-00006C030000}">
      <text>
        <r>
          <rPr>
            <b/>
            <sz val="10"/>
            <color indexed="81"/>
            <rFont val="Tahoma"/>
            <family val="2"/>
          </rPr>
          <t>Data Entry Cell, Tax Credit Fees</t>
        </r>
      </text>
    </comment>
    <comment ref="AC47" authorId="1" shapeId="0" xr:uid="{00000000-0006-0000-0B00-00006D030000}">
      <text>
        <r>
          <rPr>
            <b/>
            <sz val="10"/>
            <color indexed="81"/>
            <rFont val="Tahoma"/>
            <family val="2"/>
          </rPr>
          <t>Data Entry Cell, Tax Credit Fees</t>
        </r>
      </text>
    </comment>
    <comment ref="E48" authorId="1" shapeId="0" xr:uid="{00000000-0006-0000-0B00-00006E030000}">
      <text>
        <r>
          <rPr>
            <b/>
            <sz val="10"/>
            <color indexed="81"/>
            <rFont val="Tahoma"/>
            <family val="2"/>
          </rPr>
          <t>Data Entry Cell, Soft Cost Contingency Cost</t>
        </r>
      </text>
    </comment>
    <comment ref="F48" authorId="1" shapeId="0" xr:uid="{00000000-0006-0000-0B00-00006F030000}">
      <text>
        <r>
          <rPr>
            <b/>
            <sz val="10"/>
            <color indexed="81"/>
            <rFont val="Tahoma"/>
            <family val="2"/>
          </rPr>
          <t>Data Entry Cell, Soft Cost Contingency Cost</t>
        </r>
      </text>
    </comment>
    <comment ref="G48" authorId="1" shapeId="0" xr:uid="{00000000-0006-0000-0B00-000070030000}">
      <text>
        <r>
          <rPr>
            <b/>
            <sz val="10"/>
            <color indexed="81"/>
            <rFont val="Tahoma"/>
            <family val="2"/>
          </rPr>
          <t>Data Entry Cell, Soft Cost Contingency Cost</t>
        </r>
      </text>
    </comment>
    <comment ref="H48" authorId="1" shapeId="0" xr:uid="{00000000-0006-0000-0B00-000071030000}">
      <text>
        <r>
          <rPr>
            <b/>
            <sz val="10"/>
            <color indexed="81"/>
            <rFont val="Tahoma"/>
            <family val="2"/>
          </rPr>
          <t>Data Entry Cell, Soft Cost Contingency Cost</t>
        </r>
      </text>
    </comment>
    <comment ref="I48" authorId="1" shapeId="0" xr:uid="{00000000-0006-0000-0B00-000072030000}">
      <text>
        <r>
          <rPr>
            <b/>
            <sz val="10"/>
            <color indexed="81"/>
            <rFont val="Tahoma"/>
            <family val="2"/>
          </rPr>
          <t>Data Entry Cell, Soft Cost Contingency Cost</t>
        </r>
      </text>
    </comment>
    <comment ref="J48" authorId="1" shapeId="0" xr:uid="{00000000-0006-0000-0B00-000073030000}">
      <text>
        <r>
          <rPr>
            <b/>
            <sz val="10"/>
            <color indexed="81"/>
            <rFont val="Tahoma"/>
            <family val="2"/>
          </rPr>
          <t>Data Entry Cell, Soft Cost Contingency Cost</t>
        </r>
      </text>
    </comment>
    <comment ref="K48" authorId="1" shapeId="0" xr:uid="{00000000-0006-0000-0B00-000074030000}">
      <text>
        <r>
          <rPr>
            <b/>
            <sz val="10"/>
            <color indexed="81"/>
            <rFont val="Tahoma"/>
            <family val="2"/>
          </rPr>
          <t>Data Entry Cell, Soft Cost Contingency Cost</t>
        </r>
      </text>
    </comment>
    <comment ref="L48" authorId="1" shapeId="0" xr:uid="{00000000-0006-0000-0B00-000075030000}">
      <text>
        <r>
          <rPr>
            <b/>
            <sz val="10"/>
            <color indexed="81"/>
            <rFont val="Tahoma"/>
            <family val="2"/>
          </rPr>
          <t>Data Entry Cell, Soft Cost Contingency Cost</t>
        </r>
      </text>
    </comment>
    <comment ref="M48" authorId="1" shapeId="0" xr:uid="{00000000-0006-0000-0B00-000076030000}">
      <text>
        <r>
          <rPr>
            <b/>
            <sz val="10"/>
            <color indexed="81"/>
            <rFont val="Tahoma"/>
            <family val="2"/>
          </rPr>
          <t>Data Entry Cell, Soft Cost Contingency Cost</t>
        </r>
      </text>
    </comment>
    <comment ref="N48" authorId="1" shapeId="0" xr:uid="{00000000-0006-0000-0B00-000077030000}">
      <text>
        <r>
          <rPr>
            <b/>
            <sz val="10"/>
            <color indexed="81"/>
            <rFont val="Tahoma"/>
            <family val="2"/>
          </rPr>
          <t>Data Entry Cell, Soft Cost Contingency Cost</t>
        </r>
      </text>
    </comment>
    <comment ref="O48" authorId="1" shapeId="0" xr:uid="{00000000-0006-0000-0B00-000078030000}">
      <text>
        <r>
          <rPr>
            <b/>
            <sz val="10"/>
            <color indexed="81"/>
            <rFont val="Tahoma"/>
            <family val="2"/>
          </rPr>
          <t>Data Entry Cell, Soft Cost Contingency Cost</t>
        </r>
      </text>
    </comment>
    <comment ref="P48" authorId="1" shapeId="0" xr:uid="{00000000-0006-0000-0B00-000079030000}">
      <text>
        <r>
          <rPr>
            <b/>
            <sz val="10"/>
            <color indexed="81"/>
            <rFont val="Tahoma"/>
            <family val="2"/>
          </rPr>
          <t>Data Entry Cell, Soft Cost Contingency Cost</t>
        </r>
      </text>
    </comment>
    <comment ref="Q48" authorId="1" shapeId="0" xr:uid="{00000000-0006-0000-0B00-00007A030000}">
      <text>
        <r>
          <rPr>
            <b/>
            <sz val="10"/>
            <color indexed="81"/>
            <rFont val="Tahoma"/>
            <family val="2"/>
          </rPr>
          <t>Data Entry Cell, Soft Cost Contingency Cost</t>
        </r>
      </text>
    </comment>
    <comment ref="R48" authorId="1" shapeId="0" xr:uid="{00000000-0006-0000-0B00-00007B030000}">
      <text>
        <r>
          <rPr>
            <b/>
            <sz val="10"/>
            <color indexed="81"/>
            <rFont val="Tahoma"/>
            <family val="2"/>
          </rPr>
          <t>Data Entry Cell, Soft Cost Contingency Cost</t>
        </r>
      </text>
    </comment>
    <comment ref="S48" authorId="1" shapeId="0" xr:uid="{00000000-0006-0000-0B00-00007C030000}">
      <text>
        <r>
          <rPr>
            <b/>
            <sz val="10"/>
            <color indexed="81"/>
            <rFont val="Tahoma"/>
            <family val="2"/>
          </rPr>
          <t>Data Entry Cell, Soft Cost Contingency Cost</t>
        </r>
      </text>
    </comment>
    <comment ref="T48" authorId="1" shapeId="0" xr:uid="{00000000-0006-0000-0B00-00007D030000}">
      <text>
        <r>
          <rPr>
            <b/>
            <sz val="10"/>
            <color indexed="81"/>
            <rFont val="Tahoma"/>
            <family val="2"/>
          </rPr>
          <t>Data Entry Cell, Soft Cost Contingency Cost</t>
        </r>
      </text>
    </comment>
    <comment ref="U48" authorId="1" shapeId="0" xr:uid="{00000000-0006-0000-0B00-00007E030000}">
      <text>
        <r>
          <rPr>
            <b/>
            <sz val="10"/>
            <color indexed="81"/>
            <rFont val="Tahoma"/>
            <family val="2"/>
          </rPr>
          <t>Data Entry Cell, Soft Cost Contingency Cost</t>
        </r>
      </text>
    </comment>
    <comment ref="V48" authorId="1" shapeId="0" xr:uid="{00000000-0006-0000-0B00-00007F030000}">
      <text>
        <r>
          <rPr>
            <b/>
            <sz val="10"/>
            <color indexed="81"/>
            <rFont val="Tahoma"/>
            <family val="2"/>
          </rPr>
          <t>Data Entry Cell, Soft Cost Contingency Cost</t>
        </r>
      </text>
    </comment>
    <comment ref="W48" authorId="1" shapeId="0" xr:uid="{00000000-0006-0000-0B00-000080030000}">
      <text>
        <r>
          <rPr>
            <b/>
            <sz val="10"/>
            <color indexed="81"/>
            <rFont val="Tahoma"/>
            <family val="2"/>
          </rPr>
          <t>Data Entry Cell, Soft Cost Contingency Cost</t>
        </r>
      </text>
    </comment>
    <comment ref="X48" authorId="1" shapeId="0" xr:uid="{00000000-0006-0000-0B00-000081030000}">
      <text>
        <r>
          <rPr>
            <b/>
            <sz val="10"/>
            <color indexed="81"/>
            <rFont val="Tahoma"/>
            <family val="2"/>
          </rPr>
          <t>Data Entry Cell, Soft Cost Contingency Cost</t>
        </r>
      </text>
    </comment>
    <comment ref="Y48" authorId="1" shapeId="0" xr:uid="{00000000-0006-0000-0B00-000082030000}">
      <text>
        <r>
          <rPr>
            <b/>
            <sz val="10"/>
            <color indexed="81"/>
            <rFont val="Tahoma"/>
            <family val="2"/>
          </rPr>
          <t>Data Entry Cell, Soft Cost Contingency Cost</t>
        </r>
      </text>
    </comment>
    <comment ref="Z48" authorId="1" shapeId="0" xr:uid="{00000000-0006-0000-0B00-000083030000}">
      <text>
        <r>
          <rPr>
            <b/>
            <sz val="10"/>
            <color indexed="81"/>
            <rFont val="Tahoma"/>
            <family val="2"/>
          </rPr>
          <t>Data Entry Cell, Soft Cost Contingency Cost</t>
        </r>
      </text>
    </comment>
    <comment ref="AA48" authorId="1" shapeId="0" xr:uid="{00000000-0006-0000-0B00-000084030000}">
      <text>
        <r>
          <rPr>
            <b/>
            <sz val="10"/>
            <color indexed="81"/>
            <rFont val="Tahoma"/>
            <family val="2"/>
          </rPr>
          <t>Data Entry Cell, Soft Cost Contingency Cost</t>
        </r>
      </text>
    </comment>
    <comment ref="AB48" authorId="1" shapeId="0" xr:uid="{00000000-0006-0000-0B00-000085030000}">
      <text>
        <r>
          <rPr>
            <b/>
            <sz val="10"/>
            <color indexed="81"/>
            <rFont val="Tahoma"/>
            <family val="2"/>
          </rPr>
          <t>Data Entry Cell, Soft Cost Contingency Cost</t>
        </r>
      </text>
    </comment>
    <comment ref="AC48" authorId="1" shapeId="0" xr:uid="{00000000-0006-0000-0B00-000086030000}">
      <text>
        <r>
          <rPr>
            <b/>
            <sz val="10"/>
            <color indexed="81"/>
            <rFont val="Tahoma"/>
            <family val="2"/>
          </rPr>
          <t>Data Entry Cell, Soft Cost Contingency Cost</t>
        </r>
      </text>
    </comment>
    <comment ref="E49" authorId="1" shapeId="0" xr:uid="{00000000-0006-0000-0B00-000087030000}">
      <text>
        <r>
          <rPr>
            <b/>
            <sz val="10"/>
            <color indexed="81"/>
            <rFont val="Tahoma"/>
            <family val="2"/>
          </rPr>
          <t>Data Entry Cell, Other Owner Costs</t>
        </r>
      </text>
    </comment>
    <comment ref="F49" authorId="1" shapeId="0" xr:uid="{00000000-0006-0000-0B00-000088030000}">
      <text>
        <r>
          <rPr>
            <b/>
            <sz val="10"/>
            <color indexed="81"/>
            <rFont val="Tahoma"/>
            <family val="2"/>
          </rPr>
          <t>Data Entry Cell, Other Owner Costs</t>
        </r>
      </text>
    </comment>
    <comment ref="G49" authorId="1" shapeId="0" xr:uid="{00000000-0006-0000-0B00-000089030000}">
      <text>
        <r>
          <rPr>
            <b/>
            <sz val="10"/>
            <color indexed="81"/>
            <rFont val="Tahoma"/>
            <family val="2"/>
          </rPr>
          <t>Data Entry Cell, Other Owner Costs</t>
        </r>
      </text>
    </comment>
    <comment ref="H49" authorId="1" shapeId="0" xr:uid="{00000000-0006-0000-0B00-00008A030000}">
      <text>
        <r>
          <rPr>
            <b/>
            <sz val="10"/>
            <color indexed="81"/>
            <rFont val="Tahoma"/>
            <family val="2"/>
          </rPr>
          <t>Data Entry Cell, Other Owner Costs</t>
        </r>
      </text>
    </comment>
    <comment ref="I49" authorId="1" shapeId="0" xr:uid="{00000000-0006-0000-0B00-00008B030000}">
      <text>
        <r>
          <rPr>
            <b/>
            <sz val="10"/>
            <color indexed="81"/>
            <rFont val="Tahoma"/>
            <family val="2"/>
          </rPr>
          <t>Data Entry Cell, Other Owner Costs</t>
        </r>
      </text>
    </comment>
    <comment ref="J49" authorId="1" shapeId="0" xr:uid="{00000000-0006-0000-0B00-00008C030000}">
      <text>
        <r>
          <rPr>
            <b/>
            <sz val="10"/>
            <color indexed="81"/>
            <rFont val="Tahoma"/>
            <family val="2"/>
          </rPr>
          <t>Data Entry Cell, Other Owner Costs</t>
        </r>
      </text>
    </comment>
    <comment ref="K49" authorId="1" shapeId="0" xr:uid="{00000000-0006-0000-0B00-00008D030000}">
      <text>
        <r>
          <rPr>
            <b/>
            <sz val="10"/>
            <color indexed="81"/>
            <rFont val="Tahoma"/>
            <family val="2"/>
          </rPr>
          <t>Data Entry Cell, Other Owner Costs</t>
        </r>
      </text>
    </comment>
    <comment ref="L49" authorId="1" shapeId="0" xr:uid="{00000000-0006-0000-0B00-00008E030000}">
      <text>
        <r>
          <rPr>
            <b/>
            <sz val="10"/>
            <color indexed="81"/>
            <rFont val="Tahoma"/>
            <family val="2"/>
          </rPr>
          <t>Data Entry Cell, Other Owner Costs</t>
        </r>
      </text>
    </comment>
    <comment ref="M49" authorId="1" shapeId="0" xr:uid="{00000000-0006-0000-0B00-00008F030000}">
      <text>
        <r>
          <rPr>
            <b/>
            <sz val="10"/>
            <color indexed="81"/>
            <rFont val="Tahoma"/>
            <family val="2"/>
          </rPr>
          <t>Data Entry Cell, Other Owner Costs</t>
        </r>
      </text>
    </comment>
    <comment ref="N49" authorId="1" shapeId="0" xr:uid="{00000000-0006-0000-0B00-000090030000}">
      <text>
        <r>
          <rPr>
            <b/>
            <sz val="10"/>
            <color indexed="81"/>
            <rFont val="Tahoma"/>
            <family val="2"/>
          </rPr>
          <t>Data Entry Cell, Other Owner Costs</t>
        </r>
      </text>
    </comment>
    <comment ref="O49" authorId="1" shapeId="0" xr:uid="{00000000-0006-0000-0B00-000091030000}">
      <text>
        <r>
          <rPr>
            <b/>
            <sz val="10"/>
            <color indexed="81"/>
            <rFont val="Tahoma"/>
            <family val="2"/>
          </rPr>
          <t>Data Entry Cell, Other Owner Costs</t>
        </r>
      </text>
    </comment>
    <comment ref="P49" authorId="1" shapeId="0" xr:uid="{00000000-0006-0000-0B00-000092030000}">
      <text>
        <r>
          <rPr>
            <b/>
            <sz val="10"/>
            <color indexed="81"/>
            <rFont val="Tahoma"/>
            <family val="2"/>
          </rPr>
          <t>Data Entry Cell, Other Owner Costs</t>
        </r>
      </text>
    </comment>
    <comment ref="Q49" authorId="1" shapeId="0" xr:uid="{00000000-0006-0000-0B00-000093030000}">
      <text>
        <r>
          <rPr>
            <b/>
            <sz val="10"/>
            <color indexed="81"/>
            <rFont val="Tahoma"/>
            <family val="2"/>
          </rPr>
          <t>Data Entry Cell, Other Owner Costs</t>
        </r>
      </text>
    </comment>
    <comment ref="R49" authorId="1" shapeId="0" xr:uid="{00000000-0006-0000-0B00-000094030000}">
      <text>
        <r>
          <rPr>
            <b/>
            <sz val="10"/>
            <color indexed="81"/>
            <rFont val="Tahoma"/>
            <family val="2"/>
          </rPr>
          <t>Data Entry Cell, Other Owner Costs</t>
        </r>
      </text>
    </comment>
    <comment ref="S49" authorId="1" shapeId="0" xr:uid="{00000000-0006-0000-0B00-000095030000}">
      <text>
        <r>
          <rPr>
            <b/>
            <sz val="10"/>
            <color indexed="81"/>
            <rFont val="Tahoma"/>
            <family val="2"/>
          </rPr>
          <t>Data Entry Cell, Other Owner Costs</t>
        </r>
      </text>
    </comment>
    <comment ref="T49" authorId="1" shapeId="0" xr:uid="{00000000-0006-0000-0B00-000096030000}">
      <text>
        <r>
          <rPr>
            <b/>
            <sz val="10"/>
            <color indexed="81"/>
            <rFont val="Tahoma"/>
            <family val="2"/>
          </rPr>
          <t>Data Entry Cell, Other Owner Costs</t>
        </r>
      </text>
    </comment>
    <comment ref="U49" authorId="1" shapeId="0" xr:uid="{00000000-0006-0000-0B00-000097030000}">
      <text>
        <r>
          <rPr>
            <b/>
            <sz val="10"/>
            <color indexed="81"/>
            <rFont val="Tahoma"/>
            <family val="2"/>
          </rPr>
          <t>Data Entry Cell, Other Owner Costs</t>
        </r>
      </text>
    </comment>
    <comment ref="V49" authorId="1" shapeId="0" xr:uid="{00000000-0006-0000-0B00-000098030000}">
      <text>
        <r>
          <rPr>
            <b/>
            <sz val="10"/>
            <color indexed="81"/>
            <rFont val="Tahoma"/>
            <family val="2"/>
          </rPr>
          <t>Data Entry Cell, Other Owner Costs</t>
        </r>
      </text>
    </comment>
    <comment ref="W49" authorId="1" shapeId="0" xr:uid="{00000000-0006-0000-0B00-000099030000}">
      <text>
        <r>
          <rPr>
            <b/>
            <sz val="10"/>
            <color indexed="81"/>
            <rFont val="Tahoma"/>
            <family val="2"/>
          </rPr>
          <t>Data Entry Cell, Other Owner Costs</t>
        </r>
      </text>
    </comment>
    <comment ref="X49" authorId="1" shapeId="0" xr:uid="{00000000-0006-0000-0B00-00009A030000}">
      <text>
        <r>
          <rPr>
            <b/>
            <sz val="10"/>
            <color indexed="81"/>
            <rFont val="Tahoma"/>
            <family val="2"/>
          </rPr>
          <t>Data Entry Cell, Other Owner Costs</t>
        </r>
      </text>
    </comment>
    <comment ref="Y49" authorId="1" shapeId="0" xr:uid="{00000000-0006-0000-0B00-00009B030000}">
      <text>
        <r>
          <rPr>
            <b/>
            <sz val="10"/>
            <color indexed="81"/>
            <rFont val="Tahoma"/>
            <family val="2"/>
          </rPr>
          <t>Data Entry Cell, Other Owner Costs</t>
        </r>
      </text>
    </comment>
    <comment ref="Z49" authorId="1" shapeId="0" xr:uid="{00000000-0006-0000-0B00-00009C030000}">
      <text>
        <r>
          <rPr>
            <b/>
            <sz val="10"/>
            <color indexed="81"/>
            <rFont val="Tahoma"/>
            <family val="2"/>
          </rPr>
          <t>Data Entry Cell, Other Owner Costs</t>
        </r>
      </text>
    </comment>
    <comment ref="AA49" authorId="1" shapeId="0" xr:uid="{00000000-0006-0000-0B00-00009D030000}">
      <text>
        <r>
          <rPr>
            <b/>
            <sz val="10"/>
            <color indexed="81"/>
            <rFont val="Tahoma"/>
            <family val="2"/>
          </rPr>
          <t>Data Entry Cell, Other Owner Costs</t>
        </r>
      </text>
    </comment>
    <comment ref="AB49" authorId="1" shapeId="0" xr:uid="{00000000-0006-0000-0B00-00009E030000}">
      <text>
        <r>
          <rPr>
            <b/>
            <sz val="10"/>
            <color indexed="81"/>
            <rFont val="Tahoma"/>
            <family val="2"/>
          </rPr>
          <t>Data Entry Cell, Other Owner Costs</t>
        </r>
      </text>
    </comment>
    <comment ref="AC49" authorId="1" shapeId="0" xr:uid="{00000000-0006-0000-0B00-00009F030000}">
      <text>
        <r>
          <rPr>
            <b/>
            <sz val="10"/>
            <color indexed="81"/>
            <rFont val="Tahoma"/>
            <family val="2"/>
          </rPr>
          <t>Data Entry Cell, Other Owner Costs</t>
        </r>
      </text>
    </comment>
    <comment ref="E50" authorId="1" shapeId="0" xr:uid="{00000000-0006-0000-0B00-0000A0030000}">
      <text>
        <r>
          <rPr>
            <b/>
            <sz val="10"/>
            <color indexed="81"/>
            <rFont val="Tahoma"/>
            <family val="2"/>
          </rPr>
          <t>Data Entry Cell, Other Owner Costs</t>
        </r>
      </text>
    </comment>
    <comment ref="F50" authorId="1" shapeId="0" xr:uid="{00000000-0006-0000-0B00-0000A1030000}">
      <text>
        <r>
          <rPr>
            <b/>
            <sz val="10"/>
            <color indexed="81"/>
            <rFont val="Tahoma"/>
            <family val="2"/>
          </rPr>
          <t>Data Entry Cell, Other Owner Costs</t>
        </r>
      </text>
    </comment>
    <comment ref="G50" authorId="1" shapeId="0" xr:uid="{00000000-0006-0000-0B00-0000A2030000}">
      <text>
        <r>
          <rPr>
            <b/>
            <sz val="10"/>
            <color indexed="81"/>
            <rFont val="Tahoma"/>
            <family val="2"/>
          </rPr>
          <t>Data Entry Cell, Other Owner Costs</t>
        </r>
      </text>
    </comment>
    <comment ref="H50" authorId="1" shapeId="0" xr:uid="{00000000-0006-0000-0B00-0000A3030000}">
      <text>
        <r>
          <rPr>
            <b/>
            <sz val="10"/>
            <color indexed="81"/>
            <rFont val="Tahoma"/>
            <family val="2"/>
          </rPr>
          <t>Data Entry Cell, Other Owner Costs</t>
        </r>
      </text>
    </comment>
    <comment ref="I50" authorId="1" shapeId="0" xr:uid="{00000000-0006-0000-0B00-0000A4030000}">
      <text>
        <r>
          <rPr>
            <b/>
            <sz val="10"/>
            <color indexed="81"/>
            <rFont val="Tahoma"/>
            <family val="2"/>
          </rPr>
          <t>Data Entry Cell, Other Owner Costs</t>
        </r>
      </text>
    </comment>
    <comment ref="J50" authorId="1" shapeId="0" xr:uid="{00000000-0006-0000-0B00-0000A5030000}">
      <text>
        <r>
          <rPr>
            <b/>
            <sz val="10"/>
            <color indexed="81"/>
            <rFont val="Tahoma"/>
            <family val="2"/>
          </rPr>
          <t>Data Entry Cell, Other Owner Costs</t>
        </r>
      </text>
    </comment>
    <comment ref="K50" authorId="1" shapeId="0" xr:uid="{00000000-0006-0000-0B00-0000A6030000}">
      <text>
        <r>
          <rPr>
            <b/>
            <sz val="10"/>
            <color indexed="81"/>
            <rFont val="Tahoma"/>
            <family val="2"/>
          </rPr>
          <t>Data Entry Cell, Other Owner Costs</t>
        </r>
      </text>
    </comment>
    <comment ref="L50" authorId="1" shapeId="0" xr:uid="{00000000-0006-0000-0B00-0000A7030000}">
      <text>
        <r>
          <rPr>
            <b/>
            <sz val="10"/>
            <color indexed="81"/>
            <rFont val="Tahoma"/>
            <family val="2"/>
          </rPr>
          <t>Data Entry Cell, Other Owner Costs</t>
        </r>
      </text>
    </comment>
    <comment ref="M50" authorId="1" shapeId="0" xr:uid="{00000000-0006-0000-0B00-0000A8030000}">
      <text>
        <r>
          <rPr>
            <b/>
            <sz val="10"/>
            <color indexed="81"/>
            <rFont val="Tahoma"/>
            <family val="2"/>
          </rPr>
          <t>Data Entry Cell, Other Owner Costs</t>
        </r>
      </text>
    </comment>
    <comment ref="N50" authorId="1" shapeId="0" xr:uid="{00000000-0006-0000-0B00-0000A9030000}">
      <text>
        <r>
          <rPr>
            <b/>
            <sz val="10"/>
            <color indexed="81"/>
            <rFont val="Tahoma"/>
            <family val="2"/>
          </rPr>
          <t>Data Entry Cell, Other Owner Costs</t>
        </r>
      </text>
    </comment>
    <comment ref="O50" authorId="1" shapeId="0" xr:uid="{00000000-0006-0000-0B00-0000AA030000}">
      <text>
        <r>
          <rPr>
            <b/>
            <sz val="10"/>
            <color indexed="81"/>
            <rFont val="Tahoma"/>
            <family val="2"/>
          </rPr>
          <t>Data Entry Cell, Other Owner Costs</t>
        </r>
      </text>
    </comment>
    <comment ref="P50" authorId="1" shapeId="0" xr:uid="{00000000-0006-0000-0B00-0000AB030000}">
      <text>
        <r>
          <rPr>
            <b/>
            <sz val="10"/>
            <color indexed="81"/>
            <rFont val="Tahoma"/>
            <family val="2"/>
          </rPr>
          <t>Data Entry Cell, Other Owner Costs</t>
        </r>
      </text>
    </comment>
    <comment ref="Q50" authorId="1" shapeId="0" xr:uid="{00000000-0006-0000-0B00-0000AC030000}">
      <text>
        <r>
          <rPr>
            <b/>
            <sz val="10"/>
            <color indexed="81"/>
            <rFont val="Tahoma"/>
            <family val="2"/>
          </rPr>
          <t>Data Entry Cell, Other Owner Costs</t>
        </r>
      </text>
    </comment>
    <comment ref="R50" authorId="1" shapeId="0" xr:uid="{00000000-0006-0000-0B00-0000AD030000}">
      <text>
        <r>
          <rPr>
            <b/>
            <sz val="10"/>
            <color indexed="81"/>
            <rFont val="Tahoma"/>
            <family val="2"/>
          </rPr>
          <t>Data Entry Cell, Other Owner Costs</t>
        </r>
      </text>
    </comment>
    <comment ref="S50" authorId="1" shapeId="0" xr:uid="{00000000-0006-0000-0B00-0000AE030000}">
      <text>
        <r>
          <rPr>
            <b/>
            <sz val="10"/>
            <color indexed="81"/>
            <rFont val="Tahoma"/>
            <family val="2"/>
          </rPr>
          <t>Data Entry Cell, Other Owner Costs</t>
        </r>
      </text>
    </comment>
    <comment ref="T50" authorId="1" shapeId="0" xr:uid="{00000000-0006-0000-0B00-0000AF030000}">
      <text>
        <r>
          <rPr>
            <b/>
            <sz val="10"/>
            <color indexed="81"/>
            <rFont val="Tahoma"/>
            <family val="2"/>
          </rPr>
          <t>Data Entry Cell, Other Owner Costs</t>
        </r>
      </text>
    </comment>
    <comment ref="U50" authorId="1" shapeId="0" xr:uid="{00000000-0006-0000-0B00-0000B0030000}">
      <text>
        <r>
          <rPr>
            <b/>
            <sz val="10"/>
            <color indexed="81"/>
            <rFont val="Tahoma"/>
            <family val="2"/>
          </rPr>
          <t>Data Entry Cell, Other Owner Costs</t>
        </r>
      </text>
    </comment>
    <comment ref="V50" authorId="1" shapeId="0" xr:uid="{00000000-0006-0000-0B00-0000B1030000}">
      <text>
        <r>
          <rPr>
            <b/>
            <sz val="10"/>
            <color indexed="81"/>
            <rFont val="Tahoma"/>
            <family val="2"/>
          </rPr>
          <t>Data Entry Cell, Other Owner Costs</t>
        </r>
      </text>
    </comment>
    <comment ref="W50" authorId="1" shapeId="0" xr:uid="{00000000-0006-0000-0B00-0000B2030000}">
      <text>
        <r>
          <rPr>
            <b/>
            <sz val="10"/>
            <color indexed="81"/>
            <rFont val="Tahoma"/>
            <family val="2"/>
          </rPr>
          <t>Data Entry Cell, Other Owner Costs</t>
        </r>
      </text>
    </comment>
    <comment ref="X50" authorId="1" shapeId="0" xr:uid="{00000000-0006-0000-0B00-0000B3030000}">
      <text>
        <r>
          <rPr>
            <b/>
            <sz val="10"/>
            <color indexed="81"/>
            <rFont val="Tahoma"/>
            <family val="2"/>
          </rPr>
          <t>Data Entry Cell, Other Owner Costs</t>
        </r>
      </text>
    </comment>
    <comment ref="Y50" authorId="1" shapeId="0" xr:uid="{00000000-0006-0000-0B00-0000B4030000}">
      <text>
        <r>
          <rPr>
            <b/>
            <sz val="10"/>
            <color indexed="81"/>
            <rFont val="Tahoma"/>
            <family val="2"/>
          </rPr>
          <t>Data Entry Cell, Other Owner Costs</t>
        </r>
      </text>
    </comment>
    <comment ref="Z50" authorId="1" shapeId="0" xr:uid="{00000000-0006-0000-0B00-0000B5030000}">
      <text>
        <r>
          <rPr>
            <b/>
            <sz val="10"/>
            <color indexed="81"/>
            <rFont val="Tahoma"/>
            <family val="2"/>
          </rPr>
          <t>Data Entry Cell, Other Owner Costs</t>
        </r>
      </text>
    </comment>
    <comment ref="AA50" authorId="1" shapeId="0" xr:uid="{00000000-0006-0000-0B00-0000B6030000}">
      <text>
        <r>
          <rPr>
            <b/>
            <sz val="10"/>
            <color indexed="81"/>
            <rFont val="Tahoma"/>
            <family val="2"/>
          </rPr>
          <t>Data Entry Cell, Other Owner Costs</t>
        </r>
      </text>
    </comment>
    <comment ref="AB50" authorId="1" shapeId="0" xr:uid="{00000000-0006-0000-0B00-0000B7030000}">
      <text>
        <r>
          <rPr>
            <b/>
            <sz val="10"/>
            <color indexed="81"/>
            <rFont val="Tahoma"/>
            <family val="2"/>
          </rPr>
          <t>Data Entry Cell, Other Owner Costs</t>
        </r>
      </text>
    </comment>
    <comment ref="AC50" authorId="1" shapeId="0" xr:uid="{00000000-0006-0000-0B00-0000B8030000}">
      <text>
        <r>
          <rPr>
            <b/>
            <sz val="10"/>
            <color indexed="81"/>
            <rFont val="Tahoma"/>
            <family val="2"/>
          </rPr>
          <t>Data Entry Cell, Other Owner Costs</t>
        </r>
      </text>
    </comment>
    <comment ref="E52" authorId="1" shapeId="0" xr:uid="{00000000-0006-0000-0B00-0000B9030000}">
      <text>
        <r>
          <rPr>
            <b/>
            <sz val="10"/>
            <color indexed="81"/>
            <rFont val="Tahoma"/>
            <family val="2"/>
          </rPr>
          <t>Data Entry Cell, Construction Period Insurance Cost</t>
        </r>
      </text>
    </comment>
    <comment ref="F52" authorId="1" shapeId="0" xr:uid="{00000000-0006-0000-0B00-0000BA030000}">
      <text>
        <r>
          <rPr>
            <b/>
            <sz val="10"/>
            <color indexed="81"/>
            <rFont val="Tahoma"/>
            <family val="2"/>
          </rPr>
          <t>Data Entry Cell, Construction Period Insurance Cost</t>
        </r>
      </text>
    </comment>
    <comment ref="G52" authorId="1" shapeId="0" xr:uid="{00000000-0006-0000-0B00-0000BB030000}">
      <text>
        <r>
          <rPr>
            <b/>
            <sz val="10"/>
            <color indexed="81"/>
            <rFont val="Tahoma"/>
            <family val="2"/>
          </rPr>
          <t>Data Entry Cell, Construction Period Insurance Cost</t>
        </r>
      </text>
    </comment>
    <comment ref="H52" authorId="1" shapeId="0" xr:uid="{00000000-0006-0000-0B00-0000BC030000}">
      <text>
        <r>
          <rPr>
            <b/>
            <sz val="10"/>
            <color indexed="81"/>
            <rFont val="Tahoma"/>
            <family val="2"/>
          </rPr>
          <t>Data Entry Cell, Construction Period Insurance Cost</t>
        </r>
      </text>
    </comment>
    <comment ref="I52" authorId="1" shapeId="0" xr:uid="{00000000-0006-0000-0B00-0000BD030000}">
      <text>
        <r>
          <rPr>
            <b/>
            <sz val="10"/>
            <color indexed="81"/>
            <rFont val="Tahoma"/>
            <family val="2"/>
          </rPr>
          <t>Data Entry Cell, Construction Period Insurance Cost</t>
        </r>
      </text>
    </comment>
    <comment ref="J52" authorId="1" shapeId="0" xr:uid="{00000000-0006-0000-0B00-0000BE030000}">
      <text>
        <r>
          <rPr>
            <b/>
            <sz val="10"/>
            <color indexed="81"/>
            <rFont val="Tahoma"/>
            <family val="2"/>
          </rPr>
          <t>Data Entry Cell, Construction Period Insurance Cost</t>
        </r>
      </text>
    </comment>
    <comment ref="K52" authorId="1" shapeId="0" xr:uid="{00000000-0006-0000-0B00-0000BF030000}">
      <text>
        <r>
          <rPr>
            <b/>
            <sz val="10"/>
            <color indexed="81"/>
            <rFont val="Tahoma"/>
            <family val="2"/>
          </rPr>
          <t>Data Entry Cell, Construction Period Insurance Cost</t>
        </r>
      </text>
    </comment>
    <comment ref="L52" authorId="1" shapeId="0" xr:uid="{00000000-0006-0000-0B00-0000C0030000}">
      <text>
        <r>
          <rPr>
            <b/>
            <sz val="10"/>
            <color indexed="81"/>
            <rFont val="Tahoma"/>
            <family val="2"/>
          </rPr>
          <t>Data Entry Cell, Construction Period Insurance Cost</t>
        </r>
      </text>
    </comment>
    <comment ref="M52" authorId="1" shapeId="0" xr:uid="{00000000-0006-0000-0B00-0000C1030000}">
      <text>
        <r>
          <rPr>
            <b/>
            <sz val="10"/>
            <color indexed="81"/>
            <rFont val="Tahoma"/>
            <family val="2"/>
          </rPr>
          <t>Data Entry Cell, Construction Period Insurance Cost</t>
        </r>
      </text>
    </comment>
    <comment ref="N52" authorId="1" shapeId="0" xr:uid="{00000000-0006-0000-0B00-0000C2030000}">
      <text>
        <r>
          <rPr>
            <b/>
            <sz val="10"/>
            <color indexed="81"/>
            <rFont val="Tahoma"/>
            <family val="2"/>
          </rPr>
          <t>Data Entry Cell, Construction Period Insurance Cost</t>
        </r>
      </text>
    </comment>
    <comment ref="O52" authorId="1" shapeId="0" xr:uid="{00000000-0006-0000-0B00-0000C3030000}">
      <text>
        <r>
          <rPr>
            <b/>
            <sz val="10"/>
            <color indexed="81"/>
            <rFont val="Tahoma"/>
            <family val="2"/>
          </rPr>
          <t>Data Entry Cell, Construction Period Insurance Cost</t>
        </r>
      </text>
    </comment>
    <comment ref="P52" authorId="1" shapeId="0" xr:uid="{00000000-0006-0000-0B00-0000C4030000}">
      <text>
        <r>
          <rPr>
            <b/>
            <sz val="10"/>
            <color indexed="81"/>
            <rFont val="Tahoma"/>
            <family val="2"/>
          </rPr>
          <t>Data Entry Cell, Construction Period Insurance Cost</t>
        </r>
      </text>
    </comment>
    <comment ref="Q52" authorId="1" shapeId="0" xr:uid="{00000000-0006-0000-0B00-0000C5030000}">
      <text>
        <r>
          <rPr>
            <b/>
            <sz val="10"/>
            <color indexed="81"/>
            <rFont val="Tahoma"/>
            <family val="2"/>
          </rPr>
          <t>Data Entry Cell, Construction Period Insurance Cost</t>
        </r>
      </text>
    </comment>
    <comment ref="R52" authorId="1" shapeId="0" xr:uid="{00000000-0006-0000-0B00-0000C6030000}">
      <text>
        <r>
          <rPr>
            <b/>
            <sz val="10"/>
            <color indexed="81"/>
            <rFont val="Tahoma"/>
            <family val="2"/>
          </rPr>
          <t>Data Entry Cell, Construction Period Insurance Cost</t>
        </r>
      </text>
    </comment>
    <comment ref="S52" authorId="1" shapeId="0" xr:uid="{00000000-0006-0000-0B00-0000C7030000}">
      <text>
        <r>
          <rPr>
            <b/>
            <sz val="10"/>
            <color indexed="81"/>
            <rFont val="Tahoma"/>
            <family val="2"/>
          </rPr>
          <t>Data Entry Cell, Construction Period Insurance Cost</t>
        </r>
      </text>
    </comment>
    <comment ref="T52" authorId="1" shapeId="0" xr:uid="{00000000-0006-0000-0B00-0000C8030000}">
      <text>
        <r>
          <rPr>
            <b/>
            <sz val="10"/>
            <color indexed="81"/>
            <rFont val="Tahoma"/>
            <family val="2"/>
          </rPr>
          <t>Data Entry Cell, Construction Period Insurance Cost</t>
        </r>
      </text>
    </comment>
    <comment ref="U52" authorId="1" shapeId="0" xr:uid="{00000000-0006-0000-0B00-0000C9030000}">
      <text>
        <r>
          <rPr>
            <b/>
            <sz val="10"/>
            <color indexed="81"/>
            <rFont val="Tahoma"/>
            <family val="2"/>
          </rPr>
          <t>Data Entry Cell, Construction Period Insurance Cost</t>
        </r>
      </text>
    </comment>
    <comment ref="V52" authorId="1" shapeId="0" xr:uid="{00000000-0006-0000-0B00-0000CA030000}">
      <text>
        <r>
          <rPr>
            <b/>
            <sz val="10"/>
            <color indexed="81"/>
            <rFont val="Tahoma"/>
            <family val="2"/>
          </rPr>
          <t>Data Entry Cell, Construction Period Insurance Cost</t>
        </r>
      </text>
    </comment>
    <comment ref="W52" authorId="1" shapeId="0" xr:uid="{00000000-0006-0000-0B00-0000CB030000}">
      <text>
        <r>
          <rPr>
            <b/>
            <sz val="10"/>
            <color indexed="81"/>
            <rFont val="Tahoma"/>
            <family val="2"/>
          </rPr>
          <t>Data Entry Cell, Construction Period Insurance Cost</t>
        </r>
      </text>
    </comment>
    <comment ref="X52" authorId="1" shapeId="0" xr:uid="{00000000-0006-0000-0B00-0000CC030000}">
      <text>
        <r>
          <rPr>
            <b/>
            <sz val="10"/>
            <color indexed="81"/>
            <rFont val="Tahoma"/>
            <family val="2"/>
          </rPr>
          <t>Data Entry Cell, Construction Period Insurance Cost</t>
        </r>
      </text>
    </comment>
    <comment ref="Y52" authorId="1" shapeId="0" xr:uid="{00000000-0006-0000-0B00-0000CD030000}">
      <text>
        <r>
          <rPr>
            <b/>
            <sz val="10"/>
            <color indexed="81"/>
            <rFont val="Tahoma"/>
            <family val="2"/>
          </rPr>
          <t>Data Entry Cell, Construction Period Insurance Cost</t>
        </r>
      </text>
    </comment>
    <comment ref="Z52" authorId="1" shapeId="0" xr:uid="{00000000-0006-0000-0B00-0000CE030000}">
      <text>
        <r>
          <rPr>
            <b/>
            <sz val="10"/>
            <color indexed="81"/>
            <rFont val="Tahoma"/>
            <family val="2"/>
          </rPr>
          <t>Data Entry Cell, Construction Period Insurance Cost</t>
        </r>
      </text>
    </comment>
    <comment ref="AA52" authorId="1" shapeId="0" xr:uid="{00000000-0006-0000-0B00-0000CF030000}">
      <text>
        <r>
          <rPr>
            <b/>
            <sz val="10"/>
            <color indexed="81"/>
            <rFont val="Tahoma"/>
            <family val="2"/>
          </rPr>
          <t>Data Entry Cell, Construction Period Insurance Cost</t>
        </r>
      </text>
    </comment>
    <comment ref="AB52" authorId="1" shapeId="0" xr:uid="{00000000-0006-0000-0B00-0000D0030000}">
      <text>
        <r>
          <rPr>
            <b/>
            <sz val="10"/>
            <color indexed="81"/>
            <rFont val="Tahoma"/>
            <family val="2"/>
          </rPr>
          <t>Data Entry Cell, Construction Period Insurance Cost</t>
        </r>
      </text>
    </comment>
    <comment ref="AC52" authorId="1" shapeId="0" xr:uid="{00000000-0006-0000-0B00-0000D1030000}">
      <text>
        <r>
          <rPr>
            <b/>
            <sz val="10"/>
            <color indexed="81"/>
            <rFont val="Tahoma"/>
            <family val="2"/>
          </rPr>
          <t>Data Entry Cell, Construction Period Insurance Cost</t>
        </r>
      </text>
    </comment>
    <comment ref="E53" authorId="1" shapeId="0" xr:uid="{00000000-0006-0000-0B00-0000D2030000}">
      <text>
        <r>
          <rPr>
            <b/>
            <sz val="10"/>
            <color indexed="81"/>
            <rFont val="Tahoma"/>
            <family val="2"/>
          </rPr>
          <t>Data Entry Cell, Construction Period Taxes Cost</t>
        </r>
      </text>
    </comment>
    <comment ref="F53" authorId="1" shapeId="0" xr:uid="{00000000-0006-0000-0B00-0000D3030000}">
      <text>
        <r>
          <rPr>
            <b/>
            <sz val="10"/>
            <color indexed="81"/>
            <rFont val="Tahoma"/>
            <family val="2"/>
          </rPr>
          <t>Data Entry Cell, Construction Period Taxes Cost</t>
        </r>
      </text>
    </comment>
    <comment ref="G53" authorId="1" shapeId="0" xr:uid="{00000000-0006-0000-0B00-0000D4030000}">
      <text>
        <r>
          <rPr>
            <b/>
            <sz val="10"/>
            <color indexed="81"/>
            <rFont val="Tahoma"/>
            <family val="2"/>
          </rPr>
          <t>Data Entry Cell, Construction Period Taxes Cost</t>
        </r>
      </text>
    </comment>
    <comment ref="H53" authorId="1" shapeId="0" xr:uid="{00000000-0006-0000-0B00-0000D5030000}">
      <text>
        <r>
          <rPr>
            <b/>
            <sz val="10"/>
            <color indexed="81"/>
            <rFont val="Tahoma"/>
            <family val="2"/>
          </rPr>
          <t>Data Entry Cell, Construction Period Taxes Cost</t>
        </r>
      </text>
    </comment>
    <comment ref="I53" authorId="1" shapeId="0" xr:uid="{00000000-0006-0000-0B00-0000D6030000}">
      <text>
        <r>
          <rPr>
            <b/>
            <sz val="10"/>
            <color indexed="81"/>
            <rFont val="Tahoma"/>
            <family val="2"/>
          </rPr>
          <t>Data Entry Cell, Construction Period Taxes Cost</t>
        </r>
      </text>
    </comment>
    <comment ref="J53" authorId="1" shapeId="0" xr:uid="{00000000-0006-0000-0B00-0000D7030000}">
      <text>
        <r>
          <rPr>
            <b/>
            <sz val="10"/>
            <color indexed="81"/>
            <rFont val="Tahoma"/>
            <family val="2"/>
          </rPr>
          <t>Data Entry Cell, Construction Period Taxes Cost</t>
        </r>
      </text>
    </comment>
    <comment ref="K53" authorId="1" shapeId="0" xr:uid="{00000000-0006-0000-0B00-0000D8030000}">
      <text>
        <r>
          <rPr>
            <b/>
            <sz val="10"/>
            <color indexed="81"/>
            <rFont val="Tahoma"/>
            <family val="2"/>
          </rPr>
          <t>Data Entry Cell, Construction Period Taxes Cost</t>
        </r>
      </text>
    </comment>
    <comment ref="L53" authorId="1" shapeId="0" xr:uid="{00000000-0006-0000-0B00-0000D9030000}">
      <text>
        <r>
          <rPr>
            <b/>
            <sz val="10"/>
            <color indexed="81"/>
            <rFont val="Tahoma"/>
            <family val="2"/>
          </rPr>
          <t>Data Entry Cell, Construction Period Taxes Cost</t>
        </r>
      </text>
    </comment>
    <comment ref="M53" authorId="1" shapeId="0" xr:uid="{00000000-0006-0000-0B00-0000DA030000}">
      <text>
        <r>
          <rPr>
            <b/>
            <sz val="10"/>
            <color indexed="81"/>
            <rFont val="Tahoma"/>
            <family val="2"/>
          </rPr>
          <t>Data Entry Cell, Construction Period Taxes Cost</t>
        </r>
      </text>
    </comment>
    <comment ref="N53" authorId="1" shapeId="0" xr:uid="{00000000-0006-0000-0B00-0000DB030000}">
      <text>
        <r>
          <rPr>
            <b/>
            <sz val="10"/>
            <color indexed="81"/>
            <rFont val="Tahoma"/>
            <family val="2"/>
          </rPr>
          <t>Data Entry Cell, Construction Period Taxes Cost</t>
        </r>
      </text>
    </comment>
    <comment ref="O53" authorId="1" shapeId="0" xr:uid="{00000000-0006-0000-0B00-0000DC030000}">
      <text>
        <r>
          <rPr>
            <b/>
            <sz val="10"/>
            <color indexed="81"/>
            <rFont val="Tahoma"/>
            <family val="2"/>
          </rPr>
          <t>Data Entry Cell, Construction Period Taxes Cost</t>
        </r>
      </text>
    </comment>
    <comment ref="P53" authorId="1" shapeId="0" xr:uid="{00000000-0006-0000-0B00-0000DD030000}">
      <text>
        <r>
          <rPr>
            <b/>
            <sz val="10"/>
            <color indexed="81"/>
            <rFont val="Tahoma"/>
            <family val="2"/>
          </rPr>
          <t>Data Entry Cell, Construction Period Taxes Cost</t>
        </r>
      </text>
    </comment>
    <comment ref="Q53" authorId="1" shapeId="0" xr:uid="{00000000-0006-0000-0B00-0000DE030000}">
      <text>
        <r>
          <rPr>
            <b/>
            <sz val="10"/>
            <color indexed="81"/>
            <rFont val="Tahoma"/>
            <family val="2"/>
          </rPr>
          <t>Data Entry Cell, Construction Period Taxes Cost</t>
        </r>
      </text>
    </comment>
    <comment ref="R53" authorId="1" shapeId="0" xr:uid="{00000000-0006-0000-0B00-0000DF030000}">
      <text>
        <r>
          <rPr>
            <b/>
            <sz val="10"/>
            <color indexed="81"/>
            <rFont val="Tahoma"/>
            <family val="2"/>
          </rPr>
          <t>Data Entry Cell, Construction Period Taxes Cost</t>
        </r>
      </text>
    </comment>
    <comment ref="S53" authorId="1" shapeId="0" xr:uid="{00000000-0006-0000-0B00-0000E0030000}">
      <text>
        <r>
          <rPr>
            <b/>
            <sz val="10"/>
            <color indexed="81"/>
            <rFont val="Tahoma"/>
            <family val="2"/>
          </rPr>
          <t>Data Entry Cell, Construction Period Taxes Cost</t>
        </r>
      </text>
    </comment>
    <comment ref="T53" authorId="1" shapeId="0" xr:uid="{00000000-0006-0000-0B00-0000E1030000}">
      <text>
        <r>
          <rPr>
            <b/>
            <sz val="10"/>
            <color indexed="81"/>
            <rFont val="Tahoma"/>
            <family val="2"/>
          </rPr>
          <t>Data Entry Cell, Construction Period Taxes Cost</t>
        </r>
      </text>
    </comment>
    <comment ref="U53" authorId="1" shapeId="0" xr:uid="{00000000-0006-0000-0B00-0000E2030000}">
      <text>
        <r>
          <rPr>
            <b/>
            <sz val="10"/>
            <color indexed="81"/>
            <rFont val="Tahoma"/>
            <family val="2"/>
          </rPr>
          <t>Data Entry Cell, Construction Period Taxes Cost</t>
        </r>
      </text>
    </comment>
    <comment ref="V53" authorId="1" shapeId="0" xr:uid="{00000000-0006-0000-0B00-0000E3030000}">
      <text>
        <r>
          <rPr>
            <b/>
            <sz val="10"/>
            <color indexed="81"/>
            <rFont val="Tahoma"/>
            <family val="2"/>
          </rPr>
          <t>Data Entry Cell, Construction Period Taxes Cost</t>
        </r>
      </text>
    </comment>
    <comment ref="W53" authorId="1" shapeId="0" xr:uid="{00000000-0006-0000-0B00-0000E4030000}">
      <text>
        <r>
          <rPr>
            <b/>
            <sz val="10"/>
            <color indexed="81"/>
            <rFont val="Tahoma"/>
            <family val="2"/>
          </rPr>
          <t>Data Entry Cell, Construction Period Taxes Cost</t>
        </r>
      </text>
    </comment>
    <comment ref="X53" authorId="1" shapeId="0" xr:uid="{00000000-0006-0000-0B00-0000E5030000}">
      <text>
        <r>
          <rPr>
            <b/>
            <sz val="10"/>
            <color indexed="81"/>
            <rFont val="Tahoma"/>
            <family val="2"/>
          </rPr>
          <t>Data Entry Cell, Construction Period Taxes Cost</t>
        </r>
      </text>
    </comment>
    <comment ref="Y53" authorId="1" shapeId="0" xr:uid="{00000000-0006-0000-0B00-0000E6030000}">
      <text>
        <r>
          <rPr>
            <b/>
            <sz val="10"/>
            <color indexed="81"/>
            <rFont val="Tahoma"/>
            <family val="2"/>
          </rPr>
          <t>Data Entry Cell, Construction Period Taxes Cost</t>
        </r>
      </text>
    </comment>
    <comment ref="Z53" authorId="1" shapeId="0" xr:uid="{00000000-0006-0000-0B00-0000E7030000}">
      <text>
        <r>
          <rPr>
            <b/>
            <sz val="10"/>
            <color indexed="81"/>
            <rFont val="Tahoma"/>
            <family val="2"/>
          </rPr>
          <t>Data Entry Cell, Construction Period Taxes Cost</t>
        </r>
      </text>
    </comment>
    <comment ref="AA53" authorId="1" shapeId="0" xr:uid="{00000000-0006-0000-0B00-0000E8030000}">
      <text>
        <r>
          <rPr>
            <b/>
            <sz val="10"/>
            <color indexed="81"/>
            <rFont val="Tahoma"/>
            <family val="2"/>
          </rPr>
          <t>Data Entry Cell, Construction Period Taxes Cost</t>
        </r>
      </text>
    </comment>
    <comment ref="AB53" authorId="1" shapeId="0" xr:uid="{00000000-0006-0000-0B00-0000E9030000}">
      <text>
        <r>
          <rPr>
            <b/>
            <sz val="10"/>
            <color indexed="81"/>
            <rFont val="Tahoma"/>
            <family val="2"/>
          </rPr>
          <t>Data Entry Cell, Construction Period Taxes Cost</t>
        </r>
      </text>
    </comment>
    <comment ref="AC53" authorId="1" shapeId="0" xr:uid="{00000000-0006-0000-0B00-0000EA030000}">
      <text>
        <r>
          <rPr>
            <b/>
            <sz val="10"/>
            <color indexed="81"/>
            <rFont val="Tahoma"/>
            <family val="2"/>
          </rPr>
          <t>Data Entry Cell, Construction Period Taxes Cost</t>
        </r>
      </text>
    </comment>
    <comment ref="A54" authorId="0" shapeId="0" xr:uid="{00000000-0006-0000-0B00-0000EB030000}">
      <text>
        <r>
          <rPr>
            <b/>
            <sz val="8"/>
            <color indexed="81"/>
            <rFont val="Tahoma"/>
            <family val="2"/>
          </rPr>
          <t>This line item is shown at zero, because construction interest is estimated at the bottom of this tab.</t>
        </r>
      </text>
    </comment>
    <comment ref="E55" authorId="1" shapeId="0" xr:uid="{00000000-0006-0000-0B00-0000EC030000}">
      <text>
        <r>
          <rPr>
            <b/>
            <sz val="10"/>
            <color indexed="81"/>
            <rFont val="Tahoma"/>
            <family val="2"/>
          </rPr>
          <t>Data Entry Cell, Construction Loan Origination Fee</t>
        </r>
      </text>
    </comment>
    <comment ref="F55" authorId="1" shapeId="0" xr:uid="{00000000-0006-0000-0B00-0000ED030000}">
      <text>
        <r>
          <rPr>
            <b/>
            <sz val="10"/>
            <color indexed="81"/>
            <rFont val="Tahoma"/>
            <family val="2"/>
          </rPr>
          <t>Data Entry Cell, Construction Loan Origination Fee</t>
        </r>
      </text>
    </comment>
    <comment ref="G55" authorId="1" shapeId="0" xr:uid="{00000000-0006-0000-0B00-0000EE030000}">
      <text>
        <r>
          <rPr>
            <b/>
            <sz val="10"/>
            <color indexed="81"/>
            <rFont val="Tahoma"/>
            <family val="2"/>
          </rPr>
          <t>Data Entry Cell, Construction Loan Origination Fee</t>
        </r>
      </text>
    </comment>
    <comment ref="H55" authorId="1" shapeId="0" xr:uid="{00000000-0006-0000-0B00-0000EF030000}">
      <text>
        <r>
          <rPr>
            <b/>
            <sz val="10"/>
            <color indexed="81"/>
            <rFont val="Tahoma"/>
            <family val="2"/>
          </rPr>
          <t>Data Entry Cell, Construction Loan Origination Fee</t>
        </r>
      </text>
    </comment>
    <comment ref="I55" authorId="1" shapeId="0" xr:uid="{00000000-0006-0000-0B00-0000F0030000}">
      <text>
        <r>
          <rPr>
            <b/>
            <sz val="10"/>
            <color indexed="81"/>
            <rFont val="Tahoma"/>
            <family val="2"/>
          </rPr>
          <t>Data Entry Cell, Construction Loan Origination Fee</t>
        </r>
      </text>
    </comment>
    <comment ref="J55" authorId="1" shapeId="0" xr:uid="{00000000-0006-0000-0B00-0000F1030000}">
      <text>
        <r>
          <rPr>
            <b/>
            <sz val="10"/>
            <color indexed="81"/>
            <rFont val="Tahoma"/>
            <family val="2"/>
          </rPr>
          <t>Data Entry Cell, Construction Loan Origination Fee</t>
        </r>
      </text>
    </comment>
    <comment ref="K55" authorId="1" shapeId="0" xr:uid="{00000000-0006-0000-0B00-0000F2030000}">
      <text>
        <r>
          <rPr>
            <b/>
            <sz val="10"/>
            <color indexed="81"/>
            <rFont val="Tahoma"/>
            <family val="2"/>
          </rPr>
          <t>Data Entry Cell, Construction Loan Origination Fee</t>
        </r>
      </text>
    </comment>
    <comment ref="L55" authorId="1" shapeId="0" xr:uid="{00000000-0006-0000-0B00-0000F3030000}">
      <text>
        <r>
          <rPr>
            <b/>
            <sz val="10"/>
            <color indexed="81"/>
            <rFont val="Tahoma"/>
            <family val="2"/>
          </rPr>
          <t>Data Entry Cell, Construction Loan Origination Fee</t>
        </r>
      </text>
    </comment>
    <comment ref="M55" authorId="1" shapeId="0" xr:uid="{00000000-0006-0000-0B00-0000F4030000}">
      <text>
        <r>
          <rPr>
            <b/>
            <sz val="10"/>
            <color indexed="81"/>
            <rFont val="Tahoma"/>
            <family val="2"/>
          </rPr>
          <t>Data Entry Cell, Construction Loan Origination Fee</t>
        </r>
      </text>
    </comment>
    <comment ref="N55" authorId="1" shapeId="0" xr:uid="{00000000-0006-0000-0B00-0000F5030000}">
      <text>
        <r>
          <rPr>
            <b/>
            <sz val="10"/>
            <color indexed="81"/>
            <rFont val="Tahoma"/>
            <family val="2"/>
          </rPr>
          <t>Data Entry Cell, Construction Loan Origination Fee</t>
        </r>
      </text>
    </comment>
    <comment ref="O55" authorId="1" shapeId="0" xr:uid="{00000000-0006-0000-0B00-0000F6030000}">
      <text>
        <r>
          <rPr>
            <b/>
            <sz val="10"/>
            <color indexed="81"/>
            <rFont val="Tahoma"/>
            <family val="2"/>
          </rPr>
          <t>Data Entry Cell, Construction Loan Origination Fee</t>
        </r>
      </text>
    </comment>
    <comment ref="P55" authorId="1" shapeId="0" xr:uid="{00000000-0006-0000-0B00-0000F7030000}">
      <text>
        <r>
          <rPr>
            <b/>
            <sz val="10"/>
            <color indexed="81"/>
            <rFont val="Tahoma"/>
            <family val="2"/>
          </rPr>
          <t>Data Entry Cell, Construction Loan Origination Fee</t>
        </r>
      </text>
    </comment>
    <comment ref="Q55" authorId="1" shapeId="0" xr:uid="{00000000-0006-0000-0B00-0000F8030000}">
      <text>
        <r>
          <rPr>
            <b/>
            <sz val="10"/>
            <color indexed="81"/>
            <rFont val="Tahoma"/>
            <family val="2"/>
          </rPr>
          <t>Data Entry Cell, Construction Loan Origination Fee</t>
        </r>
      </text>
    </comment>
    <comment ref="R55" authorId="1" shapeId="0" xr:uid="{00000000-0006-0000-0B00-0000F9030000}">
      <text>
        <r>
          <rPr>
            <b/>
            <sz val="10"/>
            <color indexed="81"/>
            <rFont val="Tahoma"/>
            <family val="2"/>
          </rPr>
          <t>Data Entry Cell, Construction Loan Origination Fee</t>
        </r>
      </text>
    </comment>
    <comment ref="S55" authorId="1" shapeId="0" xr:uid="{00000000-0006-0000-0B00-0000FA030000}">
      <text>
        <r>
          <rPr>
            <b/>
            <sz val="10"/>
            <color indexed="81"/>
            <rFont val="Tahoma"/>
            <family val="2"/>
          </rPr>
          <t>Data Entry Cell, Construction Loan Origination Fee</t>
        </r>
      </text>
    </comment>
    <comment ref="T55" authorId="1" shapeId="0" xr:uid="{00000000-0006-0000-0B00-0000FB030000}">
      <text>
        <r>
          <rPr>
            <b/>
            <sz val="10"/>
            <color indexed="81"/>
            <rFont val="Tahoma"/>
            <family val="2"/>
          </rPr>
          <t>Data Entry Cell, Construction Loan Origination Fee</t>
        </r>
      </text>
    </comment>
    <comment ref="U55" authorId="1" shapeId="0" xr:uid="{00000000-0006-0000-0B00-0000FC030000}">
      <text>
        <r>
          <rPr>
            <b/>
            <sz val="10"/>
            <color indexed="81"/>
            <rFont val="Tahoma"/>
            <family val="2"/>
          </rPr>
          <t>Data Entry Cell, Construction Loan Origination Fee</t>
        </r>
      </text>
    </comment>
    <comment ref="V55" authorId="1" shapeId="0" xr:uid="{00000000-0006-0000-0B00-0000FD030000}">
      <text>
        <r>
          <rPr>
            <b/>
            <sz val="10"/>
            <color indexed="81"/>
            <rFont val="Tahoma"/>
            <family val="2"/>
          </rPr>
          <t>Data Entry Cell, Construction Loan Origination Fee</t>
        </r>
      </text>
    </comment>
    <comment ref="W55" authorId="1" shapeId="0" xr:uid="{00000000-0006-0000-0B00-0000FE030000}">
      <text>
        <r>
          <rPr>
            <b/>
            <sz val="10"/>
            <color indexed="81"/>
            <rFont val="Tahoma"/>
            <family val="2"/>
          </rPr>
          <t>Data Entry Cell, Construction Loan Origination Fee</t>
        </r>
      </text>
    </comment>
    <comment ref="X55" authorId="1" shapeId="0" xr:uid="{00000000-0006-0000-0B00-0000FF030000}">
      <text>
        <r>
          <rPr>
            <b/>
            <sz val="10"/>
            <color indexed="81"/>
            <rFont val="Tahoma"/>
            <family val="2"/>
          </rPr>
          <t>Data Entry Cell, Construction Loan Origination Fee</t>
        </r>
      </text>
    </comment>
    <comment ref="Y55" authorId="1" shapeId="0" xr:uid="{00000000-0006-0000-0B00-000000040000}">
      <text>
        <r>
          <rPr>
            <b/>
            <sz val="10"/>
            <color indexed="81"/>
            <rFont val="Tahoma"/>
            <family val="2"/>
          </rPr>
          <t>Data Entry Cell, Construction Loan Origination Fee</t>
        </r>
      </text>
    </comment>
    <comment ref="Z55" authorId="1" shapeId="0" xr:uid="{00000000-0006-0000-0B00-000001040000}">
      <text>
        <r>
          <rPr>
            <b/>
            <sz val="10"/>
            <color indexed="81"/>
            <rFont val="Tahoma"/>
            <family val="2"/>
          </rPr>
          <t>Data Entry Cell, Construction Loan Origination Fee</t>
        </r>
      </text>
    </comment>
    <comment ref="AA55" authorId="1" shapeId="0" xr:uid="{00000000-0006-0000-0B00-000002040000}">
      <text>
        <r>
          <rPr>
            <b/>
            <sz val="10"/>
            <color indexed="81"/>
            <rFont val="Tahoma"/>
            <family val="2"/>
          </rPr>
          <t>Data Entry Cell, Construction Loan Origination Fee</t>
        </r>
      </text>
    </comment>
    <comment ref="AB55" authorId="1" shapeId="0" xr:uid="{00000000-0006-0000-0B00-000003040000}">
      <text>
        <r>
          <rPr>
            <b/>
            <sz val="10"/>
            <color indexed="81"/>
            <rFont val="Tahoma"/>
            <family val="2"/>
          </rPr>
          <t>Data Entry Cell, Construction Loan Origination Fee</t>
        </r>
      </text>
    </comment>
    <comment ref="AC55" authorId="1" shapeId="0" xr:uid="{00000000-0006-0000-0B00-000004040000}">
      <text>
        <r>
          <rPr>
            <b/>
            <sz val="10"/>
            <color indexed="81"/>
            <rFont val="Tahoma"/>
            <family val="2"/>
          </rPr>
          <t>Data Entry Cell, Construction Loan Origination Fee</t>
        </r>
      </text>
    </comment>
    <comment ref="E56" authorId="1" shapeId="0" xr:uid="{00000000-0006-0000-0B00-000005040000}">
      <text>
        <r>
          <rPr>
            <b/>
            <sz val="10"/>
            <color indexed="81"/>
            <rFont val="Tahoma"/>
            <family val="2"/>
          </rPr>
          <t>Data Entry Cell, Construction Loan Legal Fees</t>
        </r>
      </text>
    </comment>
    <comment ref="F56" authorId="1" shapeId="0" xr:uid="{00000000-0006-0000-0B00-000006040000}">
      <text>
        <r>
          <rPr>
            <b/>
            <sz val="10"/>
            <color indexed="81"/>
            <rFont val="Tahoma"/>
            <family val="2"/>
          </rPr>
          <t>Data Entry Cell, Construction Loan Legal Fees</t>
        </r>
      </text>
    </comment>
    <comment ref="G56" authorId="1" shapeId="0" xr:uid="{00000000-0006-0000-0B00-000007040000}">
      <text>
        <r>
          <rPr>
            <b/>
            <sz val="10"/>
            <color indexed="81"/>
            <rFont val="Tahoma"/>
            <family val="2"/>
          </rPr>
          <t>Data Entry Cell, Construction Loan Legal Fees</t>
        </r>
      </text>
    </comment>
    <comment ref="H56" authorId="1" shapeId="0" xr:uid="{00000000-0006-0000-0B00-000008040000}">
      <text>
        <r>
          <rPr>
            <b/>
            <sz val="10"/>
            <color indexed="81"/>
            <rFont val="Tahoma"/>
            <family val="2"/>
          </rPr>
          <t>Data Entry Cell, Construction Loan Legal Fees</t>
        </r>
      </text>
    </comment>
    <comment ref="I56" authorId="1" shapeId="0" xr:uid="{00000000-0006-0000-0B00-000009040000}">
      <text>
        <r>
          <rPr>
            <b/>
            <sz val="10"/>
            <color indexed="81"/>
            <rFont val="Tahoma"/>
            <family val="2"/>
          </rPr>
          <t>Data Entry Cell, Construction Loan Legal Fees</t>
        </r>
      </text>
    </comment>
    <comment ref="J56" authorId="1" shapeId="0" xr:uid="{00000000-0006-0000-0B00-00000A040000}">
      <text>
        <r>
          <rPr>
            <b/>
            <sz val="10"/>
            <color indexed="81"/>
            <rFont val="Tahoma"/>
            <family val="2"/>
          </rPr>
          <t>Data Entry Cell, Construction Loan Legal Fees</t>
        </r>
      </text>
    </comment>
    <comment ref="K56" authorId="1" shapeId="0" xr:uid="{00000000-0006-0000-0B00-00000B040000}">
      <text>
        <r>
          <rPr>
            <b/>
            <sz val="10"/>
            <color indexed="81"/>
            <rFont val="Tahoma"/>
            <family val="2"/>
          </rPr>
          <t>Data Entry Cell, Construction Loan Legal Fees</t>
        </r>
      </text>
    </comment>
    <comment ref="L56" authorId="1" shapeId="0" xr:uid="{00000000-0006-0000-0B00-00000C040000}">
      <text>
        <r>
          <rPr>
            <b/>
            <sz val="10"/>
            <color indexed="81"/>
            <rFont val="Tahoma"/>
            <family val="2"/>
          </rPr>
          <t>Data Entry Cell, Construction Loan Legal Fees</t>
        </r>
      </text>
    </comment>
    <comment ref="M56" authorId="1" shapeId="0" xr:uid="{00000000-0006-0000-0B00-00000D040000}">
      <text>
        <r>
          <rPr>
            <b/>
            <sz val="10"/>
            <color indexed="81"/>
            <rFont val="Tahoma"/>
            <family val="2"/>
          </rPr>
          <t>Data Entry Cell, Construction Loan Legal Fees</t>
        </r>
      </text>
    </comment>
    <comment ref="N56" authorId="1" shapeId="0" xr:uid="{00000000-0006-0000-0B00-00000E040000}">
      <text>
        <r>
          <rPr>
            <b/>
            <sz val="10"/>
            <color indexed="81"/>
            <rFont val="Tahoma"/>
            <family val="2"/>
          </rPr>
          <t>Data Entry Cell, Construction Loan Legal Fees</t>
        </r>
      </text>
    </comment>
    <comment ref="O56" authorId="1" shapeId="0" xr:uid="{00000000-0006-0000-0B00-00000F040000}">
      <text>
        <r>
          <rPr>
            <b/>
            <sz val="10"/>
            <color indexed="81"/>
            <rFont val="Tahoma"/>
            <family val="2"/>
          </rPr>
          <t>Data Entry Cell, Construction Loan Legal Fees</t>
        </r>
      </text>
    </comment>
    <comment ref="P56" authorId="1" shapeId="0" xr:uid="{00000000-0006-0000-0B00-000010040000}">
      <text>
        <r>
          <rPr>
            <b/>
            <sz val="10"/>
            <color indexed="81"/>
            <rFont val="Tahoma"/>
            <family val="2"/>
          </rPr>
          <t>Data Entry Cell, Construction Loan Legal Fees</t>
        </r>
      </text>
    </comment>
    <comment ref="Q56" authorId="1" shapeId="0" xr:uid="{00000000-0006-0000-0B00-000011040000}">
      <text>
        <r>
          <rPr>
            <b/>
            <sz val="10"/>
            <color indexed="81"/>
            <rFont val="Tahoma"/>
            <family val="2"/>
          </rPr>
          <t>Data Entry Cell, Construction Loan Legal Fees</t>
        </r>
      </text>
    </comment>
    <comment ref="R56" authorId="1" shapeId="0" xr:uid="{00000000-0006-0000-0B00-000012040000}">
      <text>
        <r>
          <rPr>
            <b/>
            <sz val="10"/>
            <color indexed="81"/>
            <rFont val="Tahoma"/>
            <family val="2"/>
          </rPr>
          <t>Data Entry Cell, Construction Loan Legal Fees</t>
        </r>
      </text>
    </comment>
    <comment ref="S56" authorId="1" shapeId="0" xr:uid="{00000000-0006-0000-0B00-000013040000}">
      <text>
        <r>
          <rPr>
            <b/>
            <sz val="10"/>
            <color indexed="81"/>
            <rFont val="Tahoma"/>
            <family val="2"/>
          </rPr>
          <t>Data Entry Cell, Construction Loan Legal Fees</t>
        </r>
      </text>
    </comment>
    <comment ref="T56" authorId="1" shapeId="0" xr:uid="{00000000-0006-0000-0B00-000014040000}">
      <text>
        <r>
          <rPr>
            <b/>
            <sz val="10"/>
            <color indexed="81"/>
            <rFont val="Tahoma"/>
            <family val="2"/>
          </rPr>
          <t>Data Entry Cell, Construction Loan Legal Fees</t>
        </r>
      </text>
    </comment>
    <comment ref="U56" authorId="1" shapeId="0" xr:uid="{00000000-0006-0000-0B00-000015040000}">
      <text>
        <r>
          <rPr>
            <b/>
            <sz val="10"/>
            <color indexed="81"/>
            <rFont val="Tahoma"/>
            <family val="2"/>
          </rPr>
          <t>Data Entry Cell, Construction Loan Legal Fees</t>
        </r>
      </text>
    </comment>
    <comment ref="V56" authorId="1" shapeId="0" xr:uid="{00000000-0006-0000-0B00-000016040000}">
      <text>
        <r>
          <rPr>
            <b/>
            <sz val="10"/>
            <color indexed="81"/>
            <rFont val="Tahoma"/>
            <family val="2"/>
          </rPr>
          <t>Data Entry Cell, Construction Loan Legal Fees</t>
        </r>
      </text>
    </comment>
    <comment ref="W56" authorId="1" shapeId="0" xr:uid="{00000000-0006-0000-0B00-000017040000}">
      <text>
        <r>
          <rPr>
            <b/>
            <sz val="10"/>
            <color indexed="81"/>
            <rFont val="Tahoma"/>
            <family val="2"/>
          </rPr>
          <t>Data Entry Cell, Construction Loan Legal Fees</t>
        </r>
      </text>
    </comment>
    <comment ref="X56" authorId="1" shapeId="0" xr:uid="{00000000-0006-0000-0B00-000018040000}">
      <text>
        <r>
          <rPr>
            <b/>
            <sz val="10"/>
            <color indexed="81"/>
            <rFont val="Tahoma"/>
            <family val="2"/>
          </rPr>
          <t>Data Entry Cell, Construction Loan Legal Fees</t>
        </r>
      </text>
    </comment>
    <comment ref="Y56" authorId="1" shapeId="0" xr:uid="{00000000-0006-0000-0B00-000019040000}">
      <text>
        <r>
          <rPr>
            <b/>
            <sz val="10"/>
            <color indexed="81"/>
            <rFont val="Tahoma"/>
            <family val="2"/>
          </rPr>
          <t>Data Entry Cell, Construction Loan Legal Fees</t>
        </r>
      </text>
    </comment>
    <comment ref="Z56" authorId="1" shapeId="0" xr:uid="{00000000-0006-0000-0B00-00001A040000}">
      <text>
        <r>
          <rPr>
            <b/>
            <sz val="10"/>
            <color indexed="81"/>
            <rFont val="Tahoma"/>
            <family val="2"/>
          </rPr>
          <t>Data Entry Cell, Construction Loan Legal Fees</t>
        </r>
      </text>
    </comment>
    <comment ref="AA56" authorId="1" shapeId="0" xr:uid="{00000000-0006-0000-0B00-00001B040000}">
      <text>
        <r>
          <rPr>
            <b/>
            <sz val="10"/>
            <color indexed="81"/>
            <rFont val="Tahoma"/>
            <family val="2"/>
          </rPr>
          <t>Data Entry Cell, Construction Loan Legal Fees</t>
        </r>
      </text>
    </comment>
    <comment ref="AB56" authorId="1" shapeId="0" xr:uid="{00000000-0006-0000-0B00-00001C040000}">
      <text>
        <r>
          <rPr>
            <b/>
            <sz val="10"/>
            <color indexed="81"/>
            <rFont val="Tahoma"/>
            <family val="2"/>
          </rPr>
          <t>Data Entry Cell, Construction Loan Legal Fees</t>
        </r>
      </text>
    </comment>
    <comment ref="AC56" authorId="1" shapeId="0" xr:uid="{00000000-0006-0000-0B00-00001D040000}">
      <text>
        <r>
          <rPr>
            <b/>
            <sz val="10"/>
            <color indexed="81"/>
            <rFont val="Tahoma"/>
            <family val="2"/>
          </rPr>
          <t>Data Entry Cell, Construction Loan Legal Fees</t>
        </r>
      </text>
    </comment>
    <comment ref="E57" authorId="1" shapeId="0" xr:uid="{00000000-0006-0000-0B00-00001E040000}">
      <text>
        <r>
          <rPr>
            <b/>
            <sz val="10"/>
            <color indexed="81"/>
            <rFont val="Tahoma"/>
            <family val="2"/>
          </rPr>
          <t>Data Entry Cell, Other Construction Loan Fees</t>
        </r>
      </text>
    </comment>
    <comment ref="F57" authorId="1" shapeId="0" xr:uid="{00000000-0006-0000-0B00-00001F040000}">
      <text>
        <r>
          <rPr>
            <b/>
            <sz val="10"/>
            <color indexed="81"/>
            <rFont val="Tahoma"/>
            <family val="2"/>
          </rPr>
          <t>Data Entry Cell, Other Construction Loan Fees</t>
        </r>
      </text>
    </comment>
    <comment ref="G57" authorId="1" shapeId="0" xr:uid="{00000000-0006-0000-0B00-000020040000}">
      <text>
        <r>
          <rPr>
            <b/>
            <sz val="10"/>
            <color indexed="81"/>
            <rFont val="Tahoma"/>
            <family val="2"/>
          </rPr>
          <t>Data Entry Cell, Other Construction Loan Fees</t>
        </r>
      </text>
    </comment>
    <comment ref="H57" authorId="1" shapeId="0" xr:uid="{00000000-0006-0000-0B00-000021040000}">
      <text>
        <r>
          <rPr>
            <b/>
            <sz val="10"/>
            <color indexed="81"/>
            <rFont val="Tahoma"/>
            <family val="2"/>
          </rPr>
          <t>Data Entry Cell, Other Construction Loan Fees</t>
        </r>
      </text>
    </comment>
    <comment ref="I57" authorId="1" shapeId="0" xr:uid="{00000000-0006-0000-0B00-000022040000}">
      <text>
        <r>
          <rPr>
            <b/>
            <sz val="10"/>
            <color indexed="81"/>
            <rFont val="Tahoma"/>
            <family val="2"/>
          </rPr>
          <t>Data Entry Cell, Other Construction Loan Fees</t>
        </r>
      </text>
    </comment>
    <comment ref="J57" authorId="1" shapeId="0" xr:uid="{00000000-0006-0000-0B00-000023040000}">
      <text>
        <r>
          <rPr>
            <b/>
            <sz val="10"/>
            <color indexed="81"/>
            <rFont val="Tahoma"/>
            <family val="2"/>
          </rPr>
          <t>Data Entry Cell, Other Construction Loan Fees</t>
        </r>
      </text>
    </comment>
    <comment ref="K57" authorId="1" shapeId="0" xr:uid="{00000000-0006-0000-0B00-000024040000}">
      <text>
        <r>
          <rPr>
            <b/>
            <sz val="10"/>
            <color indexed="81"/>
            <rFont val="Tahoma"/>
            <family val="2"/>
          </rPr>
          <t>Data Entry Cell, Other Construction Loan Fees</t>
        </r>
      </text>
    </comment>
    <comment ref="L57" authorId="1" shapeId="0" xr:uid="{00000000-0006-0000-0B00-000025040000}">
      <text>
        <r>
          <rPr>
            <b/>
            <sz val="10"/>
            <color indexed="81"/>
            <rFont val="Tahoma"/>
            <family val="2"/>
          </rPr>
          <t>Data Entry Cell, Other Construction Loan Fees</t>
        </r>
      </text>
    </comment>
    <comment ref="M57" authorId="1" shapeId="0" xr:uid="{00000000-0006-0000-0B00-000026040000}">
      <text>
        <r>
          <rPr>
            <b/>
            <sz val="10"/>
            <color indexed="81"/>
            <rFont val="Tahoma"/>
            <family val="2"/>
          </rPr>
          <t>Data Entry Cell, Other Construction Loan Fees</t>
        </r>
      </text>
    </comment>
    <comment ref="N57" authorId="1" shapeId="0" xr:uid="{00000000-0006-0000-0B00-000027040000}">
      <text>
        <r>
          <rPr>
            <b/>
            <sz val="10"/>
            <color indexed="81"/>
            <rFont val="Tahoma"/>
            <family val="2"/>
          </rPr>
          <t>Data Entry Cell, Other Construction Loan Fees</t>
        </r>
      </text>
    </comment>
    <comment ref="O57" authorId="1" shapeId="0" xr:uid="{00000000-0006-0000-0B00-000028040000}">
      <text>
        <r>
          <rPr>
            <b/>
            <sz val="10"/>
            <color indexed="81"/>
            <rFont val="Tahoma"/>
            <family val="2"/>
          </rPr>
          <t>Data Entry Cell, Other Construction Loan Fees</t>
        </r>
      </text>
    </comment>
    <comment ref="P57" authorId="1" shapeId="0" xr:uid="{00000000-0006-0000-0B00-000029040000}">
      <text>
        <r>
          <rPr>
            <b/>
            <sz val="10"/>
            <color indexed="81"/>
            <rFont val="Tahoma"/>
            <family val="2"/>
          </rPr>
          <t>Data Entry Cell, Other Construction Loan Fees</t>
        </r>
      </text>
    </comment>
    <comment ref="Q57" authorId="1" shapeId="0" xr:uid="{00000000-0006-0000-0B00-00002A040000}">
      <text>
        <r>
          <rPr>
            <b/>
            <sz val="10"/>
            <color indexed="81"/>
            <rFont val="Tahoma"/>
            <family val="2"/>
          </rPr>
          <t>Data Entry Cell, Other Construction Loan Fees</t>
        </r>
      </text>
    </comment>
    <comment ref="R57" authorId="1" shapeId="0" xr:uid="{00000000-0006-0000-0B00-00002B040000}">
      <text>
        <r>
          <rPr>
            <b/>
            <sz val="10"/>
            <color indexed="81"/>
            <rFont val="Tahoma"/>
            <family val="2"/>
          </rPr>
          <t>Data Entry Cell, Other Construction Loan Fees</t>
        </r>
      </text>
    </comment>
    <comment ref="S57" authorId="1" shapeId="0" xr:uid="{00000000-0006-0000-0B00-00002C040000}">
      <text>
        <r>
          <rPr>
            <b/>
            <sz val="10"/>
            <color indexed="81"/>
            <rFont val="Tahoma"/>
            <family val="2"/>
          </rPr>
          <t>Data Entry Cell, Other Construction Loan Fees</t>
        </r>
      </text>
    </comment>
    <comment ref="T57" authorId="1" shapeId="0" xr:uid="{00000000-0006-0000-0B00-00002D040000}">
      <text>
        <r>
          <rPr>
            <b/>
            <sz val="10"/>
            <color indexed="81"/>
            <rFont val="Tahoma"/>
            <family val="2"/>
          </rPr>
          <t>Data Entry Cell, Other Construction Loan Fees</t>
        </r>
      </text>
    </comment>
    <comment ref="U57" authorId="1" shapeId="0" xr:uid="{00000000-0006-0000-0B00-00002E040000}">
      <text>
        <r>
          <rPr>
            <b/>
            <sz val="10"/>
            <color indexed="81"/>
            <rFont val="Tahoma"/>
            <family val="2"/>
          </rPr>
          <t>Data Entry Cell, Other Construction Loan Fees</t>
        </r>
      </text>
    </comment>
    <comment ref="V57" authorId="1" shapeId="0" xr:uid="{00000000-0006-0000-0B00-00002F040000}">
      <text>
        <r>
          <rPr>
            <b/>
            <sz val="10"/>
            <color indexed="81"/>
            <rFont val="Tahoma"/>
            <family val="2"/>
          </rPr>
          <t>Data Entry Cell, Other Construction Loan Fees</t>
        </r>
      </text>
    </comment>
    <comment ref="W57" authorId="1" shapeId="0" xr:uid="{00000000-0006-0000-0B00-000030040000}">
      <text>
        <r>
          <rPr>
            <b/>
            <sz val="10"/>
            <color indexed="81"/>
            <rFont val="Tahoma"/>
            <family val="2"/>
          </rPr>
          <t>Data Entry Cell, Other Construction Loan Fees</t>
        </r>
      </text>
    </comment>
    <comment ref="X57" authorId="1" shapeId="0" xr:uid="{00000000-0006-0000-0B00-000031040000}">
      <text>
        <r>
          <rPr>
            <b/>
            <sz val="10"/>
            <color indexed="81"/>
            <rFont val="Tahoma"/>
            <family val="2"/>
          </rPr>
          <t>Data Entry Cell, Other Construction Loan Fees</t>
        </r>
      </text>
    </comment>
    <comment ref="Y57" authorId="1" shapeId="0" xr:uid="{00000000-0006-0000-0B00-000032040000}">
      <text>
        <r>
          <rPr>
            <b/>
            <sz val="10"/>
            <color indexed="81"/>
            <rFont val="Tahoma"/>
            <family val="2"/>
          </rPr>
          <t>Data Entry Cell, Other Construction Loan Fees</t>
        </r>
      </text>
    </comment>
    <comment ref="Z57" authorId="1" shapeId="0" xr:uid="{00000000-0006-0000-0B00-000033040000}">
      <text>
        <r>
          <rPr>
            <b/>
            <sz val="10"/>
            <color indexed="81"/>
            <rFont val="Tahoma"/>
            <family val="2"/>
          </rPr>
          <t>Data Entry Cell, Other Construction Loan Fees</t>
        </r>
      </text>
    </comment>
    <comment ref="AA57" authorId="1" shapeId="0" xr:uid="{00000000-0006-0000-0B00-000034040000}">
      <text>
        <r>
          <rPr>
            <b/>
            <sz val="10"/>
            <color indexed="81"/>
            <rFont val="Tahoma"/>
            <family val="2"/>
          </rPr>
          <t>Data Entry Cell, Other Construction Loan Fees</t>
        </r>
      </text>
    </comment>
    <comment ref="AB57" authorId="1" shapeId="0" xr:uid="{00000000-0006-0000-0B00-000035040000}">
      <text>
        <r>
          <rPr>
            <b/>
            <sz val="10"/>
            <color indexed="81"/>
            <rFont val="Tahoma"/>
            <family val="2"/>
          </rPr>
          <t>Data Entry Cell, Other Construction Loan Fees</t>
        </r>
      </text>
    </comment>
    <comment ref="AC57" authorId="1" shapeId="0" xr:uid="{00000000-0006-0000-0B00-000036040000}">
      <text>
        <r>
          <rPr>
            <b/>
            <sz val="10"/>
            <color indexed="81"/>
            <rFont val="Tahoma"/>
            <family val="2"/>
          </rPr>
          <t>Data Entry Cell, Other Construction Loan Fees</t>
        </r>
      </text>
    </comment>
    <comment ref="E58" authorId="1" shapeId="0" xr:uid="{00000000-0006-0000-0B00-000037040000}">
      <text>
        <r>
          <rPr>
            <b/>
            <sz val="10"/>
            <color indexed="81"/>
            <rFont val="Tahoma"/>
            <family val="2"/>
          </rPr>
          <t>Data Entry Cell, Bond Costs of Issuance</t>
        </r>
      </text>
    </comment>
    <comment ref="F58" authorId="1" shapeId="0" xr:uid="{00000000-0006-0000-0B00-000038040000}">
      <text>
        <r>
          <rPr>
            <b/>
            <sz val="10"/>
            <color indexed="81"/>
            <rFont val="Tahoma"/>
            <family val="2"/>
          </rPr>
          <t>Data Entry Cell, Bond Costs of Issuance</t>
        </r>
      </text>
    </comment>
    <comment ref="G58" authorId="1" shapeId="0" xr:uid="{00000000-0006-0000-0B00-000039040000}">
      <text>
        <r>
          <rPr>
            <b/>
            <sz val="10"/>
            <color indexed="81"/>
            <rFont val="Tahoma"/>
            <family val="2"/>
          </rPr>
          <t>Data Entry Cell, Bond Costs of Issuance</t>
        </r>
      </text>
    </comment>
    <comment ref="H58" authorId="1" shapeId="0" xr:uid="{00000000-0006-0000-0B00-00003A040000}">
      <text>
        <r>
          <rPr>
            <b/>
            <sz val="10"/>
            <color indexed="81"/>
            <rFont val="Tahoma"/>
            <family val="2"/>
          </rPr>
          <t>Data Entry Cell, Bond Costs of Issuance</t>
        </r>
      </text>
    </comment>
    <comment ref="I58" authorId="1" shapeId="0" xr:uid="{00000000-0006-0000-0B00-00003B040000}">
      <text>
        <r>
          <rPr>
            <b/>
            <sz val="10"/>
            <color indexed="81"/>
            <rFont val="Tahoma"/>
            <family val="2"/>
          </rPr>
          <t>Data Entry Cell, Bond Costs of Issuance</t>
        </r>
      </text>
    </comment>
    <comment ref="J58" authorId="1" shapeId="0" xr:uid="{00000000-0006-0000-0B00-00003C040000}">
      <text>
        <r>
          <rPr>
            <b/>
            <sz val="10"/>
            <color indexed="81"/>
            <rFont val="Tahoma"/>
            <family val="2"/>
          </rPr>
          <t>Data Entry Cell, Bond Costs of Issuance</t>
        </r>
      </text>
    </comment>
    <comment ref="K58" authorId="1" shapeId="0" xr:uid="{00000000-0006-0000-0B00-00003D040000}">
      <text>
        <r>
          <rPr>
            <b/>
            <sz val="10"/>
            <color indexed="81"/>
            <rFont val="Tahoma"/>
            <family val="2"/>
          </rPr>
          <t>Data Entry Cell, Bond Costs of Issuance</t>
        </r>
      </text>
    </comment>
    <comment ref="L58" authorId="1" shapeId="0" xr:uid="{00000000-0006-0000-0B00-00003E040000}">
      <text>
        <r>
          <rPr>
            <b/>
            <sz val="10"/>
            <color indexed="81"/>
            <rFont val="Tahoma"/>
            <family val="2"/>
          </rPr>
          <t>Data Entry Cell, Bond Costs of Issuance</t>
        </r>
      </text>
    </comment>
    <comment ref="M58" authorId="1" shapeId="0" xr:uid="{00000000-0006-0000-0B00-00003F040000}">
      <text>
        <r>
          <rPr>
            <b/>
            <sz val="10"/>
            <color indexed="81"/>
            <rFont val="Tahoma"/>
            <family val="2"/>
          </rPr>
          <t>Data Entry Cell, Bond Costs of Issuance</t>
        </r>
      </text>
    </comment>
    <comment ref="N58" authorId="1" shapeId="0" xr:uid="{00000000-0006-0000-0B00-000040040000}">
      <text>
        <r>
          <rPr>
            <b/>
            <sz val="10"/>
            <color indexed="81"/>
            <rFont val="Tahoma"/>
            <family val="2"/>
          </rPr>
          <t>Data Entry Cell, Bond Costs of Issuance</t>
        </r>
      </text>
    </comment>
    <comment ref="O58" authorId="1" shapeId="0" xr:uid="{00000000-0006-0000-0B00-000041040000}">
      <text>
        <r>
          <rPr>
            <b/>
            <sz val="10"/>
            <color indexed="81"/>
            <rFont val="Tahoma"/>
            <family val="2"/>
          </rPr>
          <t>Data Entry Cell, Bond Costs of Issuance</t>
        </r>
      </text>
    </comment>
    <comment ref="P58" authorId="1" shapeId="0" xr:uid="{00000000-0006-0000-0B00-000042040000}">
      <text>
        <r>
          <rPr>
            <b/>
            <sz val="10"/>
            <color indexed="81"/>
            <rFont val="Tahoma"/>
            <family val="2"/>
          </rPr>
          <t>Data Entry Cell, Bond Costs of Issuance</t>
        </r>
      </text>
    </comment>
    <comment ref="Q58" authorId="1" shapeId="0" xr:uid="{00000000-0006-0000-0B00-000043040000}">
      <text>
        <r>
          <rPr>
            <b/>
            <sz val="10"/>
            <color indexed="81"/>
            <rFont val="Tahoma"/>
            <family val="2"/>
          </rPr>
          <t>Data Entry Cell, Bond Costs of Issuance</t>
        </r>
      </text>
    </comment>
    <comment ref="R58" authorId="1" shapeId="0" xr:uid="{00000000-0006-0000-0B00-000044040000}">
      <text>
        <r>
          <rPr>
            <b/>
            <sz val="10"/>
            <color indexed="81"/>
            <rFont val="Tahoma"/>
            <family val="2"/>
          </rPr>
          <t>Data Entry Cell, Bond Costs of Issuance</t>
        </r>
      </text>
    </comment>
    <comment ref="S58" authorId="1" shapeId="0" xr:uid="{00000000-0006-0000-0B00-000045040000}">
      <text>
        <r>
          <rPr>
            <b/>
            <sz val="10"/>
            <color indexed="81"/>
            <rFont val="Tahoma"/>
            <family val="2"/>
          </rPr>
          <t>Data Entry Cell, Bond Costs of Issuance</t>
        </r>
      </text>
    </comment>
    <comment ref="T58" authorId="1" shapeId="0" xr:uid="{00000000-0006-0000-0B00-000046040000}">
      <text>
        <r>
          <rPr>
            <b/>
            <sz val="10"/>
            <color indexed="81"/>
            <rFont val="Tahoma"/>
            <family val="2"/>
          </rPr>
          <t>Data Entry Cell, Bond Costs of Issuance</t>
        </r>
      </text>
    </comment>
    <comment ref="U58" authorId="1" shapeId="0" xr:uid="{00000000-0006-0000-0B00-000047040000}">
      <text>
        <r>
          <rPr>
            <b/>
            <sz val="10"/>
            <color indexed="81"/>
            <rFont val="Tahoma"/>
            <family val="2"/>
          </rPr>
          <t>Data Entry Cell, Bond Costs of Issuance</t>
        </r>
      </text>
    </comment>
    <comment ref="V58" authorId="1" shapeId="0" xr:uid="{00000000-0006-0000-0B00-000048040000}">
      <text>
        <r>
          <rPr>
            <b/>
            <sz val="10"/>
            <color indexed="81"/>
            <rFont val="Tahoma"/>
            <family val="2"/>
          </rPr>
          <t>Data Entry Cell, Bond Costs of Issuance</t>
        </r>
      </text>
    </comment>
    <comment ref="W58" authorId="1" shapeId="0" xr:uid="{00000000-0006-0000-0B00-000049040000}">
      <text>
        <r>
          <rPr>
            <b/>
            <sz val="10"/>
            <color indexed="81"/>
            <rFont val="Tahoma"/>
            <family val="2"/>
          </rPr>
          <t>Data Entry Cell, Bond Costs of Issuance</t>
        </r>
      </text>
    </comment>
    <comment ref="X58" authorId="1" shapeId="0" xr:uid="{00000000-0006-0000-0B00-00004A040000}">
      <text>
        <r>
          <rPr>
            <b/>
            <sz val="10"/>
            <color indexed="81"/>
            <rFont val="Tahoma"/>
            <family val="2"/>
          </rPr>
          <t>Data Entry Cell, Bond Costs of Issuance</t>
        </r>
      </text>
    </comment>
    <comment ref="Y58" authorId="1" shapeId="0" xr:uid="{00000000-0006-0000-0B00-00004B040000}">
      <text>
        <r>
          <rPr>
            <b/>
            <sz val="10"/>
            <color indexed="81"/>
            <rFont val="Tahoma"/>
            <family val="2"/>
          </rPr>
          <t>Data Entry Cell, Bond Costs of Issuance</t>
        </r>
      </text>
    </comment>
    <comment ref="Z58" authorId="1" shapeId="0" xr:uid="{00000000-0006-0000-0B00-00004C040000}">
      <text>
        <r>
          <rPr>
            <b/>
            <sz val="10"/>
            <color indexed="81"/>
            <rFont val="Tahoma"/>
            <family val="2"/>
          </rPr>
          <t>Data Entry Cell, Bond Costs of Issuance</t>
        </r>
      </text>
    </comment>
    <comment ref="AA58" authorId="1" shapeId="0" xr:uid="{00000000-0006-0000-0B00-00004D040000}">
      <text>
        <r>
          <rPr>
            <b/>
            <sz val="10"/>
            <color indexed="81"/>
            <rFont val="Tahoma"/>
            <family val="2"/>
          </rPr>
          <t>Data Entry Cell, Bond Costs of Issuance</t>
        </r>
      </text>
    </comment>
    <comment ref="AB58" authorId="1" shapeId="0" xr:uid="{00000000-0006-0000-0B00-00004E040000}">
      <text>
        <r>
          <rPr>
            <b/>
            <sz val="10"/>
            <color indexed="81"/>
            <rFont val="Tahoma"/>
            <family val="2"/>
          </rPr>
          <t>Data Entry Cell, Bond Costs of Issuance</t>
        </r>
      </text>
    </comment>
    <comment ref="AC58" authorId="1" shapeId="0" xr:uid="{00000000-0006-0000-0B00-00004F040000}">
      <text>
        <r>
          <rPr>
            <b/>
            <sz val="10"/>
            <color indexed="81"/>
            <rFont val="Tahoma"/>
            <family val="2"/>
          </rPr>
          <t>Data Entry Cell, Bond Costs of Issuance</t>
        </r>
      </text>
    </comment>
    <comment ref="E59" authorId="1" shapeId="0" xr:uid="{00000000-0006-0000-0B00-000050040000}">
      <text>
        <r>
          <rPr>
            <b/>
            <sz val="10"/>
            <color indexed="81"/>
            <rFont val="Tahoma"/>
            <family val="2"/>
          </rPr>
          <t>Data Entry Cell, Title and Recording Costs for the Construction Loan</t>
        </r>
      </text>
    </comment>
    <comment ref="F59" authorId="1" shapeId="0" xr:uid="{00000000-0006-0000-0B00-000051040000}">
      <text>
        <r>
          <rPr>
            <b/>
            <sz val="10"/>
            <color indexed="81"/>
            <rFont val="Tahoma"/>
            <family val="2"/>
          </rPr>
          <t>Data Entry Cell, Title and Recording Costs for the Construction Loan</t>
        </r>
      </text>
    </comment>
    <comment ref="G59" authorId="1" shapeId="0" xr:uid="{00000000-0006-0000-0B00-000052040000}">
      <text>
        <r>
          <rPr>
            <b/>
            <sz val="10"/>
            <color indexed="81"/>
            <rFont val="Tahoma"/>
            <family val="2"/>
          </rPr>
          <t>Data Entry Cell, Title and Recording Costs for the Construction Loan</t>
        </r>
      </text>
    </comment>
    <comment ref="H59" authorId="1" shapeId="0" xr:uid="{00000000-0006-0000-0B00-000053040000}">
      <text>
        <r>
          <rPr>
            <b/>
            <sz val="10"/>
            <color indexed="81"/>
            <rFont val="Tahoma"/>
            <family val="2"/>
          </rPr>
          <t>Data Entry Cell, Title and Recording Costs for the Construction Loan</t>
        </r>
      </text>
    </comment>
    <comment ref="I59" authorId="1" shapeId="0" xr:uid="{00000000-0006-0000-0B00-000054040000}">
      <text>
        <r>
          <rPr>
            <b/>
            <sz val="10"/>
            <color indexed="81"/>
            <rFont val="Tahoma"/>
            <family val="2"/>
          </rPr>
          <t>Data Entry Cell, Title and Recording Costs for the Construction Loan</t>
        </r>
      </text>
    </comment>
    <comment ref="J59" authorId="1" shapeId="0" xr:uid="{00000000-0006-0000-0B00-000055040000}">
      <text>
        <r>
          <rPr>
            <b/>
            <sz val="10"/>
            <color indexed="81"/>
            <rFont val="Tahoma"/>
            <family val="2"/>
          </rPr>
          <t>Data Entry Cell, Title and Recording Costs for the Construction Loan</t>
        </r>
      </text>
    </comment>
    <comment ref="K59" authorId="1" shapeId="0" xr:uid="{00000000-0006-0000-0B00-000056040000}">
      <text>
        <r>
          <rPr>
            <b/>
            <sz val="10"/>
            <color indexed="81"/>
            <rFont val="Tahoma"/>
            <family val="2"/>
          </rPr>
          <t>Data Entry Cell, Title and Recording Costs for the Construction Loan</t>
        </r>
      </text>
    </comment>
    <comment ref="L59" authorId="1" shapeId="0" xr:uid="{00000000-0006-0000-0B00-000057040000}">
      <text>
        <r>
          <rPr>
            <b/>
            <sz val="10"/>
            <color indexed="81"/>
            <rFont val="Tahoma"/>
            <family val="2"/>
          </rPr>
          <t>Data Entry Cell, Title and Recording Costs for the Construction Loan</t>
        </r>
      </text>
    </comment>
    <comment ref="M59" authorId="1" shapeId="0" xr:uid="{00000000-0006-0000-0B00-000058040000}">
      <text>
        <r>
          <rPr>
            <b/>
            <sz val="10"/>
            <color indexed="81"/>
            <rFont val="Tahoma"/>
            <family val="2"/>
          </rPr>
          <t>Data Entry Cell, Title and Recording Costs for the Construction Loan</t>
        </r>
      </text>
    </comment>
    <comment ref="N59" authorId="1" shapeId="0" xr:uid="{00000000-0006-0000-0B00-000059040000}">
      <text>
        <r>
          <rPr>
            <b/>
            <sz val="10"/>
            <color indexed="81"/>
            <rFont val="Tahoma"/>
            <family val="2"/>
          </rPr>
          <t>Data Entry Cell, Title and Recording Costs for the Construction Loan</t>
        </r>
      </text>
    </comment>
    <comment ref="O59" authorId="1" shapeId="0" xr:uid="{00000000-0006-0000-0B00-00005A040000}">
      <text>
        <r>
          <rPr>
            <b/>
            <sz val="10"/>
            <color indexed="81"/>
            <rFont val="Tahoma"/>
            <family val="2"/>
          </rPr>
          <t>Data Entry Cell, Title and Recording Costs for the Construction Loan</t>
        </r>
      </text>
    </comment>
    <comment ref="P59" authorId="1" shapeId="0" xr:uid="{00000000-0006-0000-0B00-00005B040000}">
      <text>
        <r>
          <rPr>
            <b/>
            <sz val="10"/>
            <color indexed="81"/>
            <rFont val="Tahoma"/>
            <family val="2"/>
          </rPr>
          <t>Data Entry Cell, Title and Recording Costs for the Construction Loan</t>
        </r>
      </text>
    </comment>
    <comment ref="Q59" authorId="1" shapeId="0" xr:uid="{00000000-0006-0000-0B00-00005C040000}">
      <text>
        <r>
          <rPr>
            <b/>
            <sz val="10"/>
            <color indexed="81"/>
            <rFont val="Tahoma"/>
            <family val="2"/>
          </rPr>
          <t>Data Entry Cell, Title and Recording Costs for the Construction Loan</t>
        </r>
      </text>
    </comment>
    <comment ref="R59" authorId="1" shapeId="0" xr:uid="{00000000-0006-0000-0B00-00005D040000}">
      <text>
        <r>
          <rPr>
            <b/>
            <sz val="10"/>
            <color indexed="81"/>
            <rFont val="Tahoma"/>
            <family val="2"/>
          </rPr>
          <t>Data Entry Cell, Title and Recording Costs for the Construction Loan</t>
        </r>
      </text>
    </comment>
    <comment ref="S59" authorId="1" shapeId="0" xr:uid="{00000000-0006-0000-0B00-00005E040000}">
      <text>
        <r>
          <rPr>
            <b/>
            <sz val="10"/>
            <color indexed="81"/>
            <rFont val="Tahoma"/>
            <family val="2"/>
          </rPr>
          <t>Data Entry Cell, Title and Recording Costs for the Construction Loan</t>
        </r>
      </text>
    </comment>
    <comment ref="T59" authorId="1" shapeId="0" xr:uid="{00000000-0006-0000-0B00-00005F040000}">
      <text>
        <r>
          <rPr>
            <b/>
            <sz val="10"/>
            <color indexed="81"/>
            <rFont val="Tahoma"/>
            <family val="2"/>
          </rPr>
          <t>Data Entry Cell, Title and Recording Costs for the Construction Loan</t>
        </r>
      </text>
    </comment>
    <comment ref="U59" authorId="1" shapeId="0" xr:uid="{00000000-0006-0000-0B00-000060040000}">
      <text>
        <r>
          <rPr>
            <b/>
            <sz val="10"/>
            <color indexed="81"/>
            <rFont val="Tahoma"/>
            <family val="2"/>
          </rPr>
          <t>Data Entry Cell, Title and Recording Costs for the Construction Loan</t>
        </r>
      </text>
    </comment>
    <comment ref="V59" authorId="1" shapeId="0" xr:uid="{00000000-0006-0000-0B00-000061040000}">
      <text>
        <r>
          <rPr>
            <b/>
            <sz val="10"/>
            <color indexed="81"/>
            <rFont val="Tahoma"/>
            <family val="2"/>
          </rPr>
          <t>Data Entry Cell, Title and Recording Costs for the Construction Loan</t>
        </r>
      </text>
    </comment>
    <comment ref="W59" authorId="1" shapeId="0" xr:uid="{00000000-0006-0000-0B00-000062040000}">
      <text>
        <r>
          <rPr>
            <b/>
            <sz val="10"/>
            <color indexed="81"/>
            <rFont val="Tahoma"/>
            <family val="2"/>
          </rPr>
          <t>Data Entry Cell, Title and Recording Costs for the Construction Loan</t>
        </r>
      </text>
    </comment>
    <comment ref="X59" authorId="1" shapeId="0" xr:uid="{00000000-0006-0000-0B00-000063040000}">
      <text>
        <r>
          <rPr>
            <b/>
            <sz val="10"/>
            <color indexed="81"/>
            <rFont val="Tahoma"/>
            <family val="2"/>
          </rPr>
          <t>Data Entry Cell, Title and Recording Costs for the Construction Loan</t>
        </r>
      </text>
    </comment>
    <comment ref="Y59" authorId="1" shapeId="0" xr:uid="{00000000-0006-0000-0B00-000064040000}">
      <text>
        <r>
          <rPr>
            <b/>
            <sz val="10"/>
            <color indexed="81"/>
            <rFont val="Tahoma"/>
            <family val="2"/>
          </rPr>
          <t>Data Entry Cell, Title and Recording Costs for the Construction Loan</t>
        </r>
      </text>
    </comment>
    <comment ref="Z59" authorId="1" shapeId="0" xr:uid="{00000000-0006-0000-0B00-000065040000}">
      <text>
        <r>
          <rPr>
            <b/>
            <sz val="10"/>
            <color indexed="81"/>
            <rFont val="Tahoma"/>
            <family val="2"/>
          </rPr>
          <t>Data Entry Cell, Title and Recording Costs for the Construction Loan</t>
        </r>
      </text>
    </comment>
    <comment ref="AA59" authorId="1" shapeId="0" xr:uid="{00000000-0006-0000-0B00-000066040000}">
      <text>
        <r>
          <rPr>
            <b/>
            <sz val="10"/>
            <color indexed="81"/>
            <rFont val="Tahoma"/>
            <family val="2"/>
          </rPr>
          <t>Data Entry Cell, Title and Recording Costs for the Construction Loan</t>
        </r>
      </text>
    </comment>
    <comment ref="AB59" authorId="1" shapeId="0" xr:uid="{00000000-0006-0000-0B00-000067040000}">
      <text>
        <r>
          <rPr>
            <b/>
            <sz val="10"/>
            <color indexed="81"/>
            <rFont val="Tahoma"/>
            <family val="2"/>
          </rPr>
          <t>Data Entry Cell, Title and Recording Costs for the Construction Loan</t>
        </r>
      </text>
    </comment>
    <comment ref="AC59" authorId="1" shapeId="0" xr:uid="{00000000-0006-0000-0B00-000068040000}">
      <text>
        <r>
          <rPr>
            <b/>
            <sz val="10"/>
            <color indexed="81"/>
            <rFont val="Tahoma"/>
            <family val="2"/>
          </rPr>
          <t>Data Entry Cell, Title and Recording Costs for the Construction Loan</t>
        </r>
      </text>
    </comment>
    <comment ref="E60" authorId="1" shapeId="0" xr:uid="{00000000-0006-0000-0B00-000069040000}">
      <text>
        <r>
          <rPr>
            <b/>
            <sz val="10"/>
            <color indexed="81"/>
            <rFont val="Tahoma"/>
            <family val="2"/>
          </rPr>
          <t>Data Entry Cell, Other Interim Financing Costs</t>
        </r>
      </text>
    </comment>
    <comment ref="F60" authorId="1" shapeId="0" xr:uid="{00000000-0006-0000-0B00-00006A040000}">
      <text>
        <r>
          <rPr>
            <b/>
            <sz val="10"/>
            <color indexed="81"/>
            <rFont val="Tahoma"/>
            <family val="2"/>
          </rPr>
          <t>Data Entry Cell, Other Interim Financing Costs</t>
        </r>
      </text>
    </comment>
    <comment ref="G60" authorId="1" shapeId="0" xr:uid="{00000000-0006-0000-0B00-00006B040000}">
      <text>
        <r>
          <rPr>
            <b/>
            <sz val="10"/>
            <color indexed="81"/>
            <rFont val="Tahoma"/>
            <family val="2"/>
          </rPr>
          <t>Data Entry Cell, Other Interim Financing Costs</t>
        </r>
      </text>
    </comment>
    <comment ref="H60" authorId="1" shapeId="0" xr:uid="{00000000-0006-0000-0B00-00006C040000}">
      <text>
        <r>
          <rPr>
            <b/>
            <sz val="10"/>
            <color indexed="81"/>
            <rFont val="Tahoma"/>
            <family val="2"/>
          </rPr>
          <t>Data Entry Cell, Other Interim Financing Costs</t>
        </r>
      </text>
    </comment>
    <comment ref="I60" authorId="1" shapeId="0" xr:uid="{00000000-0006-0000-0B00-00006D040000}">
      <text>
        <r>
          <rPr>
            <b/>
            <sz val="10"/>
            <color indexed="81"/>
            <rFont val="Tahoma"/>
            <family val="2"/>
          </rPr>
          <t>Data Entry Cell, Other Interim Financing Costs</t>
        </r>
      </text>
    </comment>
    <comment ref="J60" authorId="1" shapeId="0" xr:uid="{00000000-0006-0000-0B00-00006E040000}">
      <text>
        <r>
          <rPr>
            <b/>
            <sz val="10"/>
            <color indexed="81"/>
            <rFont val="Tahoma"/>
            <family val="2"/>
          </rPr>
          <t>Data Entry Cell, Other Interim Financing Costs</t>
        </r>
      </text>
    </comment>
    <comment ref="K60" authorId="1" shapeId="0" xr:uid="{00000000-0006-0000-0B00-00006F040000}">
      <text>
        <r>
          <rPr>
            <b/>
            <sz val="10"/>
            <color indexed="81"/>
            <rFont val="Tahoma"/>
            <family val="2"/>
          </rPr>
          <t>Data Entry Cell, Other Interim Financing Costs</t>
        </r>
      </text>
    </comment>
    <comment ref="L60" authorId="1" shapeId="0" xr:uid="{00000000-0006-0000-0B00-000070040000}">
      <text>
        <r>
          <rPr>
            <b/>
            <sz val="10"/>
            <color indexed="81"/>
            <rFont val="Tahoma"/>
            <family val="2"/>
          </rPr>
          <t>Data Entry Cell, Other Interim Financing Costs</t>
        </r>
      </text>
    </comment>
    <comment ref="M60" authorId="1" shapeId="0" xr:uid="{00000000-0006-0000-0B00-000071040000}">
      <text>
        <r>
          <rPr>
            <b/>
            <sz val="10"/>
            <color indexed="81"/>
            <rFont val="Tahoma"/>
            <family val="2"/>
          </rPr>
          <t>Data Entry Cell, Other Interim Financing Costs</t>
        </r>
      </text>
    </comment>
    <comment ref="N60" authorId="1" shapeId="0" xr:uid="{00000000-0006-0000-0B00-000072040000}">
      <text>
        <r>
          <rPr>
            <b/>
            <sz val="10"/>
            <color indexed="81"/>
            <rFont val="Tahoma"/>
            <family val="2"/>
          </rPr>
          <t>Data Entry Cell, Other Interim Financing Costs</t>
        </r>
      </text>
    </comment>
    <comment ref="O60" authorId="1" shapeId="0" xr:uid="{00000000-0006-0000-0B00-000073040000}">
      <text>
        <r>
          <rPr>
            <b/>
            <sz val="10"/>
            <color indexed="81"/>
            <rFont val="Tahoma"/>
            <family val="2"/>
          </rPr>
          <t>Data Entry Cell, Other Interim Financing Costs</t>
        </r>
      </text>
    </comment>
    <comment ref="P60" authorId="1" shapeId="0" xr:uid="{00000000-0006-0000-0B00-000074040000}">
      <text>
        <r>
          <rPr>
            <b/>
            <sz val="10"/>
            <color indexed="81"/>
            <rFont val="Tahoma"/>
            <family val="2"/>
          </rPr>
          <t>Data Entry Cell, Other Interim Financing Costs</t>
        </r>
      </text>
    </comment>
    <comment ref="Q60" authorId="1" shapeId="0" xr:uid="{00000000-0006-0000-0B00-000075040000}">
      <text>
        <r>
          <rPr>
            <b/>
            <sz val="10"/>
            <color indexed="81"/>
            <rFont val="Tahoma"/>
            <family val="2"/>
          </rPr>
          <t>Data Entry Cell, Other Interim Financing Costs</t>
        </r>
      </text>
    </comment>
    <comment ref="R60" authorId="1" shapeId="0" xr:uid="{00000000-0006-0000-0B00-000076040000}">
      <text>
        <r>
          <rPr>
            <b/>
            <sz val="10"/>
            <color indexed="81"/>
            <rFont val="Tahoma"/>
            <family val="2"/>
          </rPr>
          <t>Data Entry Cell, Other Interim Financing Costs</t>
        </r>
      </text>
    </comment>
    <comment ref="S60" authorId="1" shapeId="0" xr:uid="{00000000-0006-0000-0B00-000077040000}">
      <text>
        <r>
          <rPr>
            <b/>
            <sz val="10"/>
            <color indexed="81"/>
            <rFont val="Tahoma"/>
            <family val="2"/>
          </rPr>
          <t>Data Entry Cell, Other Interim Financing Costs</t>
        </r>
      </text>
    </comment>
    <comment ref="T60" authorId="1" shapeId="0" xr:uid="{00000000-0006-0000-0B00-000078040000}">
      <text>
        <r>
          <rPr>
            <b/>
            <sz val="10"/>
            <color indexed="81"/>
            <rFont val="Tahoma"/>
            <family val="2"/>
          </rPr>
          <t>Data Entry Cell, Other Interim Financing Costs</t>
        </r>
      </text>
    </comment>
    <comment ref="U60" authorId="1" shapeId="0" xr:uid="{00000000-0006-0000-0B00-000079040000}">
      <text>
        <r>
          <rPr>
            <b/>
            <sz val="10"/>
            <color indexed="81"/>
            <rFont val="Tahoma"/>
            <family val="2"/>
          </rPr>
          <t>Data Entry Cell, Other Interim Financing Costs</t>
        </r>
      </text>
    </comment>
    <comment ref="V60" authorId="1" shapeId="0" xr:uid="{00000000-0006-0000-0B00-00007A040000}">
      <text>
        <r>
          <rPr>
            <b/>
            <sz val="10"/>
            <color indexed="81"/>
            <rFont val="Tahoma"/>
            <family val="2"/>
          </rPr>
          <t>Data Entry Cell, Other Interim Financing Costs</t>
        </r>
      </text>
    </comment>
    <comment ref="W60" authorId="1" shapeId="0" xr:uid="{00000000-0006-0000-0B00-00007B040000}">
      <text>
        <r>
          <rPr>
            <b/>
            <sz val="10"/>
            <color indexed="81"/>
            <rFont val="Tahoma"/>
            <family val="2"/>
          </rPr>
          <t>Data Entry Cell, Other Interim Financing Costs</t>
        </r>
      </text>
    </comment>
    <comment ref="X60" authorId="1" shapeId="0" xr:uid="{00000000-0006-0000-0B00-00007C040000}">
      <text>
        <r>
          <rPr>
            <b/>
            <sz val="10"/>
            <color indexed="81"/>
            <rFont val="Tahoma"/>
            <family val="2"/>
          </rPr>
          <t>Data Entry Cell, Other Interim Financing Costs</t>
        </r>
      </text>
    </comment>
    <comment ref="Y60" authorId="1" shapeId="0" xr:uid="{00000000-0006-0000-0B00-00007D040000}">
      <text>
        <r>
          <rPr>
            <b/>
            <sz val="10"/>
            <color indexed="81"/>
            <rFont val="Tahoma"/>
            <family val="2"/>
          </rPr>
          <t>Data Entry Cell, Other Interim Financing Costs</t>
        </r>
      </text>
    </comment>
    <comment ref="Z60" authorId="1" shapeId="0" xr:uid="{00000000-0006-0000-0B00-00007E040000}">
      <text>
        <r>
          <rPr>
            <b/>
            <sz val="10"/>
            <color indexed="81"/>
            <rFont val="Tahoma"/>
            <family val="2"/>
          </rPr>
          <t>Data Entry Cell, Other Interim Financing Costs</t>
        </r>
      </text>
    </comment>
    <comment ref="AA60" authorId="1" shapeId="0" xr:uid="{00000000-0006-0000-0B00-00007F040000}">
      <text>
        <r>
          <rPr>
            <b/>
            <sz val="10"/>
            <color indexed="81"/>
            <rFont val="Tahoma"/>
            <family val="2"/>
          </rPr>
          <t>Data Entry Cell, Other Interim Financing Costs</t>
        </r>
      </text>
    </comment>
    <comment ref="AB60" authorId="1" shapeId="0" xr:uid="{00000000-0006-0000-0B00-000080040000}">
      <text>
        <r>
          <rPr>
            <b/>
            <sz val="10"/>
            <color indexed="81"/>
            <rFont val="Tahoma"/>
            <family val="2"/>
          </rPr>
          <t>Data Entry Cell, Other Interim Financing Costs</t>
        </r>
      </text>
    </comment>
    <comment ref="AC60" authorId="1" shapeId="0" xr:uid="{00000000-0006-0000-0B00-000081040000}">
      <text>
        <r>
          <rPr>
            <b/>
            <sz val="10"/>
            <color indexed="81"/>
            <rFont val="Tahoma"/>
            <family val="2"/>
          </rPr>
          <t>Data Entry Cell, Other Interim Financing Costs</t>
        </r>
      </text>
    </comment>
    <comment ref="E61" authorId="1" shapeId="0" xr:uid="{00000000-0006-0000-0B00-000082040000}">
      <text>
        <r>
          <rPr>
            <b/>
            <sz val="10"/>
            <color indexed="81"/>
            <rFont val="Tahoma"/>
            <family val="2"/>
          </rPr>
          <t>Data Entry Cell, Other Interim Financing Costs</t>
        </r>
      </text>
    </comment>
    <comment ref="F61" authorId="1" shapeId="0" xr:uid="{00000000-0006-0000-0B00-000083040000}">
      <text>
        <r>
          <rPr>
            <b/>
            <sz val="10"/>
            <color indexed="81"/>
            <rFont val="Tahoma"/>
            <family val="2"/>
          </rPr>
          <t>Data Entry Cell, Other Interim Financing Costs</t>
        </r>
      </text>
    </comment>
    <comment ref="G61" authorId="1" shapeId="0" xr:uid="{00000000-0006-0000-0B00-000084040000}">
      <text>
        <r>
          <rPr>
            <b/>
            <sz val="10"/>
            <color indexed="81"/>
            <rFont val="Tahoma"/>
            <family val="2"/>
          </rPr>
          <t>Data Entry Cell, Other Interim Financing Costs</t>
        </r>
      </text>
    </comment>
    <comment ref="H61" authorId="1" shapeId="0" xr:uid="{00000000-0006-0000-0B00-000085040000}">
      <text>
        <r>
          <rPr>
            <b/>
            <sz val="10"/>
            <color indexed="81"/>
            <rFont val="Tahoma"/>
            <family val="2"/>
          </rPr>
          <t>Data Entry Cell, Other Interim Financing Costs</t>
        </r>
      </text>
    </comment>
    <comment ref="I61" authorId="1" shapeId="0" xr:uid="{00000000-0006-0000-0B00-000086040000}">
      <text>
        <r>
          <rPr>
            <b/>
            <sz val="10"/>
            <color indexed="81"/>
            <rFont val="Tahoma"/>
            <family val="2"/>
          </rPr>
          <t>Data Entry Cell, Other Interim Financing Costs</t>
        </r>
      </text>
    </comment>
    <comment ref="J61" authorId="1" shapeId="0" xr:uid="{00000000-0006-0000-0B00-000087040000}">
      <text>
        <r>
          <rPr>
            <b/>
            <sz val="10"/>
            <color indexed="81"/>
            <rFont val="Tahoma"/>
            <family val="2"/>
          </rPr>
          <t>Data Entry Cell, Other Interim Financing Costs</t>
        </r>
      </text>
    </comment>
    <comment ref="K61" authorId="1" shapeId="0" xr:uid="{00000000-0006-0000-0B00-000088040000}">
      <text>
        <r>
          <rPr>
            <b/>
            <sz val="10"/>
            <color indexed="81"/>
            <rFont val="Tahoma"/>
            <family val="2"/>
          </rPr>
          <t>Data Entry Cell, Other Interim Financing Costs</t>
        </r>
      </text>
    </comment>
    <comment ref="L61" authorId="1" shapeId="0" xr:uid="{00000000-0006-0000-0B00-000089040000}">
      <text>
        <r>
          <rPr>
            <b/>
            <sz val="10"/>
            <color indexed="81"/>
            <rFont val="Tahoma"/>
            <family val="2"/>
          </rPr>
          <t>Data Entry Cell, Other Interim Financing Costs</t>
        </r>
      </text>
    </comment>
    <comment ref="M61" authorId="1" shapeId="0" xr:uid="{00000000-0006-0000-0B00-00008A040000}">
      <text>
        <r>
          <rPr>
            <b/>
            <sz val="10"/>
            <color indexed="81"/>
            <rFont val="Tahoma"/>
            <family val="2"/>
          </rPr>
          <t>Data Entry Cell, Other Interim Financing Costs</t>
        </r>
      </text>
    </comment>
    <comment ref="N61" authorId="1" shapeId="0" xr:uid="{00000000-0006-0000-0B00-00008B040000}">
      <text>
        <r>
          <rPr>
            <b/>
            <sz val="10"/>
            <color indexed="81"/>
            <rFont val="Tahoma"/>
            <family val="2"/>
          </rPr>
          <t>Data Entry Cell, Other Interim Financing Costs</t>
        </r>
      </text>
    </comment>
    <comment ref="O61" authorId="1" shapeId="0" xr:uid="{00000000-0006-0000-0B00-00008C040000}">
      <text>
        <r>
          <rPr>
            <b/>
            <sz val="10"/>
            <color indexed="81"/>
            <rFont val="Tahoma"/>
            <family val="2"/>
          </rPr>
          <t>Data Entry Cell, Other Interim Financing Costs</t>
        </r>
      </text>
    </comment>
    <comment ref="P61" authorId="1" shapeId="0" xr:uid="{00000000-0006-0000-0B00-00008D040000}">
      <text>
        <r>
          <rPr>
            <b/>
            <sz val="10"/>
            <color indexed="81"/>
            <rFont val="Tahoma"/>
            <family val="2"/>
          </rPr>
          <t>Data Entry Cell, Other Interim Financing Costs</t>
        </r>
      </text>
    </comment>
    <comment ref="Q61" authorId="1" shapeId="0" xr:uid="{00000000-0006-0000-0B00-00008E040000}">
      <text>
        <r>
          <rPr>
            <b/>
            <sz val="10"/>
            <color indexed="81"/>
            <rFont val="Tahoma"/>
            <family val="2"/>
          </rPr>
          <t>Data Entry Cell, Other Interim Financing Costs</t>
        </r>
      </text>
    </comment>
    <comment ref="R61" authorId="1" shapeId="0" xr:uid="{00000000-0006-0000-0B00-00008F040000}">
      <text>
        <r>
          <rPr>
            <b/>
            <sz val="10"/>
            <color indexed="81"/>
            <rFont val="Tahoma"/>
            <family val="2"/>
          </rPr>
          <t>Data Entry Cell, Other Interim Financing Costs</t>
        </r>
      </text>
    </comment>
    <comment ref="S61" authorId="1" shapeId="0" xr:uid="{00000000-0006-0000-0B00-000090040000}">
      <text>
        <r>
          <rPr>
            <b/>
            <sz val="10"/>
            <color indexed="81"/>
            <rFont val="Tahoma"/>
            <family val="2"/>
          </rPr>
          <t>Data Entry Cell, Other Interim Financing Costs</t>
        </r>
      </text>
    </comment>
    <comment ref="T61" authorId="1" shapeId="0" xr:uid="{00000000-0006-0000-0B00-000091040000}">
      <text>
        <r>
          <rPr>
            <b/>
            <sz val="10"/>
            <color indexed="81"/>
            <rFont val="Tahoma"/>
            <family val="2"/>
          </rPr>
          <t>Data Entry Cell, Other Interim Financing Costs</t>
        </r>
      </text>
    </comment>
    <comment ref="U61" authorId="1" shapeId="0" xr:uid="{00000000-0006-0000-0B00-000092040000}">
      <text>
        <r>
          <rPr>
            <b/>
            <sz val="10"/>
            <color indexed="81"/>
            <rFont val="Tahoma"/>
            <family val="2"/>
          </rPr>
          <t>Data Entry Cell, Other Interim Financing Costs</t>
        </r>
      </text>
    </comment>
    <comment ref="V61" authorId="1" shapeId="0" xr:uid="{00000000-0006-0000-0B00-000093040000}">
      <text>
        <r>
          <rPr>
            <b/>
            <sz val="10"/>
            <color indexed="81"/>
            <rFont val="Tahoma"/>
            <family val="2"/>
          </rPr>
          <t>Data Entry Cell, Other Interim Financing Costs</t>
        </r>
      </text>
    </comment>
    <comment ref="W61" authorId="1" shapeId="0" xr:uid="{00000000-0006-0000-0B00-000094040000}">
      <text>
        <r>
          <rPr>
            <b/>
            <sz val="10"/>
            <color indexed="81"/>
            <rFont val="Tahoma"/>
            <family val="2"/>
          </rPr>
          <t>Data Entry Cell, Other Interim Financing Costs</t>
        </r>
      </text>
    </comment>
    <comment ref="X61" authorId="1" shapeId="0" xr:uid="{00000000-0006-0000-0B00-000095040000}">
      <text>
        <r>
          <rPr>
            <b/>
            <sz val="10"/>
            <color indexed="81"/>
            <rFont val="Tahoma"/>
            <family val="2"/>
          </rPr>
          <t>Data Entry Cell, Other Interim Financing Costs</t>
        </r>
      </text>
    </comment>
    <comment ref="Y61" authorId="1" shapeId="0" xr:uid="{00000000-0006-0000-0B00-000096040000}">
      <text>
        <r>
          <rPr>
            <b/>
            <sz val="10"/>
            <color indexed="81"/>
            <rFont val="Tahoma"/>
            <family val="2"/>
          </rPr>
          <t>Data Entry Cell, Other Interim Financing Costs</t>
        </r>
      </text>
    </comment>
    <comment ref="Z61" authorId="1" shapeId="0" xr:uid="{00000000-0006-0000-0B00-000097040000}">
      <text>
        <r>
          <rPr>
            <b/>
            <sz val="10"/>
            <color indexed="81"/>
            <rFont val="Tahoma"/>
            <family val="2"/>
          </rPr>
          <t>Data Entry Cell, Other Interim Financing Costs</t>
        </r>
      </text>
    </comment>
    <comment ref="AA61" authorId="1" shapeId="0" xr:uid="{00000000-0006-0000-0B00-000098040000}">
      <text>
        <r>
          <rPr>
            <b/>
            <sz val="10"/>
            <color indexed="81"/>
            <rFont val="Tahoma"/>
            <family val="2"/>
          </rPr>
          <t>Data Entry Cell, Other Interim Financing Costs</t>
        </r>
      </text>
    </comment>
    <comment ref="AB61" authorId="1" shapeId="0" xr:uid="{00000000-0006-0000-0B00-000099040000}">
      <text>
        <r>
          <rPr>
            <b/>
            <sz val="10"/>
            <color indexed="81"/>
            <rFont val="Tahoma"/>
            <family val="2"/>
          </rPr>
          <t>Data Entry Cell, Other Interim Financing Costs</t>
        </r>
      </text>
    </comment>
    <comment ref="AC61" authorId="1" shapeId="0" xr:uid="{00000000-0006-0000-0B00-00009A040000}">
      <text>
        <r>
          <rPr>
            <b/>
            <sz val="10"/>
            <color indexed="81"/>
            <rFont val="Tahoma"/>
            <family val="2"/>
          </rPr>
          <t>Data Entry Cell, Other Interim Financing Costs</t>
        </r>
      </text>
    </comment>
    <comment ref="E63" authorId="1" shapeId="0" xr:uid="{00000000-0006-0000-0B00-00009B040000}">
      <text>
        <r>
          <rPr>
            <b/>
            <sz val="10"/>
            <color indexed="81"/>
            <rFont val="Tahoma"/>
            <family val="2"/>
          </rPr>
          <t>Data Entry Cell, Credit Report Cost</t>
        </r>
      </text>
    </comment>
    <comment ref="F63" authorId="1" shapeId="0" xr:uid="{00000000-0006-0000-0B00-00009C040000}">
      <text>
        <r>
          <rPr>
            <b/>
            <sz val="10"/>
            <color indexed="81"/>
            <rFont val="Tahoma"/>
            <family val="2"/>
          </rPr>
          <t>Data Entry Cell, Credit Report Cost</t>
        </r>
      </text>
    </comment>
    <comment ref="G63" authorId="1" shapeId="0" xr:uid="{00000000-0006-0000-0B00-00009D040000}">
      <text>
        <r>
          <rPr>
            <b/>
            <sz val="10"/>
            <color indexed="81"/>
            <rFont val="Tahoma"/>
            <family val="2"/>
          </rPr>
          <t>Data Entry Cell, Credit Report Cost</t>
        </r>
      </text>
    </comment>
    <comment ref="H63" authorId="1" shapeId="0" xr:uid="{00000000-0006-0000-0B00-00009E040000}">
      <text>
        <r>
          <rPr>
            <b/>
            <sz val="10"/>
            <color indexed="81"/>
            <rFont val="Tahoma"/>
            <family val="2"/>
          </rPr>
          <t>Data Entry Cell, Credit Report Cost</t>
        </r>
      </text>
    </comment>
    <comment ref="I63" authorId="1" shapeId="0" xr:uid="{00000000-0006-0000-0B00-00009F040000}">
      <text>
        <r>
          <rPr>
            <b/>
            <sz val="10"/>
            <color indexed="81"/>
            <rFont val="Tahoma"/>
            <family val="2"/>
          </rPr>
          <t>Data Entry Cell, Credit Report Cost</t>
        </r>
      </text>
    </comment>
    <comment ref="J63" authorId="1" shapeId="0" xr:uid="{00000000-0006-0000-0B00-0000A0040000}">
      <text>
        <r>
          <rPr>
            <b/>
            <sz val="10"/>
            <color indexed="81"/>
            <rFont val="Tahoma"/>
            <family val="2"/>
          </rPr>
          <t>Data Entry Cell, Credit Report Cost</t>
        </r>
      </text>
    </comment>
    <comment ref="K63" authorId="1" shapeId="0" xr:uid="{00000000-0006-0000-0B00-0000A1040000}">
      <text>
        <r>
          <rPr>
            <b/>
            <sz val="10"/>
            <color indexed="81"/>
            <rFont val="Tahoma"/>
            <family val="2"/>
          </rPr>
          <t>Data Entry Cell, Credit Report Cost</t>
        </r>
      </text>
    </comment>
    <comment ref="L63" authorId="1" shapeId="0" xr:uid="{00000000-0006-0000-0B00-0000A2040000}">
      <text>
        <r>
          <rPr>
            <b/>
            <sz val="10"/>
            <color indexed="81"/>
            <rFont val="Tahoma"/>
            <family val="2"/>
          </rPr>
          <t>Data Entry Cell, Credit Report Cost</t>
        </r>
      </text>
    </comment>
    <comment ref="M63" authorId="1" shapeId="0" xr:uid="{00000000-0006-0000-0B00-0000A3040000}">
      <text>
        <r>
          <rPr>
            <b/>
            <sz val="10"/>
            <color indexed="81"/>
            <rFont val="Tahoma"/>
            <family val="2"/>
          </rPr>
          <t>Data Entry Cell, Credit Report Cost</t>
        </r>
      </text>
    </comment>
    <comment ref="N63" authorId="1" shapeId="0" xr:uid="{00000000-0006-0000-0B00-0000A4040000}">
      <text>
        <r>
          <rPr>
            <b/>
            <sz val="10"/>
            <color indexed="81"/>
            <rFont val="Tahoma"/>
            <family val="2"/>
          </rPr>
          <t>Data Entry Cell, Credit Report Cost</t>
        </r>
      </text>
    </comment>
    <comment ref="O63" authorId="1" shapeId="0" xr:uid="{00000000-0006-0000-0B00-0000A5040000}">
      <text>
        <r>
          <rPr>
            <b/>
            <sz val="10"/>
            <color indexed="81"/>
            <rFont val="Tahoma"/>
            <family val="2"/>
          </rPr>
          <t>Data Entry Cell, Credit Report Cost</t>
        </r>
      </text>
    </comment>
    <comment ref="P63" authorId="1" shapeId="0" xr:uid="{00000000-0006-0000-0B00-0000A6040000}">
      <text>
        <r>
          <rPr>
            <b/>
            <sz val="10"/>
            <color indexed="81"/>
            <rFont val="Tahoma"/>
            <family val="2"/>
          </rPr>
          <t>Data Entry Cell, Credit Report Cost</t>
        </r>
      </text>
    </comment>
    <comment ref="Q63" authorId="1" shapeId="0" xr:uid="{00000000-0006-0000-0B00-0000A7040000}">
      <text>
        <r>
          <rPr>
            <b/>
            <sz val="10"/>
            <color indexed="81"/>
            <rFont val="Tahoma"/>
            <family val="2"/>
          </rPr>
          <t>Data Entry Cell, Credit Report Cost</t>
        </r>
      </text>
    </comment>
    <comment ref="R63" authorId="1" shapeId="0" xr:uid="{00000000-0006-0000-0B00-0000A8040000}">
      <text>
        <r>
          <rPr>
            <b/>
            <sz val="10"/>
            <color indexed="81"/>
            <rFont val="Tahoma"/>
            <family val="2"/>
          </rPr>
          <t>Data Entry Cell, Credit Report Cost</t>
        </r>
      </text>
    </comment>
    <comment ref="S63" authorId="1" shapeId="0" xr:uid="{00000000-0006-0000-0B00-0000A9040000}">
      <text>
        <r>
          <rPr>
            <b/>
            <sz val="10"/>
            <color indexed="81"/>
            <rFont val="Tahoma"/>
            <family val="2"/>
          </rPr>
          <t>Data Entry Cell, Credit Report Cost</t>
        </r>
      </text>
    </comment>
    <comment ref="T63" authorId="1" shapeId="0" xr:uid="{00000000-0006-0000-0B00-0000AA040000}">
      <text>
        <r>
          <rPr>
            <b/>
            <sz val="10"/>
            <color indexed="81"/>
            <rFont val="Tahoma"/>
            <family val="2"/>
          </rPr>
          <t>Data Entry Cell, Credit Report Cost</t>
        </r>
      </text>
    </comment>
    <comment ref="U63" authorId="1" shapeId="0" xr:uid="{00000000-0006-0000-0B00-0000AB040000}">
      <text>
        <r>
          <rPr>
            <b/>
            <sz val="10"/>
            <color indexed="81"/>
            <rFont val="Tahoma"/>
            <family val="2"/>
          </rPr>
          <t>Data Entry Cell, Credit Report Cost</t>
        </r>
      </text>
    </comment>
    <comment ref="V63" authorId="1" shapeId="0" xr:uid="{00000000-0006-0000-0B00-0000AC040000}">
      <text>
        <r>
          <rPr>
            <b/>
            <sz val="10"/>
            <color indexed="81"/>
            <rFont val="Tahoma"/>
            <family val="2"/>
          </rPr>
          <t>Data Entry Cell, Credit Report Cost</t>
        </r>
      </text>
    </comment>
    <comment ref="W63" authorId="1" shapeId="0" xr:uid="{00000000-0006-0000-0B00-0000AD040000}">
      <text>
        <r>
          <rPr>
            <b/>
            <sz val="10"/>
            <color indexed="81"/>
            <rFont val="Tahoma"/>
            <family val="2"/>
          </rPr>
          <t>Data Entry Cell, Credit Report Cost</t>
        </r>
      </text>
    </comment>
    <comment ref="X63" authorId="1" shapeId="0" xr:uid="{00000000-0006-0000-0B00-0000AE040000}">
      <text>
        <r>
          <rPr>
            <b/>
            <sz val="10"/>
            <color indexed="81"/>
            <rFont val="Tahoma"/>
            <family val="2"/>
          </rPr>
          <t>Data Entry Cell, Credit Report Cost</t>
        </r>
      </text>
    </comment>
    <comment ref="Y63" authorId="1" shapeId="0" xr:uid="{00000000-0006-0000-0B00-0000AF040000}">
      <text>
        <r>
          <rPr>
            <b/>
            <sz val="10"/>
            <color indexed="81"/>
            <rFont val="Tahoma"/>
            <family val="2"/>
          </rPr>
          <t>Data Entry Cell, Credit Report Cost</t>
        </r>
      </text>
    </comment>
    <comment ref="Z63" authorId="1" shapeId="0" xr:uid="{00000000-0006-0000-0B00-0000B0040000}">
      <text>
        <r>
          <rPr>
            <b/>
            <sz val="10"/>
            <color indexed="81"/>
            <rFont val="Tahoma"/>
            <family val="2"/>
          </rPr>
          <t>Data Entry Cell, Credit Report Cost</t>
        </r>
      </text>
    </comment>
    <comment ref="AA63" authorId="1" shapeId="0" xr:uid="{00000000-0006-0000-0B00-0000B1040000}">
      <text>
        <r>
          <rPr>
            <b/>
            <sz val="10"/>
            <color indexed="81"/>
            <rFont val="Tahoma"/>
            <family val="2"/>
          </rPr>
          <t>Data Entry Cell, Credit Report Cost</t>
        </r>
      </text>
    </comment>
    <comment ref="AB63" authorId="1" shapeId="0" xr:uid="{00000000-0006-0000-0B00-0000B2040000}">
      <text>
        <r>
          <rPr>
            <b/>
            <sz val="10"/>
            <color indexed="81"/>
            <rFont val="Tahoma"/>
            <family val="2"/>
          </rPr>
          <t>Data Entry Cell, Credit Report Cost</t>
        </r>
      </text>
    </comment>
    <comment ref="AC63" authorId="1" shapeId="0" xr:uid="{00000000-0006-0000-0B00-0000B3040000}">
      <text>
        <r>
          <rPr>
            <b/>
            <sz val="10"/>
            <color indexed="81"/>
            <rFont val="Tahoma"/>
            <family val="2"/>
          </rPr>
          <t>Data Entry Cell, Credit Report Cost</t>
        </r>
      </text>
    </comment>
    <comment ref="E64" authorId="1" shapeId="0" xr:uid="{00000000-0006-0000-0B00-0000B4040000}">
      <text>
        <r>
          <rPr>
            <b/>
            <sz val="10"/>
            <color indexed="81"/>
            <rFont val="Tahoma"/>
            <family val="2"/>
          </rPr>
          <t>Data Entry Cell, Lender Origination / Financing Fee</t>
        </r>
      </text>
    </comment>
    <comment ref="F64" authorId="1" shapeId="0" xr:uid="{00000000-0006-0000-0B00-0000B5040000}">
      <text>
        <r>
          <rPr>
            <b/>
            <sz val="10"/>
            <color indexed="81"/>
            <rFont val="Tahoma"/>
            <family val="2"/>
          </rPr>
          <t>Data Entry Cell, Lender Origination / Financing Fee</t>
        </r>
      </text>
    </comment>
    <comment ref="G64" authorId="1" shapeId="0" xr:uid="{00000000-0006-0000-0B00-0000B6040000}">
      <text>
        <r>
          <rPr>
            <b/>
            <sz val="10"/>
            <color indexed="81"/>
            <rFont val="Tahoma"/>
            <family val="2"/>
          </rPr>
          <t>Data Entry Cell, Lender Origination / Financing Fee</t>
        </r>
      </text>
    </comment>
    <comment ref="H64" authorId="1" shapeId="0" xr:uid="{00000000-0006-0000-0B00-0000B7040000}">
      <text>
        <r>
          <rPr>
            <b/>
            <sz val="10"/>
            <color indexed="81"/>
            <rFont val="Tahoma"/>
            <family val="2"/>
          </rPr>
          <t>Data Entry Cell, Lender Origination / Financing Fee</t>
        </r>
      </text>
    </comment>
    <comment ref="I64" authorId="1" shapeId="0" xr:uid="{00000000-0006-0000-0B00-0000B8040000}">
      <text>
        <r>
          <rPr>
            <b/>
            <sz val="10"/>
            <color indexed="81"/>
            <rFont val="Tahoma"/>
            <family val="2"/>
          </rPr>
          <t>Data Entry Cell, Lender Origination / Financing Fee</t>
        </r>
      </text>
    </comment>
    <comment ref="J64" authorId="1" shapeId="0" xr:uid="{00000000-0006-0000-0B00-0000B9040000}">
      <text>
        <r>
          <rPr>
            <b/>
            <sz val="10"/>
            <color indexed="81"/>
            <rFont val="Tahoma"/>
            <family val="2"/>
          </rPr>
          <t>Data Entry Cell, Lender Origination / Financing Fee</t>
        </r>
      </text>
    </comment>
    <comment ref="K64" authorId="1" shapeId="0" xr:uid="{00000000-0006-0000-0B00-0000BA040000}">
      <text>
        <r>
          <rPr>
            <b/>
            <sz val="10"/>
            <color indexed="81"/>
            <rFont val="Tahoma"/>
            <family val="2"/>
          </rPr>
          <t>Data Entry Cell, Lender Origination / Financing Fee</t>
        </r>
      </text>
    </comment>
    <comment ref="L64" authorId="1" shapeId="0" xr:uid="{00000000-0006-0000-0B00-0000BB040000}">
      <text>
        <r>
          <rPr>
            <b/>
            <sz val="10"/>
            <color indexed="81"/>
            <rFont val="Tahoma"/>
            <family val="2"/>
          </rPr>
          <t>Data Entry Cell, Lender Origination / Financing Fee</t>
        </r>
      </text>
    </comment>
    <comment ref="M64" authorId="1" shapeId="0" xr:uid="{00000000-0006-0000-0B00-0000BC040000}">
      <text>
        <r>
          <rPr>
            <b/>
            <sz val="10"/>
            <color indexed="81"/>
            <rFont val="Tahoma"/>
            <family val="2"/>
          </rPr>
          <t>Data Entry Cell, Lender Origination / Financing Fee</t>
        </r>
      </text>
    </comment>
    <comment ref="N64" authorId="1" shapeId="0" xr:uid="{00000000-0006-0000-0B00-0000BD040000}">
      <text>
        <r>
          <rPr>
            <b/>
            <sz val="10"/>
            <color indexed="81"/>
            <rFont val="Tahoma"/>
            <family val="2"/>
          </rPr>
          <t>Data Entry Cell, Lender Origination / Financing Fee</t>
        </r>
      </text>
    </comment>
    <comment ref="O64" authorId="1" shapeId="0" xr:uid="{00000000-0006-0000-0B00-0000BE040000}">
      <text>
        <r>
          <rPr>
            <b/>
            <sz val="10"/>
            <color indexed="81"/>
            <rFont val="Tahoma"/>
            <family val="2"/>
          </rPr>
          <t>Data Entry Cell, Lender Origination / Financing Fee</t>
        </r>
      </text>
    </comment>
    <comment ref="P64" authorId="1" shapeId="0" xr:uid="{00000000-0006-0000-0B00-0000BF040000}">
      <text>
        <r>
          <rPr>
            <b/>
            <sz val="10"/>
            <color indexed="81"/>
            <rFont val="Tahoma"/>
            <family val="2"/>
          </rPr>
          <t>Data Entry Cell, Lender Origination / Financing Fee</t>
        </r>
      </text>
    </comment>
    <comment ref="Q64" authorId="1" shapeId="0" xr:uid="{00000000-0006-0000-0B00-0000C0040000}">
      <text>
        <r>
          <rPr>
            <b/>
            <sz val="10"/>
            <color indexed="81"/>
            <rFont val="Tahoma"/>
            <family val="2"/>
          </rPr>
          <t>Data Entry Cell, Lender Origination / Financing Fee</t>
        </r>
      </text>
    </comment>
    <comment ref="R64" authorId="1" shapeId="0" xr:uid="{00000000-0006-0000-0B00-0000C1040000}">
      <text>
        <r>
          <rPr>
            <b/>
            <sz val="10"/>
            <color indexed="81"/>
            <rFont val="Tahoma"/>
            <family val="2"/>
          </rPr>
          <t>Data Entry Cell, Lender Origination / Financing Fee</t>
        </r>
      </text>
    </comment>
    <comment ref="S64" authorId="1" shapeId="0" xr:uid="{00000000-0006-0000-0B00-0000C2040000}">
      <text>
        <r>
          <rPr>
            <b/>
            <sz val="10"/>
            <color indexed="81"/>
            <rFont val="Tahoma"/>
            <family val="2"/>
          </rPr>
          <t>Data Entry Cell, Lender Origination / Financing Fee</t>
        </r>
      </text>
    </comment>
    <comment ref="T64" authorId="1" shapeId="0" xr:uid="{00000000-0006-0000-0B00-0000C3040000}">
      <text>
        <r>
          <rPr>
            <b/>
            <sz val="10"/>
            <color indexed="81"/>
            <rFont val="Tahoma"/>
            <family val="2"/>
          </rPr>
          <t>Data Entry Cell, Lender Origination / Financing Fee</t>
        </r>
      </text>
    </comment>
    <comment ref="U64" authorId="1" shapeId="0" xr:uid="{00000000-0006-0000-0B00-0000C4040000}">
      <text>
        <r>
          <rPr>
            <b/>
            <sz val="10"/>
            <color indexed="81"/>
            <rFont val="Tahoma"/>
            <family val="2"/>
          </rPr>
          <t>Data Entry Cell, Lender Origination / Financing Fee</t>
        </r>
      </text>
    </comment>
    <comment ref="V64" authorId="1" shapeId="0" xr:uid="{00000000-0006-0000-0B00-0000C5040000}">
      <text>
        <r>
          <rPr>
            <b/>
            <sz val="10"/>
            <color indexed="81"/>
            <rFont val="Tahoma"/>
            <family val="2"/>
          </rPr>
          <t>Data Entry Cell, Lender Origination / Financing Fee</t>
        </r>
      </text>
    </comment>
    <comment ref="W64" authorId="1" shapeId="0" xr:uid="{00000000-0006-0000-0B00-0000C6040000}">
      <text>
        <r>
          <rPr>
            <b/>
            <sz val="10"/>
            <color indexed="81"/>
            <rFont val="Tahoma"/>
            <family val="2"/>
          </rPr>
          <t>Data Entry Cell, Lender Origination / Financing Fee</t>
        </r>
      </text>
    </comment>
    <comment ref="X64" authorId="1" shapeId="0" xr:uid="{00000000-0006-0000-0B00-0000C7040000}">
      <text>
        <r>
          <rPr>
            <b/>
            <sz val="10"/>
            <color indexed="81"/>
            <rFont val="Tahoma"/>
            <family val="2"/>
          </rPr>
          <t>Data Entry Cell, Lender Origination / Financing Fee</t>
        </r>
      </text>
    </comment>
    <comment ref="Y64" authorId="1" shapeId="0" xr:uid="{00000000-0006-0000-0B00-0000C8040000}">
      <text>
        <r>
          <rPr>
            <b/>
            <sz val="10"/>
            <color indexed="81"/>
            <rFont val="Tahoma"/>
            <family val="2"/>
          </rPr>
          <t>Data Entry Cell, Lender Origination / Financing Fee</t>
        </r>
      </text>
    </comment>
    <comment ref="Z64" authorId="1" shapeId="0" xr:uid="{00000000-0006-0000-0B00-0000C9040000}">
      <text>
        <r>
          <rPr>
            <b/>
            <sz val="10"/>
            <color indexed="81"/>
            <rFont val="Tahoma"/>
            <family val="2"/>
          </rPr>
          <t>Data Entry Cell, Lender Origination / Financing Fee</t>
        </r>
      </text>
    </comment>
    <comment ref="AA64" authorId="1" shapeId="0" xr:uid="{00000000-0006-0000-0B00-0000CA040000}">
      <text>
        <r>
          <rPr>
            <b/>
            <sz val="10"/>
            <color indexed="81"/>
            <rFont val="Tahoma"/>
            <family val="2"/>
          </rPr>
          <t>Data Entry Cell, Lender Origination / Financing Fee</t>
        </r>
      </text>
    </comment>
    <comment ref="AB64" authorId="1" shapeId="0" xr:uid="{00000000-0006-0000-0B00-0000CB040000}">
      <text>
        <r>
          <rPr>
            <b/>
            <sz val="10"/>
            <color indexed="81"/>
            <rFont val="Tahoma"/>
            <family val="2"/>
          </rPr>
          <t>Data Entry Cell, Lender Origination / Financing Fee</t>
        </r>
      </text>
    </comment>
    <comment ref="AC64" authorId="1" shapeId="0" xr:uid="{00000000-0006-0000-0B00-0000CC040000}">
      <text>
        <r>
          <rPr>
            <b/>
            <sz val="10"/>
            <color indexed="81"/>
            <rFont val="Tahoma"/>
            <family val="2"/>
          </rPr>
          <t>Data Entry Cell, Lender Origination / Financing Fee</t>
        </r>
      </text>
    </comment>
    <comment ref="E65" authorId="1" shapeId="0" xr:uid="{00000000-0006-0000-0B00-0000CD040000}">
      <text>
        <r>
          <rPr>
            <b/>
            <sz val="10"/>
            <color indexed="81"/>
            <rFont val="Tahoma"/>
            <family val="2"/>
          </rPr>
          <t>Data Entry Cell, Lender's Counsel Fee</t>
        </r>
      </text>
    </comment>
    <comment ref="F65" authorId="1" shapeId="0" xr:uid="{00000000-0006-0000-0B00-0000CE040000}">
      <text>
        <r>
          <rPr>
            <b/>
            <sz val="10"/>
            <color indexed="81"/>
            <rFont val="Tahoma"/>
            <family val="2"/>
          </rPr>
          <t>Data Entry Cell, Lender's Counsel Fee</t>
        </r>
      </text>
    </comment>
    <comment ref="G65" authorId="1" shapeId="0" xr:uid="{00000000-0006-0000-0B00-0000CF040000}">
      <text>
        <r>
          <rPr>
            <b/>
            <sz val="10"/>
            <color indexed="81"/>
            <rFont val="Tahoma"/>
            <family val="2"/>
          </rPr>
          <t>Data Entry Cell, Lender's Counsel Fee</t>
        </r>
      </text>
    </comment>
    <comment ref="H65" authorId="1" shapeId="0" xr:uid="{00000000-0006-0000-0B00-0000D0040000}">
      <text>
        <r>
          <rPr>
            <b/>
            <sz val="10"/>
            <color indexed="81"/>
            <rFont val="Tahoma"/>
            <family val="2"/>
          </rPr>
          <t>Data Entry Cell, Lender's Counsel Fee</t>
        </r>
      </text>
    </comment>
    <comment ref="I65" authorId="1" shapeId="0" xr:uid="{00000000-0006-0000-0B00-0000D1040000}">
      <text>
        <r>
          <rPr>
            <b/>
            <sz val="10"/>
            <color indexed="81"/>
            <rFont val="Tahoma"/>
            <family val="2"/>
          </rPr>
          <t>Data Entry Cell, Lender's Counsel Fee</t>
        </r>
      </text>
    </comment>
    <comment ref="J65" authorId="1" shapeId="0" xr:uid="{00000000-0006-0000-0B00-0000D2040000}">
      <text>
        <r>
          <rPr>
            <b/>
            <sz val="10"/>
            <color indexed="81"/>
            <rFont val="Tahoma"/>
            <family val="2"/>
          </rPr>
          <t>Data Entry Cell, Lender's Counsel Fee</t>
        </r>
      </text>
    </comment>
    <comment ref="K65" authorId="1" shapeId="0" xr:uid="{00000000-0006-0000-0B00-0000D3040000}">
      <text>
        <r>
          <rPr>
            <b/>
            <sz val="10"/>
            <color indexed="81"/>
            <rFont val="Tahoma"/>
            <family val="2"/>
          </rPr>
          <t>Data Entry Cell, Lender's Counsel Fee</t>
        </r>
      </text>
    </comment>
    <comment ref="L65" authorId="1" shapeId="0" xr:uid="{00000000-0006-0000-0B00-0000D4040000}">
      <text>
        <r>
          <rPr>
            <b/>
            <sz val="10"/>
            <color indexed="81"/>
            <rFont val="Tahoma"/>
            <family val="2"/>
          </rPr>
          <t>Data Entry Cell, Lender's Counsel Fee</t>
        </r>
      </text>
    </comment>
    <comment ref="M65" authorId="1" shapeId="0" xr:uid="{00000000-0006-0000-0B00-0000D5040000}">
      <text>
        <r>
          <rPr>
            <b/>
            <sz val="10"/>
            <color indexed="81"/>
            <rFont val="Tahoma"/>
            <family val="2"/>
          </rPr>
          <t>Data Entry Cell, Lender's Counsel Fee</t>
        </r>
      </text>
    </comment>
    <comment ref="N65" authorId="1" shapeId="0" xr:uid="{00000000-0006-0000-0B00-0000D6040000}">
      <text>
        <r>
          <rPr>
            <b/>
            <sz val="10"/>
            <color indexed="81"/>
            <rFont val="Tahoma"/>
            <family val="2"/>
          </rPr>
          <t>Data Entry Cell, Lender's Counsel Fee</t>
        </r>
      </text>
    </comment>
    <comment ref="O65" authorId="1" shapeId="0" xr:uid="{00000000-0006-0000-0B00-0000D7040000}">
      <text>
        <r>
          <rPr>
            <b/>
            <sz val="10"/>
            <color indexed="81"/>
            <rFont val="Tahoma"/>
            <family val="2"/>
          </rPr>
          <t>Data Entry Cell, Lender's Counsel Fee</t>
        </r>
      </text>
    </comment>
    <comment ref="P65" authorId="1" shapeId="0" xr:uid="{00000000-0006-0000-0B00-0000D8040000}">
      <text>
        <r>
          <rPr>
            <b/>
            <sz val="10"/>
            <color indexed="81"/>
            <rFont val="Tahoma"/>
            <family val="2"/>
          </rPr>
          <t>Data Entry Cell, Lender's Counsel Fee</t>
        </r>
      </text>
    </comment>
    <comment ref="Q65" authorId="1" shapeId="0" xr:uid="{00000000-0006-0000-0B00-0000D9040000}">
      <text>
        <r>
          <rPr>
            <b/>
            <sz val="10"/>
            <color indexed="81"/>
            <rFont val="Tahoma"/>
            <family val="2"/>
          </rPr>
          <t>Data Entry Cell, Lender's Counsel Fee</t>
        </r>
      </text>
    </comment>
    <comment ref="R65" authorId="1" shapeId="0" xr:uid="{00000000-0006-0000-0B00-0000DA040000}">
      <text>
        <r>
          <rPr>
            <b/>
            <sz val="10"/>
            <color indexed="81"/>
            <rFont val="Tahoma"/>
            <family val="2"/>
          </rPr>
          <t>Data Entry Cell, Lender's Counsel Fee</t>
        </r>
      </text>
    </comment>
    <comment ref="S65" authorId="1" shapeId="0" xr:uid="{00000000-0006-0000-0B00-0000DB040000}">
      <text>
        <r>
          <rPr>
            <b/>
            <sz val="10"/>
            <color indexed="81"/>
            <rFont val="Tahoma"/>
            <family val="2"/>
          </rPr>
          <t>Data Entry Cell, Lender's Counsel Fee</t>
        </r>
      </text>
    </comment>
    <comment ref="T65" authorId="1" shapeId="0" xr:uid="{00000000-0006-0000-0B00-0000DC040000}">
      <text>
        <r>
          <rPr>
            <b/>
            <sz val="10"/>
            <color indexed="81"/>
            <rFont val="Tahoma"/>
            <family val="2"/>
          </rPr>
          <t>Data Entry Cell, Lender's Counsel Fee</t>
        </r>
      </text>
    </comment>
    <comment ref="U65" authorId="1" shapeId="0" xr:uid="{00000000-0006-0000-0B00-0000DD040000}">
      <text>
        <r>
          <rPr>
            <b/>
            <sz val="10"/>
            <color indexed="81"/>
            <rFont val="Tahoma"/>
            <family val="2"/>
          </rPr>
          <t>Data Entry Cell, Lender's Counsel Fee</t>
        </r>
      </text>
    </comment>
    <comment ref="V65" authorId="1" shapeId="0" xr:uid="{00000000-0006-0000-0B00-0000DE040000}">
      <text>
        <r>
          <rPr>
            <b/>
            <sz val="10"/>
            <color indexed="81"/>
            <rFont val="Tahoma"/>
            <family val="2"/>
          </rPr>
          <t>Data Entry Cell, Lender's Counsel Fee</t>
        </r>
      </text>
    </comment>
    <comment ref="W65" authorId="1" shapeId="0" xr:uid="{00000000-0006-0000-0B00-0000DF040000}">
      <text>
        <r>
          <rPr>
            <b/>
            <sz val="10"/>
            <color indexed="81"/>
            <rFont val="Tahoma"/>
            <family val="2"/>
          </rPr>
          <t>Data Entry Cell, Lender's Counsel Fee</t>
        </r>
      </text>
    </comment>
    <comment ref="X65" authorId="1" shapeId="0" xr:uid="{00000000-0006-0000-0B00-0000E0040000}">
      <text>
        <r>
          <rPr>
            <b/>
            <sz val="10"/>
            <color indexed="81"/>
            <rFont val="Tahoma"/>
            <family val="2"/>
          </rPr>
          <t>Data Entry Cell, Lender's Counsel Fee</t>
        </r>
      </text>
    </comment>
    <comment ref="Y65" authorId="1" shapeId="0" xr:uid="{00000000-0006-0000-0B00-0000E1040000}">
      <text>
        <r>
          <rPr>
            <b/>
            <sz val="10"/>
            <color indexed="81"/>
            <rFont val="Tahoma"/>
            <family val="2"/>
          </rPr>
          <t>Data Entry Cell, Lender's Counsel Fee</t>
        </r>
      </text>
    </comment>
    <comment ref="Z65" authorId="1" shapeId="0" xr:uid="{00000000-0006-0000-0B00-0000E2040000}">
      <text>
        <r>
          <rPr>
            <b/>
            <sz val="10"/>
            <color indexed="81"/>
            <rFont val="Tahoma"/>
            <family val="2"/>
          </rPr>
          <t>Data Entry Cell, Lender's Counsel Fee</t>
        </r>
      </text>
    </comment>
    <comment ref="AA65" authorId="1" shapeId="0" xr:uid="{00000000-0006-0000-0B00-0000E3040000}">
      <text>
        <r>
          <rPr>
            <b/>
            <sz val="10"/>
            <color indexed="81"/>
            <rFont val="Tahoma"/>
            <family val="2"/>
          </rPr>
          <t>Data Entry Cell, Lender's Counsel Fee</t>
        </r>
      </text>
    </comment>
    <comment ref="AB65" authorId="1" shapeId="0" xr:uid="{00000000-0006-0000-0B00-0000E4040000}">
      <text>
        <r>
          <rPr>
            <b/>
            <sz val="10"/>
            <color indexed="81"/>
            <rFont val="Tahoma"/>
            <family val="2"/>
          </rPr>
          <t>Data Entry Cell, Lender's Counsel Fee</t>
        </r>
      </text>
    </comment>
    <comment ref="AC65" authorId="1" shapeId="0" xr:uid="{00000000-0006-0000-0B00-0000E5040000}">
      <text>
        <r>
          <rPr>
            <b/>
            <sz val="10"/>
            <color indexed="81"/>
            <rFont val="Tahoma"/>
            <family val="2"/>
          </rPr>
          <t>Data Entry Cell, Lender's Counsel Fee</t>
        </r>
      </text>
    </comment>
    <comment ref="E66" authorId="1" shapeId="0" xr:uid="{00000000-0006-0000-0B00-0000E6040000}">
      <text>
        <r>
          <rPr>
            <b/>
            <sz val="10"/>
            <color indexed="81"/>
            <rFont val="Tahoma"/>
            <family val="2"/>
          </rPr>
          <t>Data Entry Cell, Other Lender Fees</t>
        </r>
      </text>
    </comment>
    <comment ref="F66" authorId="1" shapeId="0" xr:uid="{00000000-0006-0000-0B00-0000E7040000}">
      <text>
        <r>
          <rPr>
            <b/>
            <sz val="10"/>
            <color indexed="81"/>
            <rFont val="Tahoma"/>
            <family val="2"/>
          </rPr>
          <t>Data Entry Cell, Other Lender Fees</t>
        </r>
      </text>
    </comment>
    <comment ref="G66" authorId="1" shapeId="0" xr:uid="{00000000-0006-0000-0B00-0000E8040000}">
      <text>
        <r>
          <rPr>
            <b/>
            <sz val="10"/>
            <color indexed="81"/>
            <rFont val="Tahoma"/>
            <family val="2"/>
          </rPr>
          <t>Data Entry Cell, Other Lender Fees</t>
        </r>
      </text>
    </comment>
    <comment ref="H66" authorId="1" shapeId="0" xr:uid="{00000000-0006-0000-0B00-0000E9040000}">
      <text>
        <r>
          <rPr>
            <b/>
            <sz val="10"/>
            <color indexed="81"/>
            <rFont val="Tahoma"/>
            <family val="2"/>
          </rPr>
          <t>Data Entry Cell, Other Lender Fees</t>
        </r>
      </text>
    </comment>
    <comment ref="I66" authorId="1" shapeId="0" xr:uid="{00000000-0006-0000-0B00-0000EA040000}">
      <text>
        <r>
          <rPr>
            <b/>
            <sz val="10"/>
            <color indexed="81"/>
            <rFont val="Tahoma"/>
            <family val="2"/>
          </rPr>
          <t>Data Entry Cell, Other Lender Fees</t>
        </r>
      </text>
    </comment>
    <comment ref="J66" authorId="1" shapeId="0" xr:uid="{00000000-0006-0000-0B00-0000EB040000}">
      <text>
        <r>
          <rPr>
            <b/>
            <sz val="10"/>
            <color indexed="81"/>
            <rFont val="Tahoma"/>
            <family val="2"/>
          </rPr>
          <t>Data Entry Cell, Other Lender Fees</t>
        </r>
      </text>
    </comment>
    <comment ref="K66" authorId="1" shapeId="0" xr:uid="{00000000-0006-0000-0B00-0000EC040000}">
      <text>
        <r>
          <rPr>
            <b/>
            <sz val="10"/>
            <color indexed="81"/>
            <rFont val="Tahoma"/>
            <family val="2"/>
          </rPr>
          <t>Data Entry Cell, Other Lender Fees</t>
        </r>
      </text>
    </comment>
    <comment ref="L66" authorId="1" shapeId="0" xr:uid="{00000000-0006-0000-0B00-0000ED040000}">
      <text>
        <r>
          <rPr>
            <b/>
            <sz val="10"/>
            <color indexed="81"/>
            <rFont val="Tahoma"/>
            <family val="2"/>
          </rPr>
          <t>Data Entry Cell, Other Lender Fees</t>
        </r>
      </text>
    </comment>
    <comment ref="M66" authorId="1" shapeId="0" xr:uid="{00000000-0006-0000-0B00-0000EE040000}">
      <text>
        <r>
          <rPr>
            <b/>
            <sz val="10"/>
            <color indexed="81"/>
            <rFont val="Tahoma"/>
            <family val="2"/>
          </rPr>
          <t>Data Entry Cell, Other Lender Fees</t>
        </r>
      </text>
    </comment>
    <comment ref="N66" authorId="1" shapeId="0" xr:uid="{00000000-0006-0000-0B00-0000EF040000}">
      <text>
        <r>
          <rPr>
            <b/>
            <sz val="10"/>
            <color indexed="81"/>
            <rFont val="Tahoma"/>
            <family val="2"/>
          </rPr>
          <t>Data Entry Cell, Other Lender Fees</t>
        </r>
      </text>
    </comment>
    <comment ref="O66" authorId="1" shapeId="0" xr:uid="{00000000-0006-0000-0B00-0000F0040000}">
      <text>
        <r>
          <rPr>
            <b/>
            <sz val="10"/>
            <color indexed="81"/>
            <rFont val="Tahoma"/>
            <family val="2"/>
          </rPr>
          <t>Data Entry Cell, Other Lender Fees</t>
        </r>
      </text>
    </comment>
    <comment ref="P66" authorId="1" shapeId="0" xr:uid="{00000000-0006-0000-0B00-0000F1040000}">
      <text>
        <r>
          <rPr>
            <b/>
            <sz val="10"/>
            <color indexed="81"/>
            <rFont val="Tahoma"/>
            <family val="2"/>
          </rPr>
          <t>Data Entry Cell, Other Lender Fees</t>
        </r>
      </text>
    </comment>
    <comment ref="Q66" authorId="1" shapeId="0" xr:uid="{00000000-0006-0000-0B00-0000F2040000}">
      <text>
        <r>
          <rPr>
            <b/>
            <sz val="10"/>
            <color indexed="81"/>
            <rFont val="Tahoma"/>
            <family val="2"/>
          </rPr>
          <t>Data Entry Cell, Other Lender Fees</t>
        </r>
      </text>
    </comment>
    <comment ref="R66" authorId="1" shapeId="0" xr:uid="{00000000-0006-0000-0B00-0000F3040000}">
      <text>
        <r>
          <rPr>
            <b/>
            <sz val="10"/>
            <color indexed="81"/>
            <rFont val="Tahoma"/>
            <family val="2"/>
          </rPr>
          <t>Data Entry Cell, Other Lender Fees</t>
        </r>
      </text>
    </comment>
    <comment ref="S66" authorId="1" shapeId="0" xr:uid="{00000000-0006-0000-0B00-0000F4040000}">
      <text>
        <r>
          <rPr>
            <b/>
            <sz val="10"/>
            <color indexed="81"/>
            <rFont val="Tahoma"/>
            <family val="2"/>
          </rPr>
          <t>Data Entry Cell, Other Lender Fees</t>
        </r>
      </text>
    </comment>
    <comment ref="T66" authorId="1" shapeId="0" xr:uid="{00000000-0006-0000-0B00-0000F5040000}">
      <text>
        <r>
          <rPr>
            <b/>
            <sz val="10"/>
            <color indexed="81"/>
            <rFont val="Tahoma"/>
            <family val="2"/>
          </rPr>
          <t>Data Entry Cell, Other Lender Fees</t>
        </r>
      </text>
    </comment>
    <comment ref="U66" authorId="1" shapeId="0" xr:uid="{00000000-0006-0000-0B00-0000F6040000}">
      <text>
        <r>
          <rPr>
            <b/>
            <sz val="10"/>
            <color indexed="81"/>
            <rFont val="Tahoma"/>
            <family val="2"/>
          </rPr>
          <t>Data Entry Cell, Other Lender Fees</t>
        </r>
      </text>
    </comment>
    <comment ref="V66" authorId="1" shapeId="0" xr:uid="{00000000-0006-0000-0B00-0000F7040000}">
      <text>
        <r>
          <rPr>
            <b/>
            <sz val="10"/>
            <color indexed="81"/>
            <rFont val="Tahoma"/>
            <family val="2"/>
          </rPr>
          <t>Data Entry Cell, Other Lender Fees</t>
        </r>
      </text>
    </comment>
    <comment ref="W66" authorId="1" shapeId="0" xr:uid="{00000000-0006-0000-0B00-0000F8040000}">
      <text>
        <r>
          <rPr>
            <b/>
            <sz val="10"/>
            <color indexed="81"/>
            <rFont val="Tahoma"/>
            <family val="2"/>
          </rPr>
          <t>Data Entry Cell, Other Lender Fees</t>
        </r>
      </text>
    </comment>
    <comment ref="X66" authorId="1" shapeId="0" xr:uid="{00000000-0006-0000-0B00-0000F9040000}">
      <text>
        <r>
          <rPr>
            <b/>
            <sz val="10"/>
            <color indexed="81"/>
            <rFont val="Tahoma"/>
            <family val="2"/>
          </rPr>
          <t>Data Entry Cell, Other Lender Fees</t>
        </r>
      </text>
    </comment>
    <comment ref="Y66" authorId="1" shapeId="0" xr:uid="{00000000-0006-0000-0B00-0000FA040000}">
      <text>
        <r>
          <rPr>
            <b/>
            <sz val="10"/>
            <color indexed="81"/>
            <rFont val="Tahoma"/>
            <family val="2"/>
          </rPr>
          <t>Data Entry Cell, Other Lender Fees</t>
        </r>
      </text>
    </comment>
    <comment ref="Z66" authorId="1" shapeId="0" xr:uid="{00000000-0006-0000-0B00-0000FB040000}">
      <text>
        <r>
          <rPr>
            <b/>
            <sz val="10"/>
            <color indexed="81"/>
            <rFont val="Tahoma"/>
            <family val="2"/>
          </rPr>
          <t>Data Entry Cell, Other Lender Fees</t>
        </r>
      </text>
    </comment>
    <comment ref="AA66" authorId="1" shapeId="0" xr:uid="{00000000-0006-0000-0B00-0000FC040000}">
      <text>
        <r>
          <rPr>
            <b/>
            <sz val="10"/>
            <color indexed="81"/>
            <rFont val="Tahoma"/>
            <family val="2"/>
          </rPr>
          <t>Data Entry Cell, Other Lender Fees</t>
        </r>
      </text>
    </comment>
    <comment ref="AB66" authorId="1" shapeId="0" xr:uid="{00000000-0006-0000-0B00-0000FD040000}">
      <text>
        <r>
          <rPr>
            <b/>
            <sz val="10"/>
            <color indexed="81"/>
            <rFont val="Tahoma"/>
            <family val="2"/>
          </rPr>
          <t>Data Entry Cell, Other Lender Fees</t>
        </r>
      </text>
    </comment>
    <comment ref="AC66" authorId="1" shapeId="0" xr:uid="{00000000-0006-0000-0B00-0000FE040000}">
      <text>
        <r>
          <rPr>
            <b/>
            <sz val="10"/>
            <color indexed="81"/>
            <rFont val="Tahoma"/>
            <family val="2"/>
          </rPr>
          <t>Data Entry Cell, Other Lender Fees</t>
        </r>
      </text>
    </comment>
    <comment ref="E67" authorId="1" shapeId="0" xr:uid="{00000000-0006-0000-0B00-0000FF040000}">
      <text>
        <r>
          <rPr>
            <b/>
            <sz val="10"/>
            <color indexed="81"/>
            <rFont val="Tahoma"/>
            <family val="2"/>
          </rPr>
          <t>Data Entry Cell, Title and Recording Cost for Permanent Financing</t>
        </r>
      </text>
    </comment>
    <comment ref="F67" authorId="1" shapeId="0" xr:uid="{00000000-0006-0000-0B00-000000050000}">
      <text>
        <r>
          <rPr>
            <b/>
            <sz val="10"/>
            <color indexed="81"/>
            <rFont val="Tahoma"/>
            <family val="2"/>
          </rPr>
          <t>Data Entry Cell, Title and Recording Cost for Permanent Financing</t>
        </r>
      </text>
    </comment>
    <comment ref="G67" authorId="1" shapeId="0" xr:uid="{00000000-0006-0000-0B00-000001050000}">
      <text>
        <r>
          <rPr>
            <b/>
            <sz val="10"/>
            <color indexed="81"/>
            <rFont val="Tahoma"/>
            <family val="2"/>
          </rPr>
          <t>Data Entry Cell, Title and Recording Cost for Permanent Financing</t>
        </r>
      </text>
    </comment>
    <comment ref="H67" authorId="1" shapeId="0" xr:uid="{00000000-0006-0000-0B00-000002050000}">
      <text>
        <r>
          <rPr>
            <b/>
            <sz val="10"/>
            <color indexed="81"/>
            <rFont val="Tahoma"/>
            <family val="2"/>
          </rPr>
          <t>Data Entry Cell, Title and Recording Cost for Permanent Financing</t>
        </r>
      </text>
    </comment>
    <comment ref="I67" authorId="1" shapeId="0" xr:uid="{00000000-0006-0000-0B00-000003050000}">
      <text>
        <r>
          <rPr>
            <b/>
            <sz val="10"/>
            <color indexed="81"/>
            <rFont val="Tahoma"/>
            <family val="2"/>
          </rPr>
          <t>Data Entry Cell, Title and Recording Cost for Permanent Financing</t>
        </r>
      </text>
    </comment>
    <comment ref="J67" authorId="1" shapeId="0" xr:uid="{00000000-0006-0000-0B00-000004050000}">
      <text>
        <r>
          <rPr>
            <b/>
            <sz val="10"/>
            <color indexed="81"/>
            <rFont val="Tahoma"/>
            <family val="2"/>
          </rPr>
          <t>Data Entry Cell, Title and Recording Cost for Permanent Financing</t>
        </r>
      </text>
    </comment>
    <comment ref="K67" authorId="1" shapeId="0" xr:uid="{00000000-0006-0000-0B00-000005050000}">
      <text>
        <r>
          <rPr>
            <b/>
            <sz val="10"/>
            <color indexed="81"/>
            <rFont val="Tahoma"/>
            <family val="2"/>
          </rPr>
          <t>Data Entry Cell, Title and Recording Cost for Permanent Financing</t>
        </r>
      </text>
    </comment>
    <comment ref="L67" authorId="1" shapeId="0" xr:uid="{00000000-0006-0000-0B00-000006050000}">
      <text>
        <r>
          <rPr>
            <b/>
            <sz val="10"/>
            <color indexed="81"/>
            <rFont val="Tahoma"/>
            <family val="2"/>
          </rPr>
          <t>Data Entry Cell, Title and Recording Cost for Permanent Financing</t>
        </r>
      </text>
    </comment>
    <comment ref="M67" authorId="1" shapeId="0" xr:uid="{00000000-0006-0000-0B00-000007050000}">
      <text>
        <r>
          <rPr>
            <b/>
            <sz val="10"/>
            <color indexed="81"/>
            <rFont val="Tahoma"/>
            <family val="2"/>
          </rPr>
          <t>Data Entry Cell, Title and Recording Cost for Permanent Financing</t>
        </r>
      </text>
    </comment>
    <comment ref="N67" authorId="1" shapeId="0" xr:uid="{00000000-0006-0000-0B00-000008050000}">
      <text>
        <r>
          <rPr>
            <b/>
            <sz val="10"/>
            <color indexed="81"/>
            <rFont val="Tahoma"/>
            <family val="2"/>
          </rPr>
          <t>Data Entry Cell, Title and Recording Cost for Permanent Financing</t>
        </r>
      </text>
    </comment>
    <comment ref="O67" authorId="1" shapeId="0" xr:uid="{00000000-0006-0000-0B00-000009050000}">
      <text>
        <r>
          <rPr>
            <b/>
            <sz val="10"/>
            <color indexed="81"/>
            <rFont val="Tahoma"/>
            <family val="2"/>
          </rPr>
          <t>Data Entry Cell, Title and Recording Cost for Permanent Financing</t>
        </r>
      </text>
    </comment>
    <comment ref="P67" authorId="1" shapeId="0" xr:uid="{00000000-0006-0000-0B00-00000A050000}">
      <text>
        <r>
          <rPr>
            <b/>
            <sz val="10"/>
            <color indexed="81"/>
            <rFont val="Tahoma"/>
            <family val="2"/>
          </rPr>
          <t>Data Entry Cell, Title and Recording Cost for Permanent Financing</t>
        </r>
      </text>
    </comment>
    <comment ref="Q67" authorId="1" shapeId="0" xr:uid="{00000000-0006-0000-0B00-00000B050000}">
      <text>
        <r>
          <rPr>
            <b/>
            <sz val="10"/>
            <color indexed="81"/>
            <rFont val="Tahoma"/>
            <family val="2"/>
          </rPr>
          <t>Data Entry Cell, Title and Recording Cost for Permanent Financing</t>
        </r>
      </text>
    </comment>
    <comment ref="R67" authorId="1" shapeId="0" xr:uid="{00000000-0006-0000-0B00-00000C050000}">
      <text>
        <r>
          <rPr>
            <b/>
            <sz val="10"/>
            <color indexed="81"/>
            <rFont val="Tahoma"/>
            <family val="2"/>
          </rPr>
          <t>Data Entry Cell, Title and Recording Cost for Permanent Financing</t>
        </r>
      </text>
    </comment>
    <comment ref="S67" authorId="1" shapeId="0" xr:uid="{00000000-0006-0000-0B00-00000D050000}">
      <text>
        <r>
          <rPr>
            <b/>
            <sz val="10"/>
            <color indexed="81"/>
            <rFont val="Tahoma"/>
            <family val="2"/>
          </rPr>
          <t>Data Entry Cell, Title and Recording Cost for Permanent Financing</t>
        </r>
      </text>
    </comment>
    <comment ref="T67" authorId="1" shapeId="0" xr:uid="{00000000-0006-0000-0B00-00000E050000}">
      <text>
        <r>
          <rPr>
            <b/>
            <sz val="10"/>
            <color indexed="81"/>
            <rFont val="Tahoma"/>
            <family val="2"/>
          </rPr>
          <t>Data Entry Cell, Title and Recording Cost for Permanent Financing</t>
        </r>
      </text>
    </comment>
    <comment ref="U67" authorId="1" shapeId="0" xr:uid="{00000000-0006-0000-0B00-00000F050000}">
      <text>
        <r>
          <rPr>
            <b/>
            <sz val="10"/>
            <color indexed="81"/>
            <rFont val="Tahoma"/>
            <family val="2"/>
          </rPr>
          <t>Data Entry Cell, Title and Recording Cost for Permanent Financing</t>
        </r>
      </text>
    </comment>
    <comment ref="V67" authorId="1" shapeId="0" xr:uid="{00000000-0006-0000-0B00-000010050000}">
      <text>
        <r>
          <rPr>
            <b/>
            <sz val="10"/>
            <color indexed="81"/>
            <rFont val="Tahoma"/>
            <family val="2"/>
          </rPr>
          <t>Data Entry Cell, Title and Recording Cost for Permanent Financing</t>
        </r>
      </text>
    </comment>
    <comment ref="W67" authorId="1" shapeId="0" xr:uid="{00000000-0006-0000-0B00-000011050000}">
      <text>
        <r>
          <rPr>
            <b/>
            <sz val="10"/>
            <color indexed="81"/>
            <rFont val="Tahoma"/>
            <family val="2"/>
          </rPr>
          <t>Data Entry Cell, Title and Recording Cost for Permanent Financing</t>
        </r>
      </text>
    </comment>
    <comment ref="X67" authorId="1" shapeId="0" xr:uid="{00000000-0006-0000-0B00-000012050000}">
      <text>
        <r>
          <rPr>
            <b/>
            <sz val="10"/>
            <color indexed="81"/>
            <rFont val="Tahoma"/>
            <family val="2"/>
          </rPr>
          <t>Data Entry Cell, Title and Recording Cost for Permanent Financing</t>
        </r>
      </text>
    </comment>
    <comment ref="Y67" authorId="1" shapeId="0" xr:uid="{00000000-0006-0000-0B00-000013050000}">
      <text>
        <r>
          <rPr>
            <b/>
            <sz val="10"/>
            <color indexed="81"/>
            <rFont val="Tahoma"/>
            <family val="2"/>
          </rPr>
          <t>Data Entry Cell, Title and Recording Cost for Permanent Financing</t>
        </r>
      </text>
    </comment>
    <comment ref="Z67" authorId="1" shapeId="0" xr:uid="{00000000-0006-0000-0B00-000014050000}">
      <text>
        <r>
          <rPr>
            <b/>
            <sz val="10"/>
            <color indexed="81"/>
            <rFont val="Tahoma"/>
            <family val="2"/>
          </rPr>
          <t>Data Entry Cell, Title and Recording Cost for Permanent Financing</t>
        </r>
      </text>
    </comment>
    <comment ref="AA67" authorId="1" shapeId="0" xr:uid="{00000000-0006-0000-0B00-000015050000}">
      <text>
        <r>
          <rPr>
            <b/>
            <sz val="10"/>
            <color indexed="81"/>
            <rFont val="Tahoma"/>
            <family val="2"/>
          </rPr>
          <t>Data Entry Cell, Title and Recording Cost for Permanent Financing</t>
        </r>
      </text>
    </comment>
    <comment ref="AB67" authorId="1" shapeId="0" xr:uid="{00000000-0006-0000-0B00-000016050000}">
      <text>
        <r>
          <rPr>
            <b/>
            <sz val="10"/>
            <color indexed="81"/>
            <rFont val="Tahoma"/>
            <family val="2"/>
          </rPr>
          <t>Data Entry Cell, Title and Recording Cost for Permanent Financing</t>
        </r>
      </text>
    </comment>
    <comment ref="AC67" authorId="1" shapeId="0" xr:uid="{00000000-0006-0000-0B00-000017050000}">
      <text>
        <r>
          <rPr>
            <b/>
            <sz val="10"/>
            <color indexed="81"/>
            <rFont val="Tahoma"/>
            <family val="2"/>
          </rPr>
          <t>Data Entry Cell, Title and Recording Cost for Permanent Financing</t>
        </r>
      </text>
    </comment>
    <comment ref="E68" authorId="1" shapeId="0" xr:uid="{00000000-0006-0000-0B00-000018050000}">
      <text>
        <r>
          <rPr>
            <b/>
            <sz val="10"/>
            <color indexed="81"/>
            <rFont val="Tahoma"/>
            <family val="2"/>
          </rPr>
          <t>Data Entry Cell, Cost to Establish Tax and Insurance Escrows</t>
        </r>
      </text>
    </comment>
    <comment ref="F68" authorId="1" shapeId="0" xr:uid="{00000000-0006-0000-0B00-000019050000}">
      <text>
        <r>
          <rPr>
            <b/>
            <sz val="10"/>
            <color indexed="81"/>
            <rFont val="Tahoma"/>
            <family val="2"/>
          </rPr>
          <t>Data Entry Cell, Cost to Establish Tax and Insurance Escrows</t>
        </r>
      </text>
    </comment>
    <comment ref="G68" authorId="1" shapeId="0" xr:uid="{00000000-0006-0000-0B00-00001A050000}">
      <text>
        <r>
          <rPr>
            <b/>
            <sz val="10"/>
            <color indexed="81"/>
            <rFont val="Tahoma"/>
            <family val="2"/>
          </rPr>
          <t>Data Entry Cell, Cost to Establish Tax and Insurance Escrows</t>
        </r>
      </text>
    </comment>
    <comment ref="H68" authorId="1" shapeId="0" xr:uid="{00000000-0006-0000-0B00-00001B050000}">
      <text>
        <r>
          <rPr>
            <b/>
            <sz val="10"/>
            <color indexed="81"/>
            <rFont val="Tahoma"/>
            <family val="2"/>
          </rPr>
          <t>Data Entry Cell, Cost to Establish Tax and Insurance Escrows</t>
        </r>
      </text>
    </comment>
    <comment ref="I68" authorId="1" shapeId="0" xr:uid="{00000000-0006-0000-0B00-00001C050000}">
      <text>
        <r>
          <rPr>
            <b/>
            <sz val="10"/>
            <color indexed="81"/>
            <rFont val="Tahoma"/>
            <family val="2"/>
          </rPr>
          <t>Data Entry Cell, Cost to Establish Tax and Insurance Escrows</t>
        </r>
      </text>
    </comment>
    <comment ref="J68" authorId="1" shapeId="0" xr:uid="{00000000-0006-0000-0B00-00001D050000}">
      <text>
        <r>
          <rPr>
            <b/>
            <sz val="10"/>
            <color indexed="81"/>
            <rFont val="Tahoma"/>
            <family val="2"/>
          </rPr>
          <t>Data Entry Cell, Cost to Establish Tax and Insurance Escrows</t>
        </r>
      </text>
    </comment>
    <comment ref="K68" authorId="1" shapeId="0" xr:uid="{00000000-0006-0000-0B00-00001E050000}">
      <text>
        <r>
          <rPr>
            <b/>
            <sz val="10"/>
            <color indexed="81"/>
            <rFont val="Tahoma"/>
            <family val="2"/>
          </rPr>
          <t>Data Entry Cell, Cost to Establish Tax and Insurance Escrows</t>
        </r>
      </text>
    </comment>
    <comment ref="L68" authorId="1" shapeId="0" xr:uid="{00000000-0006-0000-0B00-00001F050000}">
      <text>
        <r>
          <rPr>
            <b/>
            <sz val="10"/>
            <color indexed="81"/>
            <rFont val="Tahoma"/>
            <family val="2"/>
          </rPr>
          <t>Data Entry Cell, Cost to Establish Tax and Insurance Escrows</t>
        </r>
      </text>
    </comment>
    <comment ref="M68" authorId="1" shapeId="0" xr:uid="{00000000-0006-0000-0B00-000020050000}">
      <text>
        <r>
          <rPr>
            <b/>
            <sz val="10"/>
            <color indexed="81"/>
            <rFont val="Tahoma"/>
            <family val="2"/>
          </rPr>
          <t>Data Entry Cell, Cost to Establish Tax and Insurance Escrows</t>
        </r>
      </text>
    </comment>
    <comment ref="N68" authorId="1" shapeId="0" xr:uid="{00000000-0006-0000-0B00-000021050000}">
      <text>
        <r>
          <rPr>
            <b/>
            <sz val="10"/>
            <color indexed="81"/>
            <rFont val="Tahoma"/>
            <family val="2"/>
          </rPr>
          <t>Data Entry Cell, Cost to Establish Tax and Insurance Escrows</t>
        </r>
      </text>
    </comment>
    <comment ref="O68" authorId="1" shapeId="0" xr:uid="{00000000-0006-0000-0B00-000022050000}">
      <text>
        <r>
          <rPr>
            <b/>
            <sz val="10"/>
            <color indexed="81"/>
            <rFont val="Tahoma"/>
            <family val="2"/>
          </rPr>
          <t>Data Entry Cell, Cost to Establish Tax and Insurance Escrows</t>
        </r>
      </text>
    </comment>
    <comment ref="P68" authorId="1" shapeId="0" xr:uid="{00000000-0006-0000-0B00-000023050000}">
      <text>
        <r>
          <rPr>
            <b/>
            <sz val="10"/>
            <color indexed="81"/>
            <rFont val="Tahoma"/>
            <family val="2"/>
          </rPr>
          <t>Data Entry Cell, Cost to Establish Tax and Insurance Escrows</t>
        </r>
      </text>
    </comment>
    <comment ref="Q68" authorId="1" shapeId="0" xr:uid="{00000000-0006-0000-0B00-000024050000}">
      <text>
        <r>
          <rPr>
            <b/>
            <sz val="10"/>
            <color indexed="81"/>
            <rFont val="Tahoma"/>
            <family val="2"/>
          </rPr>
          <t>Data Entry Cell, Cost to Establish Tax and Insurance Escrows</t>
        </r>
      </text>
    </comment>
    <comment ref="R68" authorId="1" shapeId="0" xr:uid="{00000000-0006-0000-0B00-000025050000}">
      <text>
        <r>
          <rPr>
            <b/>
            <sz val="10"/>
            <color indexed="81"/>
            <rFont val="Tahoma"/>
            <family val="2"/>
          </rPr>
          <t>Data Entry Cell, Cost to Establish Tax and Insurance Escrows</t>
        </r>
      </text>
    </comment>
    <comment ref="S68" authorId="1" shapeId="0" xr:uid="{00000000-0006-0000-0B00-000026050000}">
      <text>
        <r>
          <rPr>
            <b/>
            <sz val="10"/>
            <color indexed="81"/>
            <rFont val="Tahoma"/>
            <family val="2"/>
          </rPr>
          <t>Data Entry Cell, Cost to Establish Tax and Insurance Escrows</t>
        </r>
      </text>
    </comment>
    <comment ref="T68" authorId="1" shapeId="0" xr:uid="{00000000-0006-0000-0B00-000027050000}">
      <text>
        <r>
          <rPr>
            <b/>
            <sz val="10"/>
            <color indexed="81"/>
            <rFont val="Tahoma"/>
            <family val="2"/>
          </rPr>
          <t>Data Entry Cell, Cost to Establish Tax and Insurance Escrows</t>
        </r>
      </text>
    </comment>
    <comment ref="U68" authorId="1" shapeId="0" xr:uid="{00000000-0006-0000-0B00-000028050000}">
      <text>
        <r>
          <rPr>
            <b/>
            <sz val="10"/>
            <color indexed="81"/>
            <rFont val="Tahoma"/>
            <family val="2"/>
          </rPr>
          <t>Data Entry Cell, Cost to Establish Tax and Insurance Escrows</t>
        </r>
      </text>
    </comment>
    <comment ref="V68" authorId="1" shapeId="0" xr:uid="{00000000-0006-0000-0B00-000029050000}">
      <text>
        <r>
          <rPr>
            <b/>
            <sz val="10"/>
            <color indexed="81"/>
            <rFont val="Tahoma"/>
            <family val="2"/>
          </rPr>
          <t>Data Entry Cell, Cost to Establish Tax and Insurance Escrows</t>
        </r>
      </text>
    </comment>
    <comment ref="W68" authorId="1" shapeId="0" xr:uid="{00000000-0006-0000-0B00-00002A050000}">
      <text>
        <r>
          <rPr>
            <b/>
            <sz val="10"/>
            <color indexed="81"/>
            <rFont val="Tahoma"/>
            <family val="2"/>
          </rPr>
          <t>Data Entry Cell, Cost to Establish Tax and Insurance Escrows</t>
        </r>
      </text>
    </comment>
    <comment ref="X68" authorId="1" shapeId="0" xr:uid="{00000000-0006-0000-0B00-00002B050000}">
      <text>
        <r>
          <rPr>
            <b/>
            <sz val="10"/>
            <color indexed="81"/>
            <rFont val="Tahoma"/>
            <family val="2"/>
          </rPr>
          <t>Data Entry Cell, Cost to Establish Tax and Insurance Escrows</t>
        </r>
      </text>
    </comment>
    <comment ref="Y68" authorId="1" shapeId="0" xr:uid="{00000000-0006-0000-0B00-00002C050000}">
      <text>
        <r>
          <rPr>
            <b/>
            <sz val="10"/>
            <color indexed="81"/>
            <rFont val="Tahoma"/>
            <family val="2"/>
          </rPr>
          <t>Data Entry Cell, Cost to Establish Tax and Insurance Escrows</t>
        </r>
      </text>
    </comment>
    <comment ref="Z68" authorId="1" shapeId="0" xr:uid="{00000000-0006-0000-0B00-00002D050000}">
      <text>
        <r>
          <rPr>
            <b/>
            <sz val="10"/>
            <color indexed="81"/>
            <rFont val="Tahoma"/>
            <family val="2"/>
          </rPr>
          <t>Data Entry Cell, Cost to Establish Tax and Insurance Escrows</t>
        </r>
      </text>
    </comment>
    <comment ref="AA68" authorId="1" shapeId="0" xr:uid="{00000000-0006-0000-0B00-00002E050000}">
      <text>
        <r>
          <rPr>
            <b/>
            <sz val="10"/>
            <color indexed="81"/>
            <rFont val="Tahoma"/>
            <family val="2"/>
          </rPr>
          <t>Data Entry Cell, Cost to Establish Tax and Insurance Escrows</t>
        </r>
      </text>
    </comment>
    <comment ref="AB68" authorId="1" shapeId="0" xr:uid="{00000000-0006-0000-0B00-00002F050000}">
      <text>
        <r>
          <rPr>
            <b/>
            <sz val="10"/>
            <color indexed="81"/>
            <rFont val="Tahoma"/>
            <family val="2"/>
          </rPr>
          <t>Data Entry Cell, Cost to Establish Tax and Insurance Escrows</t>
        </r>
      </text>
    </comment>
    <comment ref="AC68" authorId="1" shapeId="0" xr:uid="{00000000-0006-0000-0B00-000030050000}">
      <text>
        <r>
          <rPr>
            <b/>
            <sz val="10"/>
            <color indexed="81"/>
            <rFont val="Tahoma"/>
            <family val="2"/>
          </rPr>
          <t>Data Entry Cell, Cost to Establish Tax and Insurance Escrows</t>
        </r>
      </text>
    </comment>
    <comment ref="E69" authorId="1" shapeId="0" xr:uid="{00000000-0006-0000-0B00-000031050000}">
      <text>
        <r>
          <rPr>
            <b/>
            <sz val="10"/>
            <color indexed="81"/>
            <rFont val="Tahoma"/>
            <family val="2"/>
          </rPr>
          <t>Data Entry Cell, Other Permanent Financing Fees and Expenses</t>
        </r>
      </text>
    </comment>
    <comment ref="F69" authorId="1" shapeId="0" xr:uid="{00000000-0006-0000-0B00-000032050000}">
      <text>
        <r>
          <rPr>
            <b/>
            <sz val="10"/>
            <color indexed="81"/>
            <rFont val="Tahoma"/>
            <family val="2"/>
          </rPr>
          <t>Data Entry Cell, Other Permanent Financing Fees and Expenses</t>
        </r>
      </text>
    </comment>
    <comment ref="G69" authorId="1" shapeId="0" xr:uid="{00000000-0006-0000-0B00-000033050000}">
      <text>
        <r>
          <rPr>
            <b/>
            <sz val="10"/>
            <color indexed="81"/>
            <rFont val="Tahoma"/>
            <family val="2"/>
          </rPr>
          <t>Data Entry Cell, Other Permanent Financing Fees and Expenses</t>
        </r>
      </text>
    </comment>
    <comment ref="H69" authorId="1" shapeId="0" xr:uid="{00000000-0006-0000-0B00-000034050000}">
      <text>
        <r>
          <rPr>
            <b/>
            <sz val="10"/>
            <color indexed="81"/>
            <rFont val="Tahoma"/>
            <family val="2"/>
          </rPr>
          <t>Data Entry Cell, Other Permanent Financing Fees and Expenses</t>
        </r>
      </text>
    </comment>
    <comment ref="I69" authorId="1" shapeId="0" xr:uid="{00000000-0006-0000-0B00-000035050000}">
      <text>
        <r>
          <rPr>
            <b/>
            <sz val="10"/>
            <color indexed="81"/>
            <rFont val="Tahoma"/>
            <family val="2"/>
          </rPr>
          <t>Data Entry Cell, Other Permanent Financing Fees and Expenses</t>
        </r>
      </text>
    </comment>
    <comment ref="J69" authorId="1" shapeId="0" xr:uid="{00000000-0006-0000-0B00-000036050000}">
      <text>
        <r>
          <rPr>
            <b/>
            <sz val="10"/>
            <color indexed="81"/>
            <rFont val="Tahoma"/>
            <family val="2"/>
          </rPr>
          <t>Data Entry Cell, Other Permanent Financing Fees and Expenses</t>
        </r>
      </text>
    </comment>
    <comment ref="K69" authorId="1" shapeId="0" xr:uid="{00000000-0006-0000-0B00-000037050000}">
      <text>
        <r>
          <rPr>
            <b/>
            <sz val="10"/>
            <color indexed="81"/>
            <rFont val="Tahoma"/>
            <family val="2"/>
          </rPr>
          <t>Data Entry Cell, Other Permanent Financing Fees and Expenses</t>
        </r>
      </text>
    </comment>
    <comment ref="L69" authorId="1" shapeId="0" xr:uid="{00000000-0006-0000-0B00-000038050000}">
      <text>
        <r>
          <rPr>
            <b/>
            <sz val="10"/>
            <color indexed="81"/>
            <rFont val="Tahoma"/>
            <family val="2"/>
          </rPr>
          <t>Data Entry Cell, Other Permanent Financing Fees and Expenses</t>
        </r>
      </text>
    </comment>
    <comment ref="M69" authorId="1" shapeId="0" xr:uid="{00000000-0006-0000-0B00-000039050000}">
      <text>
        <r>
          <rPr>
            <b/>
            <sz val="10"/>
            <color indexed="81"/>
            <rFont val="Tahoma"/>
            <family val="2"/>
          </rPr>
          <t>Data Entry Cell, Other Permanent Financing Fees and Expenses</t>
        </r>
      </text>
    </comment>
    <comment ref="N69" authorId="1" shapeId="0" xr:uid="{00000000-0006-0000-0B00-00003A050000}">
      <text>
        <r>
          <rPr>
            <b/>
            <sz val="10"/>
            <color indexed="81"/>
            <rFont val="Tahoma"/>
            <family val="2"/>
          </rPr>
          <t>Data Entry Cell, Other Permanent Financing Fees and Expenses</t>
        </r>
      </text>
    </comment>
    <comment ref="O69" authorId="1" shapeId="0" xr:uid="{00000000-0006-0000-0B00-00003B050000}">
      <text>
        <r>
          <rPr>
            <b/>
            <sz val="10"/>
            <color indexed="81"/>
            <rFont val="Tahoma"/>
            <family val="2"/>
          </rPr>
          <t>Data Entry Cell, Other Permanent Financing Fees and Expenses</t>
        </r>
      </text>
    </comment>
    <comment ref="P69" authorId="1" shapeId="0" xr:uid="{00000000-0006-0000-0B00-00003C050000}">
      <text>
        <r>
          <rPr>
            <b/>
            <sz val="10"/>
            <color indexed="81"/>
            <rFont val="Tahoma"/>
            <family val="2"/>
          </rPr>
          <t>Data Entry Cell, Other Permanent Financing Fees and Expenses</t>
        </r>
      </text>
    </comment>
    <comment ref="Q69" authorId="1" shapeId="0" xr:uid="{00000000-0006-0000-0B00-00003D050000}">
      <text>
        <r>
          <rPr>
            <b/>
            <sz val="10"/>
            <color indexed="81"/>
            <rFont val="Tahoma"/>
            <family val="2"/>
          </rPr>
          <t>Data Entry Cell, Other Permanent Financing Fees and Expenses</t>
        </r>
      </text>
    </comment>
    <comment ref="R69" authorId="1" shapeId="0" xr:uid="{00000000-0006-0000-0B00-00003E050000}">
      <text>
        <r>
          <rPr>
            <b/>
            <sz val="10"/>
            <color indexed="81"/>
            <rFont val="Tahoma"/>
            <family val="2"/>
          </rPr>
          <t>Data Entry Cell, Other Permanent Financing Fees and Expenses</t>
        </r>
      </text>
    </comment>
    <comment ref="S69" authorId="1" shapeId="0" xr:uid="{00000000-0006-0000-0B00-00003F050000}">
      <text>
        <r>
          <rPr>
            <b/>
            <sz val="10"/>
            <color indexed="81"/>
            <rFont val="Tahoma"/>
            <family val="2"/>
          </rPr>
          <t>Data Entry Cell, Other Permanent Financing Fees and Expenses</t>
        </r>
      </text>
    </comment>
    <comment ref="T69" authorId="1" shapeId="0" xr:uid="{00000000-0006-0000-0B00-000040050000}">
      <text>
        <r>
          <rPr>
            <b/>
            <sz val="10"/>
            <color indexed="81"/>
            <rFont val="Tahoma"/>
            <family val="2"/>
          </rPr>
          <t>Data Entry Cell, Other Permanent Financing Fees and Expenses</t>
        </r>
      </text>
    </comment>
    <comment ref="U69" authorId="1" shapeId="0" xr:uid="{00000000-0006-0000-0B00-000041050000}">
      <text>
        <r>
          <rPr>
            <b/>
            <sz val="10"/>
            <color indexed="81"/>
            <rFont val="Tahoma"/>
            <family val="2"/>
          </rPr>
          <t>Data Entry Cell, Other Permanent Financing Fees and Expenses</t>
        </r>
      </text>
    </comment>
    <comment ref="V69" authorId="1" shapeId="0" xr:uid="{00000000-0006-0000-0B00-000042050000}">
      <text>
        <r>
          <rPr>
            <b/>
            <sz val="10"/>
            <color indexed="81"/>
            <rFont val="Tahoma"/>
            <family val="2"/>
          </rPr>
          <t>Data Entry Cell, Other Permanent Financing Fees and Expenses</t>
        </r>
      </text>
    </comment>
    <comment ref="W69" authorId="1" shapeId="0" xr:uid="{00000000-0006-0000-0B00-000043050000}">
      <text>
        <r>
          <rPr>
            <b/>
            <sz val="10"/>
            <color indexed="81"/>
            <rFont val="Tahoma"/>
            <family val="2"/>
          </rPr>
          <t>Data Entry Cell, Other Permanent Financing Fees and Expenses</t>
        </r>
      </text>
    </comment>
    <comment ref="X69" authorId="1" shapeId="0" xr:uid="{00000000-0006-0000-0B00-000044050000}">
      <text>
        <r>
          <rPr>
            <b/>
            <sz val="10"/>
            <color indexed="81"/>
            <rFont val="Tahoma"/>
            <family val="2"/>
          </rPr>
          <t>Data Entry Cell, Other Permanent Financing Fees and Expenses</t>
        </r>
      </text>
    </comment>
    <comment ref="Y69" authorId="1" shapeId="0" xr:uid="{00000000-0006-0000-0B00-000045050000}">
      <text>
        <r>
          <rPr>
            <b/>
            <sz val="10"/>
            <color indexed="81"/>
            <rFont val="Tahoma"/>
            <family val="2"/>
          </rPr>
          <t>Data Entry Cell, Other Permanent Financing Fees and Expenses</t>
        </r>
      </text>
    </comment>
    <comment ref="Z69" authorId="1" shapeId="0" xr:uid="{00000000-0006-0000-0B00-000046050000}">
      <text>
        <r>
          <rPr>
            <b/>
            <sz val="10"/>
            <color indexed="81"/>
            <rFont val="Tahoma"/>
            <family val="2"/>
          </rPr>
          <t>Data Entry Cell, Other Permanent Financing Fees and Expenses</t>
        </r>
      </text>
    </comment>
    <comment ref="AA69" authorId="1" shapeId="0" xr:uid="{00000000-0006-0000-0B00-000047050000}">
      <text>
        <r>
          <rPr>
            <b/>
            <sz val="10"/>
            <color indexed="81"/>
            <rFont val="Tahoma"/>
            <family val="2"/>
          </rPr>
          <t>Data Entry Cell, Other Permanent Financing Fees and Expenses</t>
        </r>
      </text>
    </comment>
    <comment ref="AB69" authorId="1" shapeId="0" xr:uid="{00000000-0006-0000-0B00-000048050000}">
      <text>
        <r>
          <rPr>
            <b/>
            <sz val="10"/>
            <color indexed="81"/>
            <rFont val="Tahoma"/>
            <family val="2"/>
          </rPr>
          <t>Data Entry Cell, Other Permanent Financing Fees and Expenses</t>
        </r>
      </text>
    </comment>
    <comment ref="AC69" authorId="1" shapeId="0" xr:uid="{00000000-0006-0000-0B00-000049050000}">
      <text>
        <r>
          <rPr>
            <b/>
            <sz val="10"/>
            <color indexed="81"/>
            <rFont val="Tahoma"/>
            <family val="2"/>
          </rPr>
          <t>Data Entry Cell, Other Permanent Financing Fees and Expenses</t>
        </r>
      </text>
    </comment>
    <comment ref="E70" authorId="1" shapeId="0" xr:uid="{00000000-0006-0000-0B00-00004A050000}">
      <text>
        <r>
          <rPr>
            <b/>
            <sz val="10"/>
            <color indexed="81"/>
            <rFont val="Tahoma"/>
            <family val="2"/>
          </rPr>
          <t>Data Entry Cell, Other Permanent Financing Fees and Expenses</t>
        </r>
      </text>
    </comment>
    <comment ref="F70" authorId="1" shapeId="0" xr:uid="{00000000-0006-0000-0B00-00004B050000}">
      <text>
        <r>
          <rPr>
            <b/>
            <sz val="10"/>
            <color indexed="81"/>
            <rFont val="Tahoma"/>
            <family val="2"/>
          </rPr>
          <t>Data Entry Cell, Other Permanent Financing Fees and Expenses</t>
        </r>
      </text>
    </comment>
    <comment ref="G70" authorId="1" shapeId="0" xr:uid="{00000000-0006-0000-0B00-00004C050000}">
      <text>
        <r>
          <rPr>
            <b/>
            <sz val="10"/>
            <color indexed="81"/>
            <rFont val="Tahoma"/>
            <family val="2"/>
          </rPr>
          <t>Data Entry Cell, Other Permanent Financing Fees and Expenses</t>
        </r>
      </text>
    </comment>
    <comment ref="H70" authorId="1" shapeId="0" xr:uid="{00000000-0006-0000-0B00-00004D050000}">
      <text>
        <r>
          <rPr>
            <b/>
            <sz val="10"/>
            <color indexed="81"/>
            <rFont val="Tahoma"/>
            <family val="2"/>
          </rPr>
          <t>Data Entry Cell, Other Permanent Financing Fees and Expenses</t>
        </r>
      </text>
    </comment>
    <comment ref="I70" authorId="1" shapeId="0" xr:uid="{00000000-0006-0000-0B00-00004E050000}">
      <text>
        <r>
          <rPr>
            <b/>
            <sz val="10"/>
            <color indexed="81"/>
            <rFont val="Tahoma"/>
            <family val="2"/>
          </rPr>
          <t>Data Entry Cell, Other Permanent Financing Fees and Expenses</t>
        </r>
      </text>
    </comment>
    <comment ref="J70" authorId="1" shapeId="0" xr:uid="{00000000-0006-0000-0B00-00004F050000}">
      <text>
        <r>
          <rPr>
            <b/>
            <sz val="10"/>
            <color indexed="81"/>
            <rFont val="Tahoma"/>
            <family val="2"/>
          </rPr>
          <t>Data Entry Cell, Other Permanent Financing Fees and Expenses</t>
        </r>
      </text>
    </comment>
    <comment ref="K70" authorId="1" shapeId="0" xr:uid="{00000000-0006-0000-0B00-000050050000}">
      <text>
        <r>
          <rPr>
            <b/>
            <sz val="10"/>
            <color indexed="81"/>
            <rFont val="Tahoma"/>
            <family val="2"/>
          </rPr>
          <t>Data Entry Cell, Other Permanent Financing Fees and Expenses</t>
        </r>
      </text>
    </comment>
    <comment ref="L70" authorId="1" shapeId="0" xr:uid="{00000000-0006-0000-0B00-000051050000}">
      <text>
        <r>
          <rPr>
            <b/>
            <sz val="10"/>
            <color indexed="81"/>
            <rFont val="Tahoma"/>
            <family val="2"/>
          </rPr>
          <t>Data Entry Cell, Other Permanent Financing Fees and Expenses</t>
        </r>
      </text>
    </comment>
    <comment ref="M70" authorId="1" shapeId="0" xr:uid="{00000000-0006-0000-0B00-000052050000}">
      <text>
        <r>
          <rPr>
            <b/>
            <sz val="10"/>
            <color indexed="81"/>
            <rFont val="Tahoma"/>
            <family val="2"/>
          </rPr>
          <t>Data Entry Cell, Other Permanent Financing Fees and Expenses</t>
        </r>
      </text>
    </comment>
    <comment ref="N70" authorId="1" shapeId="0" xr:uid="{00000000-0006-0000-0B00-000053050000}">
      <text>
        <r>
          <rPr>
            <b/>
            <sz val="10"/>
            <color indexed="81"/>
            <rFont val="Tahoma"/>
            <family val="2"/>
          </rPr>
          <t>Data Entry Cell, Other Permanent Financing Fees and Expenses</t>
        </r>
      </text>
    </comment>
    <comment ref="O70" authorId="1" shapeId="0" xr:uid="{00000000-0006-0000-0B00-000054050000}">
      <text>
        <r>
          <rPr>
            <b/>
            <sz val="10"/>
            <color indexed="81"/>
            <rFont val="Tahoma"/>
            <family val="2"/>
          </rPr>
          <t>Data Entry Cell, Other Permanent Financing Fees and Expenses</t>
        </r>
      </text>
    </comment>
    <comment ref="P70" authorId="1" shapeId="0" xr:uid="{00000000-0006-0000-0B00-000055050000}">
      <text>
        <r>
          <rPr>
            <b/>
            <sz val="10"/>
            <color indexed="81"/>
            <rFont val="Tahoma"/>
            <family val="2"/>
          </rPr>
          <t>Data Entry Cell, Other Permanent Financing Fees and Expenses</t>
        </r>
      </text>
    </comment>
    <comment ref="Q70" authorId="1" shapeId="0" xr:uid="{00000000-0006-0000-0B00-000056050000}">
      <text>
        <r>
          <rPr>
            <b/>
            <sz val="10"/>
            <color indexed="81"/>
            <rFont val="Tahoma"/>
            <family val="2"/>
          </rPr>
          <t>Data Entry Cell, Other Permanent Financing Fees and Expenses</t>
        </r>
      </text>
    </comment>
    <comment ref="R70" authorId="1" shapeId="0" xr:uid="{00000000-0006-0000-0B00-000057050000}">
      <text>
        <r>
          <rPr>
            <b/>
            <sz val="10"/>
            <color indexed="81"/>
            <rFont val="Tahoma"/>
            <family val="2"/>
          </rPr>
          <t>Data Entry Cell, Other Permanent Financing Fees and Expenses</t>
        </r>
      </text>
    </comment>
    <comment ref="S70" authorId="1" shapeId="0" xr:uid="{00000000-0006-0000-0B00-000058050000}">
      <text>
        <r>
          <rPr>
            <b/>
            <sz val="10"/>
            <color indexed="81"/>
            <rFont val="Tahoma"/>
            <family val="2"/>
          </rPr>
          <t>Data Entry Cell, Other Permanent Financing Fees and Expenses</t>
        </r>
      </text>
    </comment>
    <comment ref="T70" authorId="1" shapeId="0" xr:uid="{00000000-0006-0000-0B00-000059050000}">
      <text>
        <r>
          <rPr>
            <b/>
            <sz val="10"/>
            <color indexed="81"/>
            <rFont val="Tahoma"/>
            <family val="2"/>
          </rPr>
          <t>Data Entry Cell, Other Permanent Financing Fees and Expenses</t>
        </r>
      </text>
    </comment>
    <comment ref="U70" authorId="1" shapeId="0" xr:uid="{00000000-0006-0000-0B00-00005A050000}">
      <text>
        <r>
          <rPr>
            <b/>
            <sz val="10"/>
            <color indexed="81"/>
            <rFont val="Tahoma"/>
            <family val="2"/>
          </rPr>
          <t>Data Entry Cell, Other Permanent Financing Fees and Expenses</t>
        </r>
      </text>
    </comment>
    <comment ref="V70" authorId="1" shapeId="0" xr:uid="{00000000-0006-0000-0B00-00005B050000}">
      <text>
        <r>
          <rPr>
            <b/>
            <sz val="10"/>
            <color indexed="81"/>
            <rFont val="Tahoma"/>
            <family val="2"/>
          </rPr>
          <t>Data Entry Cell, Other Permanent Financing Fees and Expenses</t>
        </r>
      </text>
    </comment>
    <comment ref="W70" authorId="1" shapeId="0" xr:uid="{00000000-0006-0000-0B00-00005C050000}">
      <text>
        <r>
          <rPr>
            <b/>
            <sz val="10"/>
            <color indexed="81"/>
            <rFont val="Tahoma"/>
            <family val="2"/>
          </rPr>
          <t>Data Entry Cell, Other Permanent Financing Fees and Expenses</t>
        </r>
      </text>
    </comment>
    <comment ref="X70" authorId="1" shapeId="0" xr:uid="{00000000-0006-0000-0B00-00005D050000}">
      <text>
        <r>
          <rPr>
            <b/>
            <sz val="10"/>
            <color indexed="81"/>
            <rFont val="Tahoma"/>
            <family val="2"/>
          </rPr>
          <t>Data Entry Cell, Other Permanent Financing Fees and Expenses</t>
        </r>
      </text>
    </comment>
    <comment ref="Y70" authorId="1" shapeId="0" xr:uid="{00000000-0006-0000-0B00-00005E050000}">
      <text>
        <r>
          <rPr>
            <b/>
            <sz val="10"/>
            <color indexed="81"/>
            <rFont val="Tahoma"/>
            <family val="2"/>
          </rPr>
          <t>Data Entry Cell, Other Permanent Financing Fees and Expenses</t>
        </r>
      </text>
    </comment>
    <comment ref="Z70" authorId="1" shapeId="0" xr:uid="{00000000-0006-0000-0B00-00005F050000}">
      <text>
        <r>
          <rPr>
            <b/>
            <sz val="10"/>
            <color indexed="81"/>
            <rFont val="Tahoma"/>
            <family val="2"/>
          </rPr>
          <t>Data Entry Cell, Other Permanent Financing Fees and Expenses</t>
        </r>
      </text>
    </comment>
    <comment ref="AA70" authorId="1" shapeId="0" xr:uid="{00000000-0006-0000-0B00-000060050000}">
      <text>
        <r>
          <rPr>
            <b/>
            <sz val="10"/>
            <color indexed="81"/>
            <rFont val="Tahoma"/>
            <family val="2"/>
          </rPr>
          <t>Data Entry Cell, Other Permanent Financing Fees and Expenses</t>
        </r>
      </text>
    </comment>
    <comment ref="AB70" authorId="1" shapeId="0" xr:uid="{00000000-0006-0000-0B00-000061050000}">
      <text>
        <r>
          <rPr>
            <b/>
            <sz val="10"/>
            <color indexed="81"/>
            <rFont val="Tahoma"/>
            <family val="2"/>
          </rPr>
          <t>Data Entry Cell, Other Permanent Financing Fees and Expenses</t>
        </r>
      </text>
    </comment>
    <comment ref="AC70" authorId="1" shapeId="0" xr:uid="{00000000-0006-0000-0B00-000062050000}">
      <text>
        <r>
          <rPr>
            <b/>
            <sz val="10"/>
            <color indexed="81"/>
            <rFont val="Tahoma"/>
            <family val="2"/>
          </rPr>
          <t>Data Entry Cell, Other Permanent Financing Fees and Expenses</t>
        </r>
      </text>
    </comment>
    <comment ref="A71" authorId="0" shapeId="0" xr:uid="{00000000-0006-0000-0B00-000063050000}">
      <text>
        <r>
          <rPr>
            <b/>
            <sz val="8"/>
            <color indexed="81"/>
            <rFont val="Tahoma"/>
            <family val="2"/>
          </rPr>
          <t xml:space="preserve">The timing of developer fee payment varies widely from project to project.  Be sure that this line reflects the developer fee payment schedule that is expected for this particular project.
The Template formulas are designed assuming that any developer fee that is not paid </t>
        </r>
        <r>
          <rPr>
            <b/>
            <u/>
            <sz val="8"/>
            <color indexed="81"/>
            <rFont val="Tahoma"/>
            <family val="2"/>
          </rPr>
          <t>during</t>
        </r>
        <r>
          <rPr>
            <b/>
            <sz val="8"/>
            <color indexed="81"/>
            <rFont val="Tahoma"/>
            <family val="2"/>
          </rPr>
          <t xml:space="preserve"> the construction period will be paid when the construction loan is repaid.  If your project needs a different result, simply input the appropriate series of payments.</t>
        </r>
      </text>
    </comment>
    <comment ref="E71" authorId="1" shapeId="0" xr:uid="{00000000-0006-0000-0B00-000064050000}">
      <text>
        <r>
          <rPr>
            <b/>
            <sz val="10"/>
            <color indexed="81"/>
            <rFont val="Tahoma"/>
            <family val="2"/>
          </rPr>
          <t>Data Entry Cell, Developer's Fee</t>
        </r>
      </text>
    </comment>
    <comment ref="F71" authorId="1" shapeId="0" xr:uid="{00000000-0006-0000-0B00-000065050000}">
      <text>
        <r>
          <rPr>
            <b/>
            <sz val="10"/>
            <color indexed="81"/>
            <rFont val="Tahoma"/>
            <family val="2"/>
          </rPr>
          <t>Data Entry Cell, Developer's Fee</t>
        </r>
      </text>
    </comment>
    <comment ref="G71" authorId="1" shapeId="0" xr:uid="{00000000-0006-0000-0B00-000066050000}">
      <text>
        <r>
          <rPr>
            <b/>
            <sz val="10"/>
            <color indexed="81"/>
            <rFont val="Tahoma"/>
            <family val="2"/>
          </rPr>
          <t>Data Entry Cell, Developer's Fee</t>
        </r>
      </text>
    </comment>
    <comment ref="H71" authorId="1" shapeId="0" xr:uid="{00000000-0006-0000-0B00-000067050000}">
      <text>
        <r>
          <rPr>
            <b/>
            <sz val="10"/>
            <color indexed="81"/>
            <rFont val="Tahoma"/>
            <family val="2"/>
          </rPr>
          <t>Data Entry Cell, Developer's Fee</t>
        </r>
      </text>
    </comment>
    <comment ref="I71" authorId="1" shapeId="0" xr:uid="{00000000-0006-0000-0B00-000068050000}">
      <text>
        <r>
          <rPr>
            <b/>
            <sz val="10"/>
            <color indexed="81"/>
            <rFont val="Tahoma"/>
            <family val="2"/>
          </rPr>
          <t>Data Entry Cell, Developer's Fee</t>
        </r>
      </text>
    </comment>
    <comment ref="J71" authorId="1" shapeId="0" xr:uid="{00000000-0006-0000-0B00-000069050000}">
      <text>
        <r>
          <rPr>
            <b/>
            <sz val="10"/>
            <color indexed="81"/>
            <rFont val="Tahoma"/>
            <family val="2"/>
          </rPr>
          <t>Data Entry Cell, Developer's Fee</t>
        </r>
      </text>
    </comment>
    <comment ref="K71" authorId="1" shapeId="0" xr:uid="{00000000-0006-0000-0B00-00006A050000}">
      <text>
        <r>
          <rPr>
            <b/>
            <sz val="10"/>
            <color indexed="81"/>
            <rFont val="Tahoma"/>
            <family val="2"/>
          </rPr>
          <t>Data Entry Cell, Developer's Fee</t>
        </r>
      </text>
    </comment>
    <comment ref="L71" authorId="1" shapeId="0" xr:uid="{00000000-0006-0000-0B00-00006B050000}">
      <text>
        <r>
          <rPr>
            <b/>
            <sz val="10"/>
            <color indexed="81"/>
            <rFont val="Tahoma"/>
            <family val="2"/>
          </rPr>
          <t>Data Entry Cell, Developer's Fee</t>
        </r>
      </text>
    </comment>
    <comment ref="M71" authorId="1" shapeId="0" xr:uid="{00000000-0006-0000-0B00-00006C050000}">
      <text>
        <r>
          <rPr>
            <b/>
            <sz val="10"/>
            <color indexed="81"/>
            <rFont val="Tahoma"/>
            <family val="2"/>
          </rPr>
          <t>Data Entry Cell, Developer's Fee</t>
        </r>
      </text>
    </comment>
    <comment ref="N71" authorId="1" shapeId="0" xr:uid="{00000000-0006-0000-0B00-00006D050000}">
      <text>
        <r>
          <rPr>
            <b/>
            <sz val="10"/>
            <color indexed="81"/>
            <rFont val="Tahoma"/>
            <family val="2"/>
          </rPr>
          <t>Data Entry Cell, Developer's Fee</t>
        </r>
      </text>
    </comment>
    <comment ref="O71" authorId="1" shapeId="0" xr:uid="{00000000-0006-0000-0B00-00006E050000}">
      <text>
        <r>
          <rPr>
            <b/>
            <sz val="10"/>
            <color indexed="81"/>
            <rFont val="Tahoma"/>
            <family val="2"/>
          </rPr>
          <t>Data Entry Cell, Developer's Fee</t>
        </r>
      </text>
    </comment>
    <comment ref="P71" authorId="1" shapeId="0" xr:uid="{00000000-0006-0000-0B00-00006F050000}">
      <text>
        <r>
          <rPr>
            <b/>
            <sz val="10"/>
            <color indexed="81"/>
            <rFont val="Tahoma"/>
            <family val="2"/>
          </rPr>
          <t>Data Entry Cell, Developer's Fee</t>
        </r>
      </text>
    </comment>
    <comment ref="Q71" authorId="1" shapeId="0" xr:uid="{00000000-0006-0000-0B00-000070050000}">
      <text>
        <r>
          <rPr>
            <b/>
            <sz val="10"/>
            <color indexed="81"/>
            <rFont val="Tahoma"/>
            <family val="2"/>
          </rPr>
          <t>Data Entry Cell, Developer's Fee</t>
        </r>
      </text>
    </comment>
    <comment ref="R71" authorId="1" shapeId="0" xr:uid="{00000000-0006-0000-0B00-000071050000}">
      <text>
        <r>
          <rPr>
            <b/>
            <sz val="10"/>
            <color indexed="81"/>
            <rFont val="Tahoma"/>
            <family val="2"/>
          </rPr>
          <t>Data Entry Cell, Developer's Fee</t>
        </r>
      </text>
    </comment>
    <comment ref="S71" authorId="1" shapeId="0" xr:uid="{00000000-0006-0000-0B00-000072050000}">
      <text>
        <r>
          <rPr>
            <b/>
            <sz val="10"/>
            <color indexed="81"/>
            <rFont val="Tahoma"/>
            <family val="2"/>
          </rPr>
          <t>Data Entry Cell, Developer's Fee</t>
        </r>
      </text>
    </comment>
    <comment ref="T71" authorId="1" shapeId="0" xr:uid="{00000000-0006-0000-0B00-000073050000}">
      <text>
        <r>
          <rPr>
            <b/>
            <sz val="10"/>
            <color indexed="81"/>
            <rFont val="Tahoma"/>
            <family val="2"/>
          </rPr>
          <t>Data Entry Cell, Developer's Fee</t>
        </r>
      </text>
    </comment>
    <comment ref="U71" authorId="1" shapeId="0" xr:uid="{00000000-0006-0000-0B00-000074050000}">
      <text>
        <r>
          <rPr>
            <b/>
            <sz val="10"/>
            <color indexed="81"/>
            <rFont val="Tahoma"/>
            <family val="2"/>
          </rPr>
          <t>Data Entry Cell, Developer's Fee</t>
        </r>
      </text>
    </comment>
    <comment ref="V71" authorId="1" shapeId="0" xr:uid="{00000000-0006-0000-0B00-000075050000}">
      <text>
        <r>
          <rPr>
            <b/>
            <sz val="10"/>
            <color indexed="81"/>
            <rFont val="Tahoma"/>
            <family val="2"/>
          </rPr>
          <t>Data Entry Cell, Developer's Fee</t>
        </r>
      </text>
    </comment>
    <comment ref="W71" authorId="1" shapeId="0" xr:uid="{00000000-0006-0000-0B00-000076050000}">
      <text>
        <r>
          <rPr>
            <b/>
            <sz val="10"/>
            <color indexed="81"/>
            <rFont val="Tahoma"/>
            <family val="2"/>
          </rPr>
          <t>Data Entry Cell, Developer's Fee</t>
        </r>
      </text>
    </comment>
    <comment ref="X71" authorId="1" shapeId="0" xr:uid="{00000000-0006-0000-0B00-000077050000}">
      <text>
        <r>
          <rPr>
            <b/>
            <sz val="10"/>
            <color indexed="81"/>
            <rFont val="Tahoma"/>
            <family val="2"/>
          </rPr>
          <t>Data Entry Cell, Developer's Fee</t>
        </r>
      </text>
    </comment>
    <comment ref="Y71" authorId="1" shapeId="0" xr:uid="{00000000-0006-0000-0B00-000078050000}">
      <text>
        <r>
          <rPr>
            <b/>
            <sz val="10"/>
            <color indexed="81"/>
            <rFont val="Tahoma"/>
            <family val="2"/>
          </rPr>
          <t>Data Entry Cell, Developer's Fee</t>
        </r>
      </text>
    </comment>
    <comment ref="Z71" authorId="1" shapeId="0" xr:uid="{00000000-0006-0000-0B00-000079050000}">
      <text>
        <r>
          <rPr>
            <b/>
            <sz val="10"/>
            <color indexed="81"/>
            <rFont val="Tahoma"/>
            <family val="2"/>
          </rPr>
          <t>Data Entry Cell, Developer's Fee</t>
        </r>
      </text>
    </comment>
    <comment ref="AA71" authorId="1" shapeId="0" xr:uid="{00000000-0006-0000-0B00-00007A050000}">
      <text>
        <r>
          <rPr>
            <b/>
            <sz val="10"/>
            <color indexed="81"/>
            <rFont val="Tahoma"/>
            <family val="2"/>
          </rPr>
          <t>Data Entry Cell, Developer's Fee</t>
        </r>
      </text>
    </comment>
    <comment ref="AB71" authorId="1" shapeId="0" xr:uid="{00000000-0006-0000-0B00-00007B050000}">
      <text>
        <r>
          <rPr>
            <b/>
            <sz val="10"/>
            <color indexed="81"/>
            <rFont val="Tahoma"/>
            <family val="2"/>
          </rPr>
          <t>Data Entry Cell, Developer's Fee</t>
        </r>
      </text>
    </comment>
    <comment ref="AC71" authorId="1" shapeId="0" xr:uid="{00000000-0006-0000-0B00-00007C050000}">
      <text>
        <r>
          <rPr>
            <b/>
            <sz val="10"/>
            <color indexed="81"/>
            <rFont val="Tahoma"/>
            <family val="2"/>
          </rPr>
          <t>Data Entry Cell, Developer's Fee</t>
        </r>
      </text>
    </comment>
    <comment ref="E73" authorId="1" shapeId="0" xr:uid="{00000000-0006-0000-0B00-00007D050000}">
      <text>
        <r>
          <rPr>
            <b/>
            <sz val="10"/>
            <color indexed="81"/>
            <rFont val="Tahoma"/>
            <family val="2"/>
          </rPr>
          <t>Data Entry Cell, Initial Rent-Up Reserve</t>
        </r>
      </text>
    </comment>
    <comment ref="F73" authorId="1" shapeId="0" xr:uid="{00000000-0006-0000-0B00-00007E050000}">
      <text>
        <r>
          <rPr>
            <b/>
            <sz val="10"/>
            <color indexed="81"/>
            <rFont val="Tahoma"/>
            <family val="2"/>
          </rPr>
          <t>Data Entry Cell, Initial Rent-Up Reserve</t>
        </r>
      </text>
    </comment>
    <comment ref="G73" authorId="1" shapeId="0" xr:uid="{00000000-0006-0000-0B00-00007F050000}">
      <text>
        <r>
          <rPr>
            <b/>
            <sz val="10"/>
            <color indexed="81"/>
            <rFont val="Tahoma"/>
            <family val="2"/>
          </rPr>
          <t>Data Entry Cell, Initial Rent-Up Reserve</t>
        </r>
      </text>
    </comment>
    <comment ref="H73" authorId="1" shapeId="0" xr:uid="{00000000-0006-0000-0B00-000080050000}">
      <text>
        <r>
          <rPr>
            <b/>
            <sz val="10"/>
            <color indexed="81"/>
            <rFont val="Tahoma"/>
            <family val="2"/>
          </rPr>
          <t>Data Entry Cell, Initial Rent-Up Reserve</t>
        </r>
      </text>
    </comment>
    <comment ref="I73" authorId="1" shapeId="0" xr:uid="{00000000-0006-0000-0B00-000081050000}">
      <text>
        <r>
          <rPr>
            <b/>
            <sz val="10"/>
            <color indexed="81"/>
            <rFont val="Tahoma"/>
            <family val="2"/>
          </rPr>
          <t>Data Entry Cell, Initial Rent-Up Reserve</t>
        </r>
      </text>
    </comment>
    <comment ref="J73" authorId="1" shapeId="0" xr:uid="{00000000-0006-0000-0B00-000082050000}">
      <text>
        <r>
          <rPr>
            <b/>
            <sz val="10"/>
            <color indexed="81"/>
            <rFont val="Tahoma"/>
            <family val="2"/>
          </rPr>
          <t>Data Entry Cell, Initial Rent-Up Reserve</t>
        </r>
      </text>
    </comment>
    <comment ref="K73" authorId="1" shapeId="0" xr:uid="{00000000-0006-0000-0B00-000083050000}">
      <text>
        <r>
          <rPr>
            <b/>
            <sz val="10"/>
            <color indexed="81"/>
            <rFont val="Tahoma"/>
            <family val="2"/>
          </rPr>
          <t>Data Entry Cell, Initial Rent-Up Reserve</t>
        </r>
      </text>
    </comment>
    <comment ref="L73" authorId="1" shapeId="0" xr:uid="{00000000-0006-0000-0B00-000084050000}">
      <text>
        <r>
          <rPr>
            <b/>
            <sz val="10"/>
            <color indexed="81"/>
            <rFont val="Tahoma"/>
            <family val="2"/>
          </rPr>
          <t>Data Entry Cell, Initial Rent-Up Reserve</t>
        </r>
      </text>
    </comment>
    <comment ref="M73" authorId="1" shapeId="0" xr:uid="{00000000-0006-0000-0B00-000085050000}">
      <text>
        <r>
          <rPr>
            <b/>
            <sz val="10"/>
            <color indexed="81"/>
            <rFont val="Tahoma"/>
            <family val="2"/>
          </rPr>
          <t>Data Entry Cell, Initial Rent-Up Reserve</t>
        </r>
      </text>
    </comment>
    <comment ref="N73" authorId="1" shapeId="0" xr:uid="{00000000-0006-0000-0B00-000086050000}">
      <text>
        <r>
          <rPr>
            <b/>
            <sz val="10"/>
            <color indexed="81"/>
            <rFont val="Tahoma"/>
            <family val="2"/>
          </rPr>
          <t>Data Entry Cell, Initial Rent-Up Reserve</t>
        </r>
      </text>
    </comment>
    <comment ref="O73" authorId="1" shapeId="0" xr:uid="{00000000-0006-0000-0B00-000087050000}">
      <text>
        <r>
          <rPr>
            <b/>
            <sz val="10"/>
            <color indexed="81"/>
            <rFont val="Tahoma"/>
            <family val="2"/>
          </rPr>
          <t>Data Entry Cell, Initial Rent-Up Reserve</t>
        </r>
      </text>
    </comment>
    <comment ref="P73" authorId="1" shapeId="0" xr:uid="{00000000-0006-0000-0B00-000088050000}">
      <text>
        <r>
          <rPr>
            <b/>
            <sz val="10"/>
            <color indexed="81"/>
            <rFont val="Tahoma"/>
            <family val="2"/>
          </rPr>
          <t>Data Entry Cell, Initial Rent-Up Reserve</t>
        </r>
      </text>
    </comment>
    <comment ref="Q73" authorId="1" shapeId="0" xr:uid="{00000000-0006-0000-0B00-000089050000}">
      <text>
        <r>
          <rPr>
            <b/>
            <sz val="10"/>
            <color indexed="81"/>
            <rFont val="Tahoma"/>
            <family val="2"/>
          </rPr>
          <t>Data Entry Cell, Initial Rent-Up Reserve</t>
        </r>
      </text>
    </comment>
    <comment ref="R73" authorId="1" shapeId="0" xr:uid="{00000000-0006-0000-0B00-00008A050000}">
      <text>
        <r>
          <rPr>
            <b/>
            <sz val="10"/>
            <color indexed="81"/>
            <rFont val="Tahoma"/>
            <family val="2"/>
          </rPr>
          <t>Data Entry Cell, Initial Rent-Up Reserve</t>
        </r>
      </text>
    </comment>
    <comment ref="S73" authorId="1" shapeId="0" xr:uid="{00000000-0006-0000-0B00-00008B050000}">
      <text>
        <r>
          <rPr>
            <b/>
            <sz val="10"/>
            <color indexed="81"/>
            <rFont val="Tahoma"/>
            <family val="2"/>
          </rPr>
          <t>Data Entry Cell, Initial Rent-Up Reserve</t>
        </r>
      </text>
    </comment>
    <comment ref="T73" authorId="1" shapeId="0" xr:uid="{00000000-0006-0000-0B00-00008C050000}">
      <text>
        <r>
          <rPr>
            <b/>
            <sz val="10"/>
            <color indexed="81"/>
            <rFont val="Tahoma"/>
            <family val="2"/>
          </rPr>
          <t>Data Entry Cell, Initial Rent-Up Reserve</t>
        </r>
      </text>
    </comment>
    <comment ref="U73" authorId="1" shapeId="0" xr:uid="{00000000-0006-0000-0B00-00008D050000}">
      <text>
        <r>
          <rPr>
            <b/>
            <sz val="10"/>
            <color indexed="81"/>
            <rFont val="Tahoma"/>
            <family val="2"/>
          </rPr>
          <t>Data Entry Cell, Initial Rent-Up Reserve</t>
        </r>
      </text>
    </comment>
    <comment ref="V73" authorId="1" shapeId="0" xr:uid="{00000000-0006-0000-0B00-00008E050000}">
      <text>
        <r>
          <rPr>
            <b/>
            <sz val="10"/>
            <color indexed="81"/>
            <rFont val="Tahoma"/>
            <family val="2"/>
          </rPr>
          <t>Data Entry Cell, Initial Rent-Up Reserve</t>
        </r>
      </text>
    </comment>
    <comment ref="W73" authorId="1" shapeId="0" xr:uid="{00000000-0006-0000-0B00-00008F050000}">
      <text>
        <r>
          <rPr>
            <b/>
            <sz val="10"/>
            <color indexed="81"/>
            <rFont val="Tahoma"/>
            <family val="2"/>
          </rPr>
          <t>Data Entry Cell, Initial Rent-Up Reserve</t>
        </r>
      </text>
    </comment>
    <comment ref="X73" authorId="1" shapeId="0" xr:uid="{00000000-0006-0000-0B00-000090050000}">
      <text>
        <r>
          <rPr>
            <b/>
            <sz val="10"/>
            <color indexed="81"/>
            <rFont val="Tahoma"/>
            <family val="2"/>
          </rPr>
          <t>Data Entry Cell, Initial Rent-Up Reserve</t>
        </r>
      </text>
    </comment>
    <comment ref="Y73" authorId="1" shapeId="0" xr:uid="{00000000-0006-0000-0B00-000091050000}">
      <text>
        <r>
          <rPr>
            <b/>
            <sz val="10"/>
            <color indexed="81"/>
            <rFont val="Tahoma"/>
            <family val="2"/>
          </rPr>
          <t>Data Entry Cell, Initial Rent-Up Reserve</t>
        </r>
      </text>
    </comment>
    <comment ref="Z73" authorId="1" shapeId="0" xr:uid="{00000000-0006-0000-0B00-000092050000}">
      <text>
        <r>
          <rPr>
            <b/>
            <sz val="10"/>
            <color indexed="81"/>
            <rFont val="Tahoma"/>
            <family val="2"/>
          </rPr>
          <t>Data Entry Cell, Initial Rent-Up Reserve</t>
        </r>
      </text>
    </comment>
    <comment ref="AA73" authorId="1" shapeId="0" xr:uid="{00000000-0006-0000-0B00-000093050000}">
      <text>
        <r>
          <rPr>
            <b/>
            <sz val="10"/>
            <color indexed="81"/>
            <rFont val="Tahoma"/>
            <family val="2"/>
          </rPr>
          <t>Data Entry Cell, Initial Rent-Up Reserve</t>
        </r>
      </text>
    </comment>
    <comment ref="AB73" authorId="1" shapeId="0" xr:uid="{00000000-0006-0000-0B00-000094050000}">
      <text>
        <r>
          <rPr>
            <b/>
            <sz val="10"/>
            <color indexed="81"/>
            <rFont val="Tahoma"/>
            <family val="2"/>
          </rPr>
          <t>Data Entry Cell, Initial Rent-Up Reserve</t>
        </r>
      </text>
    </comment>
    <comment ref="AC73" authorId="1" shapeId="0" xr:uid="{00000000-0006-0000-0B00-000095050000}">
      <text>
        <r>
          <rPr>
            <b/>
            <sz val="10"/>
            <color indexed="81"/>
            <rFont val="Tahoma"/>
            <family val="2"/>
          </rPr>
          <t>Data Entry Cell, Initial Rent-Up Reserve</t>
        </r>
      </text>
    </comment>
    <comment ref="E74" authorId="1" shapeId="0" xr:uid="{00000000-0006-0000-0B00-000096050000}">
      <text>
        <r>
          <rPr>
            <b/>
            <sz val="10"/>
            <color indexed="81"/>
            <rFont val="Tahoma"/>
            <family val="2"/>
          </rPr>
          <t>Data Entry Cell, Initial Operating Reserve</t>
        </r>
      </text>
    </comment>
    <comment ref="F74" authorId="1" shapeId="0" xr:uid="{00000000-0006-0000-0B00-000097050000}">
      <text>
        <r>
          <rPr>
            <b/>
            <sz val="10"/>
            <color indexed="81"/>
            <rFont val="Tahoma"/>
            <family val="2"/>
          </rPr>
          <t>Data Entry Cell, Initial Operating Reserve</t>
        </r>
      </text>
    </comment>
    <comment ref="G74" authorId="1" shapeId="0" xr:uid="{00000000-0006-0000-0B00-000098050000}">
      <text>
        <r>
          <rPr>
            <b/>
            <sz val="10"/>
            <color indexed="81"/>
            <rFont val="Tahoma"/>
            <family val="2"/>
          </rPr>
          <t>Data Entry Cell, Initial Operating Reserve</t>
        </r>
      </text>
    </comment>
    <comment ref="H74" authorId="1" shapeId="0" xr:uid="{00000000-0006-0000-0B00-000099050000}">
      <text>
        <r>
          <rPr>
            <b/>
            <sz val="10"/>
            <color indexed="81"/>
            <rFont val="Tahoma"/>
            <family val="2"/>
          </rPr>
          <t>Data Entry Cell, Initial Operating Reserve</t>
        </r>
      </text>
    </comment>
    <comment ref="I74" authorId="1" shapeId="0" xr:uid="{00000000-0006-0000-0B00-00009A050000}">
      <text>
        <r>
          <rPr>
            <b/>
            <sz val="10"/>
            <color indexed="81"/>
            <rFont val="Tahoma"/>
            <family val="2"/>
          </rPr>
          <t>Data Entry Cell, Initial Operating Reserve</t>
        </r>
      </text>
    </comment>
    <comment ref="J74" authorId="1" shapeId="0" xr:uid="{00000000-0006-0000-0B00-00009B050000}">
      <text>
        <r>
          <rPr>
            <b/>
            <sz val="10"/>
            <color indexed="81"/>
            <rFont val="Tahoma"/>
            <family val="2"/>
          </rPr>
          <t>Data Entry Cell, Initial Operating Reserve</t>
        </r>
      </text>
    </comment>
    <comment ref="K74" authorId="1" shapeId="0" xr:uid="{00000000-0006-0000-0B00-00009C050000}">
      <text>
        <r>
          <rPr>
            <b/>
            <sz val="10"/>
            <color indexed="81"/>
            <rFont val="Tahoma"/>
            <family val="2"/>
          </rPr>
          <t>Data Entry Cell, Initial Operating Reserve</t>
        </r>
      </text>
    </comment>
    <comment ref="L74" authorId="1" shapeId="0" xr:uid="{00000000-0006-0000-0B00-00009D050000}">
      <text>
        <r>
          <rPr>
            <b/>
            <sz val="10"/>
            <color indexed="81"/>
            <rFont val="Tahoma"/>
            <family val="2"/>
          </rPr>
          <t>Data Entry Cell, Initial Operating Reserve</t>
        </r>
      </text>
    </comment>
    <comment ref="M74" authorId="1" shapeId="0" xr:uid="{00000000-0006-0000-0B00-00009E050000}">
      <text>
        <r>
          <rPr>
            <b/>
            <sz val="10"/>
            <color indexed="81"/>
            <rFont val="Tahoma"/>
            <family val="2"/>
          </rPr>
          <t>Data Entry Cell, Initial Operating Reserve</t>
        </r>
      </text>
    </comment>
    <comment ref="N74" authorId="1" shapeId="0" xr:uid="{00000000-0006-0000-0B00-00009F050000}">
      <text>
        <r>
          <rPr>
            <b/>
            <sz val="10"/>
            <color indexed="81"/>
            <rFont val="Tahoma"/>
            <family val="2"/>
          </rPr>
          <t>Data Entry Cell, Initial Operating Reserve</t>
        </r>
      </text>
    </comment>
    <comment ref="O74" authorId="1" shapeId="0" xr:uid="{00000000-0006-0000-0B00-0000A0050000}">
      <text>
        <r>
          <rPr>
            <b/>
            <sz val="10"/>
            <color indexed="81"/>
            <rFont val="Tahoma"/>
            <family val="2"/>
          </rPr>
          <t>Data Entry Cell, Initial Operating Reserve</t>
        </r>
      </text>
    </comment>
    <comment ref="P74" authorId="1" shapeId="0" xr:uid="{00000000-0006-0000-0B00-0000A1050000}">
      <text>
        <r>
          <rPr>
            <b/>
            <sz val="10"/>
            <color indexed="81"/>
            <rFont val="Tahoma"/>
            <family val="2"/>
          </rPr>
          <t>Data Entry Cell, Initial Operating Reserve</t>
        </r>
      </text>
    </comment>
    <comment ref="Q74" authorId="1" shapeId="0" xr:uid="{00000000-0006-0000-0B00-0000A2050000}">
      <text>
        <r>
          <rPr>
            <b/>
            <sz val="10"/>
            <color indexed="81"/>
            <rFont val="Tahoma"/>
            <family val="2"/>
          </rPr>
          <t>Data Entry Cell, Initial Operating Reserve</t>
        </r>
      </text>
    </comment>
    <comment ref="R74" authorId="1" shapeId="0" xr:uid="{00000000-0006-0000-0B00-0000A3050000}">
      <text>
        <r>
          <rPr>
            <b/>
            <sz val="10"/>
            <color indexed="81"/>
            <rFont val="Tahoma"/>
            <family val="2"/>
          </rPr>
          <t>Data Entry Cell, Initial Operating Reserve</t>
        </r>
      </text>
    </comment>
    <comment ref="S74" authorId="1" shapeId="0" xr:uid="{00000000-0006-0000-0B00-0000A4050000}">
      <text>
        <r>
          <rPr>
            <b/>
            <sz val="10"/>
            <color indexed="81"/>
            <rFont val="Tahoma"/>
            <family val="2"/>
          </rPr>
          <t>Data Entry Cell, Initial Operating Reserve</t>
        </r>
      </text>
    </comment>
    <comment ref="T74" authorId="1" shapeId="0" xr:uid="{00000000-0006-0000-0B00-0000A5050000}">
      <text>
        <r>
          <rPr>
            <b/>
            <sz val="10"/>
            <color indexed="81"/>
            <rFont val="Tahoma"/>
            <family val="2"/>
          </rPr>
          <t>Data Entry Cell, Initial Operating Reserve</t>
        </r>
      </text>
    </comment>
    <comment ref="U74" authorId="1" shapeId="0" xr:uid="{00000000-0006-0000-0B00-0000A6050000}">
      <text>
        <r>
          <rPr>
            <b/>
            <sz val="10"/>
            <color indexed="81"/>
            <rFont val="Tahoma"/>
            <family val="2"/>
          </rPr>
          <t>Data Entry Cell, Initial Operating Reserve</t>
        </r>
      </text>
    </comment>
    <comment ref="V74" authorId="1" shapeId="0" xr:uid="{00000000-0006-0000-0B00-0000A7050000}">
      <text>
        <r>
          <rPr>
            <b/>
            <sz val="10"/>
            <color indexed="81"/>
            <rFont val="Tahoma"/>
            <family val="2"/>
          </rPr>
          <t>Data Entry Cell, Initial Operating Reserve</t>
        </r>
      </text>
    </comment>
    <comment ref="W74" authorId="1" shapeId="0" xr:uid="{00000000-0006-0000-0B00-0000A8050000}">
      <text>
        <r>
          <rPr>
            <b/>
            <sz val="10"/>
            <color indexed="81"/>
            <rFont val="Tahoma"/>
            <family val="2"/>
          </rPr>
          <t>Data Entry Cell, Initial Operating Reserve</t>
        </r>
      </text>
    </comment>
    <comment ref="X74" authorId="1" shapeId="0" xr:uid="{00000000-0006-0000-0B00-0000A9050000}">
      <text>
        <r>
          <rPr>
            <b/>
            <sz val="10"/>
            <color indexed="81"/>
            <rFont val="Tahoma"/>
            <family val="2"/>
          </rPr>
          <t>Data Entry Cell, Initial Operating Reserve</t>
        </r>
      </text>
    </comment>
    <comment ref="Y74" authorId="1" shapeId="0" xr:uid="{00000000-0006-0000-0B00-0000AA050000}">
      <text>
        <r>
          <rPr>
            <b/>
            <sz val="10"/>
            <color indexed="81"/>
            <rFont val="Tahoma"/>
            <family val="2"/>
          </rPr>
          <t>Data Entry Cell, Initial Operating Reserve</t>
        </r>
      </text>
    </comment>
    <comment ref="Z74" authorId="1" shapeId="0" xr:uid="{00000000-0006-0000-0B00-0000AB050000}">
      <text>
        <r>
          <rPr>
            <b/>
            <sz val="10"/>
            <color indexed="81"/>
            <rFont val="Tahoma"/>
            <family val="2"/>
          </rPr>
          <t>Data Entry Cell, Initial Operating Reserve</t>
        </r>
      </text>
    </comment>
    <comment ref="AA74" authorId="1" shapeId="0" xr:uid="{00000000-0006-0000-0B00-0000AC050000}">
      <text>
        <r>
          <rPr>
            <b/>
            <sz val="10"/>
            <color indexed="81"/>
            <rFont val="Tahoma"/>
            <family val="2"/>
          </rPr>
          <t>Data Entry Cell, Initial Operating Reserve</t>
        </r>
      </text>
    </comment>
    <comment ref="AB74" authorId="1" shapeId="0" xr:uid="{00000000-0006-0000-0B00-0000AD050000}">
      <text>
        <r>
          <rPr>
            <b/>
            <sz val="10"/>
            <color indexed="81"/>
            <rFont val="Tahoma"/>
            <family val="2"/>
          </rPr>
          <t>Data Entry Cell, Initial Operating Reserve</t>
        </r>
      </text>
    </comment>
    <comment ref="AC74" authorId="1" shapeId="0" xr:uid="{00000000-0006-0000-0B00-0000AE050000}">
      <text>
        <r>
          <rPr>
            <b/>
            <sz val="10"/>
            <color indexed="81"/>
            <rFont val="Tahoma"/>
            <family val="2"/>
          </rPr>
          <t>Data Entry Cell, Initial Operating Reserve</t>
        </r>
      </text>
    </comment>
    <comment ref="E75" authorId="1" shapeId="0" xr:uid="{00000000-0006-0000-0B00-0000AF050000}">
      <text>
        <r>
          <rPr>
            <b/>
            <sz val="10"/>
            <color indexed="81"/>
            <rFont val="Tahoma"/>
            <family val="2"/>
          </rPr>
          <t>Data Entry Cell, Initial Debt Service Reserve</t>
        </r>
      </text>
    </comment>
    <comment ref="F75" authorId="1" shapeId="0" xr:uid="{00000000-0006-0000-0B00-0000B0050000}">
      <text>
        <r>
          <rPr>
            <b/>
            <sz val="10"/>
            <color indexed="81"/>
            <rFont val="Tahoma"/>
            <family val="2"/>
          </rPr>
          <t>Data Entry Cell, Initial Debt Service Reserve</t>
        </r>
      </text>
    </comment>
    <comment ref="G75" authorId="1" shapeId="0" xr:uid="{00000000-0006-0000-0B00-0000B1050000}">
      <text>
        <r>
          <rPr>
            <b/>
            <sz val="10"/>
            <color indexed="81"/>
            <rFont val="Tahoma"/>
            <family val="2"/>
          </rPr>
          <t>Data Entry Cell, Initial Debt Service Reserve</t>
        </r>
      </text>
    </comment>
    <comment ref="H75" authorId="1" shapeId="0" xr:uid="{00000000-0006-0000-0B00-0000B2050000}">
      <text>
        <r>
          <rPr>
            <b/>
            <sz val="10"/>
            <color indexed="81"/>
            <rFont val="Tahoma"/>
            <family val="2"/>
          </rPr>
          <t>Data Entry Cell, Initial Debt Service Reserve</t>
        </r>
      </text>
    </comment>
    <comment ref="I75" authorId="1" shapeId="0" xr:uid="{00000000-0006-0000-0B00-0000B3050000}">
      <text>
        <r>
          <rPr>
            <b/>
            <sz val="10"/>
            <color indexed="81"/>
            <rFont val="Tahoma"/>
            <family val="2"/>
          </rPr>
          <t>Data Entry Cell, Initial Debt Service Reserve</t>
        </r>
      </text>
    </comment>
    <comment ref="J75" authorId="1" shapeId="0" xr:uid="{00000000-0006-0000-0B00-0000B4050000}">
      <text>
        <r>
          <rPr>
            <b/>
            <sz val="10"/>
            <color indexed="81"/>
            <rFont val="Tahoma"/>
            <family val="2"/>
          </rPr>
          <t>Data Entry Cell, Initial Debt Service Reserve</t>
        </r>
      </text>
    </comment>
    <comment ref="K75" authorId="1" shapeId="0" xr:uid="{00000000-0006-0000-0B00-0000B5050000}">
      <text>
        <r>
          <rPr>
            <b/>
            <sz val="10"/>
            <color indexed="81"/>
            <rFont val="Tahoma"/>
            <family val="2"/>
          </rPr>
          <t>Data Entry Cell, Initial Debt Service Reserve</t>
        </r>
      </text>
    </comment>
    <comment ref="L75" authorId="1" shapeId="0" xr:uid="{00000000-0006-0000-0B00-0000B6050000}">
      <text>
        <r>
          <rPr>
            <b/>
            <sz val="10"/>
            <color indexed="81"/>
            <rFont val="Tahoma"/>
            <family val="2"/>
          </rPr>
          <t>Data Entry Cell, Initial Debt Service Reserve</t>
        </r>
      </text>
    </comment>
    <comment ref="M75" authorId="1" shapeId="0" xr:uid="{00000000-0006-0000-0B00-0000B7050000}">
      <text>
        <r>
          <rPr>
            <b/>
            <sz val="10"/>
            <color indexed="81"/>
            <rFont val="Tahoma"/>
            <family val="2"/>
          </rPr>
          <t>Data Entry Cell, Initial Debt Service Reserve</t>
        </r>
      </text>
    </comment>
    <comment ref="N75" authorId="1" shapeId="0" xr:uid="{00000000-0006-0000-0B00-0000B8050000}">
      <text>
        <r>
          <rPr>
            <b/>
            <sz val="10"/>
            <color indexed="81"/>
            <rFont val="Tahoma"/>
            <family val="2"/>
          </rPr>
          <t>Data Entry Cell, Initial Debt Service Reserve</t>
        </r>
      </text>
    </comment>
    <comment ref="O75" authorId="1" shapeId="0" xr:uid="{00000000-0006-0000-0B00-0000B9050000}">
      <text>
        <r>
          <rPr>
            <b/>
            <sz val="10"/>
            <color indexed="81"/>
            <rFont val="Tahoma"/>
            <family val="2"/>
          </rPr>
          <t>Data Entry Cell, Initial Debt Service Reserve</t>
        </r>
      </text>
    </comment>
    <comment ref="P75" authorId="1" shapeId="0" xr:uid="{00000000-0006-0000-0B00-0000BA050000}">
      <text>
        <r>
          <rPr>
            <b/>
            <sz val="10"/>
            <color indexed="81"/>
            <rFont val="Tahoma"/>
            <family val="2"/>
          </rPr>
          <t>Data Entry Cell, Initial Debt Service Reserve</t>
        </r>
      </text>
    </comment>
    <comment ref="Q75" authorId="1" shapeId="0" xr:uid="{00000000-0006-0000-0B00-0000BB050000}">
      <text>
        <r>
          <rPr>
            <b/>
            <sz val="10"/>
            <color indexed="81"/>
            <rFont val="Tahoma"/>
            <family val="2"/>
          </rPr>
          <t>Data Entry Cell, Initial Debt Service Reserve</t>
        </r>
      </text>
    </comment>
    <comment ref="R75" authorId="1" shapeId="0" xr:uid="{00000000-0006-0000-0B00-0000BC050000}">
      <text>
        <r>
          <rPr>
            <b/>
            <sz val="10"/>
            <color indexed="81"/>
            <rFont val="Tahoma"/>
            <family val="2"/>
          </rPr>
          <t>Data Entry Cell, Initial Debt Service Reserve</t>
        </r>
      </text>
    </comment>
    <comment ref="S75" authorId="1" shapeId="0" xr:uid="{00000000-0006-0000-0B00-0000BD050000}">
      <text>
        <r>
          <rPr>
            <b/>
            <sz val="10"/>
            <color indexed="81"/>
            <rFont val="Tahoma"/>
            <family val="2"/>
          </rPr>
          <t>Data Entry Cell, Initial Debt Service Reserve</t>
        </r>
      </text>
    </comment>
    <comment ref="T75" authorId="1" shapeId="0" xr:uid="{00000000-0006-0000-0B00-0000BE050000}">
      <text>
        <r>
          <rPr>
            <b/>
            <sz val="10"/>
            <color indexed="81"/>
            <rFont val="Tahoma"/>
            <family val="2"/>
          </rPr>
          <t>Data Entry Cell, Initial Debt Service Reserve</t>
        </r>
      </text>
    </comment>
    <comment ref="U75" authorId="1" shapeId="0" xr:uid="{00000000-0006-0000-0B00-0000BF050000}">
      <text>
        <r>
          <rPr>
            <b/>
            <sz val="10"/>
            <color indexed="81"/>
            <rFont val="Tahoma"/>
            <family val="2"/>
          </rPr>
          <t>Data Entry Cell, Initial Debt Service Reserve</t>
        </r>
      </text>
    </comment>
    <comment ref="V75" authorId="1" shapeId="0" xr:uid="{00000000-0006-0000-0B00-0000C0050000}">
      <text>
        <r>
          <rPr>
            <b/>
            <sz val="10"/>
            <color indexed="81"/>
            <rFont val="Tahoma"/>
            <family val="2"/>
          </rPr>
          <t>Data Entry Cell, Initial Debt Service Reserve</t>
        </r>
      </text>
    </comment>
    <comment ref="W75" authorId="1" shapeId="0" xr:uid="{00000000-0006-0000-0B00-0000C1050000}">
      <text>
        <r>
          <rPr>
            <b/>
            <sz val="10"/>
            <color indexed="81"/>
            <rFont val="Tahoma"/>
            <family val="2"/>
          </rPr>
          <t>Data Entry Cell, Initial Debt Service Reserve</t>
        </r>
      </text>
    </comment>
    <comment ref="X75" authorId="1" shapeId="0" xr:uid="{00000000-0006-0000-0B00-0000C2050000}">
      <text>
        <r>
          <rPr>
            <b/>
            <sz val="10"/>
            <color indexed="81"/>
            <rFont val="Tahoma"/>
            <family val="2"/>
          </rPr>
          <t>Data Entry Cell, Initial Debt Service Reserve</t>
        </r>
      </text>
    </comment>
    <comment ref="Y75" authorId="1" shapeId="0" xr:uid="{00000000-0006-0000-0B00-0000C3050000}">
      <text>
        <r>
          <rPr>
            <b/>
            <sz val="10"/>
            <color indexed="81"/>
            <rFont val="Tahoma"/>
            <family val="2"/>
          </rPr>
          <t>Data Entry Cell, Initial Debt Service Reserve</t>
        </r>
      </text>
    </comment>
    <comment ref="Z75" authorId="1" shapeId="0" xr:uid="{00000000-0006-0000-0B00-0000C4050000}">
      <text>
        <r>
          <rPr>
            <b/>
            <sz val="10"/>
            <color indexed="81"/>
            <rFont val="Tahoma"/>
            <family val="2"/>
          </rPr>
          <t>Data Entry Cell, Initial Debt Service Reserve</t>
        </r>
      </text>
    </comment>
    <comment ref="AA75" authorId="1" shapeId="0" xr:uid="{00000000-0006-0000-0B00-0000C5050000}">
      <text>
        <r>
          <rPr>
            <b/>
            <sz val="10"/>
            <color indexed="81"/>
            <rFont val="Tahoma"/>
            <family val="2"/>
          </rPr>
          <t>Data Entry Cell, Initial Debt Service Reserve</t>
        </r>
      </text>
    </comment>
    <comment ref="AB75" authorId="1" shapeId="0" xr:uid="{00000000-0006-0000-0B00-0000C6050000}">
      <text>
        <r>
          <rPr>
            <b/>
            <sz val="10"/>
            <color indexed="81"/>
            <rFont val="Tahoma"/>
            <family val="2"/>
          </rPr>
          <t>Data Entry Cell, Initial Debt Service Reserve</t>
        </r>
      </text>
    </comment>
    <comment ref="AC75" authorId="1" shapeId="0" xr:uid="{00000000-0006-0000-0B00-0000C7050000}">
      <text>
        <r>
          <rPr>
            <b/>
            <sz val="10"/>
            <color indexed="81"/>
            <rFont val="Tahoma"/>
            <family val="2"/>
          </rPr>
          <t>Data Entry Cell, Initial Debt Service Reserve</t>
        </r>
      </text>
    </comment>
    <comment ref="E76" authorId="1" shapeId="0" xr:uid="{00000000-0006-0000-0B00-0000C8050000}">
      <text>
        <r>
          <rPr>
            <b/>
            <sz val="10"/>
            <color indexed="81"/>
            <rFont val="Tahoma"/>
            <family val="2"/>
          </rPr>
          <t>Data Entry Cell, Initial Replacement Reserve</t>
        </r>
      </text>
    </comment>
    <comment ref="F76" authorId="1" shapeId="0" xr:uid="{00000000-0006-0000-0B00-0000C9050000}">
      <text>
        <r>
          <rPr>
            <b/>
            <sz val="10"/>
            <color indexed="81"/>
            <rFont val="Tahoma"/>
            <family val="2"/>
          </rPr>
          <t>Data Entry Cell, Initial Replacement Reserve</t>
        </r>
      </text>
    </comment>
    <comment ref="G76" authorId="1" shapeId="0" xr:uid="{00000000-0006-0000-0B00-0000CA050000}">
      <text>
        <r>
          <rPr>
            <b/>
            <sz val="10"/>
            <color indexed="81"/>
            <rFont val="Tahoma"/>
            <family val="2"/>
          </rPr>
          <t>Data Entry Cell, Initial Replacement Reserve</t>
        </r>
      </text>
    </comment>
    <comment ref="H76" authorId="1" shapeId="0" xr:uid="{00000000-0006-0000-0B00-0000CB050000}">
      <text>
        <r>
          <rPr>
            <b/>
            <sz val="10"/>
            <color indexed="81"/>
            <rFont val="Tahoma"/>
            <family val="2"/>
          </rPr>
          <t>Data Entry Cell, Initial Replacement Reserve</t>
        </r>
      </text>
    </comment>
    <comment ref="I76" authorId="1" shapeId="0" xr:uid="{00000000-0006-0000-0B00-0000CC050000}">
      <text>
        <r>
          <rPr>
            <b/>
            <sz val="10"/>
            <color indexed="81"/>
            <rFont val="Tahoma"/>
            <family val="2"/>
          </rPr>
          <t>Data Entry Cell, Initial Replacement Reserve</t>
        </r>
      </text>
    </comment>
    <comment ref="J76" authorId="1" shapeId="0" xr:uid="{00000000-0006-0000-0B00-0000CD050000}">
      <text>
        <r>
          <rPr>
            <b/>
            <sz val="10"/>
            <color indexed="81"/>
            <rFont val="Tahoma"/>
            <family val="2"/>
          </rPr>
          <t>Data Entry Cell, Initial Replacement Reserve</t>
        </r>
      </text>
    </comment>
    <comment ref="K76" authorId="1" shapeId="0" xr:uid="{00000000-0006-0000-0B00-0000CE050000}">
      <text>
        <r>
          <rPr>
            <b/>
            <sz val="10"/>
            <color indexed="81"/>
            <rFont val="Tahoma"/>
            <family val="2"/>
          </rPr>
          <t>Data Entry Cell, Initial Replacement Reserve</t>
        </r>
      </text>
    </comment>
    <comment ref="L76" authorId="1" shapeId="0" xr:uid="{00000000-0006-0000-0B00-0000CF050000}">
      <text>
        <r>
          <rPr>
            <b/>
            <sz val="10"/>
            <color indexed="81"/>
            <rFont val="Tahoma"/>
            <family val="2"/>
          </rPr>
          <t>Data Entry Cell, Initial Replacement Reserve</t>
        </r>
      </text>
    </comment>
    <comment ref="M76" authorId="1" shapeId="0" xr:uid="{00000000-0006-0000-0B00-0000D0050000}">
      <text>
        <r>
          <rPr>
            <b/>
            <sz val="10"/>
            <color indexed="81"/>
            <rFont val="Tahoma"/>
            <family val="2"/>
          </rPr>
          <t>Data Entry Cell, Initial Replacement Reserve</t>
        </r>
      </text>
    </comment>
    <comment ref="N76" authorId="1" shapeId="0" xr:uid="{00000000-0006-0000-0B00-0000D1050000}">
      <text>
        <r>
          <rPr>
            <b/>
            <sz val="10"/>
            <color indexed="81"/>
            <rFont val="Tahoma"/>
            <family val="2"/>
          </rPr>
          <t>Data Entry Cell, Initial Replacement Reserve</t>
        </r>
      </text>
    </comment>
    <comment ref="O76" authorId="1" shapeId="0" xr:uid="{00000000-0006-0000-0B00-0000D2050000}">
      <text>
        <r>
          <rPr>
            <b/>
            <sz val="10"/>
            <color indexed="81"/>
            <rFont val="Tahoma"/>
            <family val="2"/>
          </rPr>
          <t>Data Entry Cell, Initial Replacement Reserve</t>
        </r>
      </text>
    </comment>
    <comment ref="P76" authorId="1" shapeId="0" xr:uid="{00000000-0006-0000-0B00-0000D3050000}">
      <text>
        <r>
          <rPr>
            <b/>
            <sz val="10"/>
            <color indexed="81"/>
            <rFont val="Tahoma"/>
            <family val="2"/>
          </rPr>
          <t>Data Entry Cell, Initial Replacement Reserve</t>
        </r>
      </text>
    </comment>
    <comment ref="Q76" authorId="1" shapeId="0" xr:uid="{00000000-0006-0000-0B00-0000D4050000}">
      <text>
        <r>
          <rPr>
            <b/>
            <sz val="10"/>
            <color indexed="81"/>
            <rFont val="Tahoma"/>
            <family val="2"/>
          </rPr>
          <t>Data Entry Cell, Initial Replacement Reserve</t>
        </r>
      </text>
    </comment>
    <comment ref="R76" authorId="1" shapeId="0" xr:uid="{00000000-0006-0000-0B00-0000D5050000}">
      <text>
        <r>
          <rPr>
            <b/>
            <sz val="10"/>
            <color indexed="81"/>
            <rFont val="Tahoma"/>
            <family val="2"/>
          </rPr>
          <t>Data Entry Cell, Initial Replacement Reserve</t>
        </r>
      </text>
    </comment>
    <comment ref="S76" authorId="1" shapeId="0" xr:uid="{00000000-0006-0000-0B00-0000D6050000}">
      <text>
        <r>
          <rPr>
            <b/>
            <sz val="10"/>
            <color indexed="81"/>
            <rFont val="Tahoma"/>
            <family val="2"/>
          </rPr>
          <t>Data Entry Cell, Initial Replacement Reserve</t>
        </r>
      </text>
    </comment>
    <comment ref="T76" authorId="1" shapeId="0" xr:uid="{00000000-0006-0000-0B00-0000D7050000}">
      <text>
        <r>
          <rPr>
            <b/>
            <sz val="10"/>
            <color indexed="81"/>
            <rFont val="Tahoma"/>
            <family val="2"/>
          </rPr>
          <t>Data Entry Cell, Initial Replacement Reserve</t>
        </r>
      </text>
    </comment>
    <comment ref="U76" authorId="1" shapeId="0" xr:uid="{00000000-0006-0000-0B00-0000D8050000}">
      <text>
        <r>
          <rPr>
            <b/>
            <sz val="10"/>
            <color indexed="81"/>
            <rFont val="Tahoma"/>
            <family val="2"/>
          </rPr>
          <t>Data Entry Cell, Initial Replacement Reserve</t>
        </r>
      </text>
    </comment>
    <comment ref="V76" authorId="1" shapeId="0" xr:uid="{00000000-0006-0000-0B00-0000D9050000}">
      <text>
        <r>
          <rPr>
            <b/>
            <sz val="10"/>
            <color indexed="81"/>
            <rFont val="Tahoma"/>
            <family val="2"/>
          </rPr>
          <t>Data Entry Cell, Initial Replacement Reserve</t>
        </r>
      </text>
    </comment>
    <comment ref="W76" authorId="1" shapeId="0" xr:uid="{00000000-0006-0000-0B00-0000DA050000}">
      <text>
        <r>
          <rPr>
            <b/>
            <sz val="10"/>
            <color indexed="81"/>
            <rFont val="Tahoma"/>
            <family val="2"/>
          </rPr>
          <t>Data Entry Cell, Initial Replacement Reserve</t>
        </r>
      </text>
    </comment>
    <comment ref="X76" authorId="1" shapeId="0" xr:uid="{00000000-0006-0000-0B00-0000DB050000}">
      <text>
        <r>
          <rPr>
            <b/>
            <sz val="10"/>
            <color indexed="81"/>
            <rFont val="Tahoma"/>
            <family val="2"/>
          </rPr>
          <t>Data Entry Cell, Initial Replacement Reserve</t>
        </r>
      </text>
    </comment>
    <comment ref="Y76" authorId="1" shapeId="0" xr:uid="{00000000-0006-0000-0B00-0000DC050000}">
      <text>
        <r>
          <rPr>
            <b/>
            <sz val="10"/>
            <color indexed="81"/>
            <rFont val="Tahoma"/>
            <family val="2"/>
          </rPr>
          <t>Data Entry Cell, Initial Replacement Reserve</t>
        </r>
      </text>
    </comment>
    <comment ref="Z76" authorId="1" shapeId="0" xr:uid="{00000000-0006-0000-0B00-0000DD050000}">
      <text>
        <r>
          <rPr>
            <b/>
            <sz val="10"/>
            <color indexed="81"/>
            <rFont val="Tahoma"/>
            <family val="2"/>
          </rPr>
          <t>Data Entry Cell, Initial Replacement Reserve</t>
        </r>
      </text>
    </comment>
    <comment ref="AA76" authorId="1" shapeId="0" xr:uid="{00000000-0006-0000-0B00-0000DE050000}">
      <text>
        <r>
          <rPr>
            <b/>
            <sz val="10"/>
            <color indexed="81"/>
            <rFont val="Tahoma"/>
            <family val="2"/>
          </rPr>
          <t>Data Entry Cell, Initial Replacement Reserve</t>
        </r>
      </text>
    </comment>
    <comment ref="AB76" authorId="1" shapeId="0" xr:uid="{00000000-0006-0000-0B00-0000DF050000}">
      <text>
        <r>
          <rPr>
            <b/>
            <sz val="10"/>
            <color indexed="81"/>
            <rFont val="Tahoma"/>
            <family val="2"/>
          </rPr>
          <t>Data Entry Cell, Initial Replacement Reserve</t>
        </r>
      </text>
    </comment>
    <comment ref="AC76" authorId="1" shapeId="0" xr:uid="{00000000-0006-0000-0B00-0000E0050000}">
      <text>
        <r>
          <rPr>
            <b/>
            <sz val="10"/>
            <color indexed="81"/>
            <rFont val="Tahoma"/>
            <family val="2"/>
          </rPr>
          <t>Data Entry Cell, Initial Replacement Reserve</t>
        </r>
      </text>
    </comment>
    <comment ref="E77" authorId="1" shapeId="0" xr:uid="{00000000-0006-0000-0B00-0000E1050000}">
      <text>
        <r>
          <rPr>
            <b/>
            <sz val="10"/>
            <color indexed="81"/>
            <rFont val="Tahoma"/>
            <family val="2"/>
          </rPr>
          <t>Data Entry Cell, Other Initial Project Reserves Costs</t>
        </r>
      </text>
    </comment>
    <comment ref="F77" authorId="1" shapeId="0" xr:uid="{00000000-0006-0000-0B00-0000E2050000}">
      <text>
        <r>
          <rPr>
            <b/>
            <sz val="10"/>
            <color indexed="81"/>
            <rFont val="Tahoma"/>
            <family val="2"/>
          </rPr>
          <t>Data Entry Cell, Other Initial Project Reserves Costs</t>
        </r>
      </text>
    </comment>
    <comment ref="G77" authorId="1" shapeId="0" xr:uid="{00000000-0006-0000-0B00-0000E3050000}">
      <text>
        <r>
          <rPr>
            <b/>
            <sz val="10"/>
            <color indexed="81"/>
            <rFont val="Tahoma"/>
            <family val="2"/>
          </rPr>
          <t>Data Entry Cell, Other Initial Project Reserves Costs</t>
        </r>
      </text>
    </comment>
    <comment ref="H77" authorId="1" shapeId="0" xr:uid="{00000000-0006-0000-0B00-0000E4050000}">
      <text>
        <r>
          <rPr>
            <b/>
            <sz val="10"/>
            <color indexed="81"/>
            <rFont val="Tahoma"/>
            <family val="2"/>
          </rPr>
          <t>Data Entry Cell, Other Initial Project Reserves Costs</t>
        </r>
      </text>
    </comment>
    <comment ref="I77" authorId="1" shapeId="0" xr:uid="{00000000-0006-0000-0B00-0000E5050000}">
      <text>
        <r>
          <rPr>
            <b/>
            <sz val="10"/>
            <color indexed="81"/>
            <rFont val="Tahoma"/>
            <family val="2"/>
          </rPr>
          <t>Data Entry Cell, Other Initial Project Reserves Costs</t>
        </r>
      </text>
    </comment>
    <comment ref="J77" authorId="1" shapeId="0" xr:uid="{00000000-0006-0000-0B00-0000E6050000}">
      <text>
        <r>
          <rPr>
            <b/>
            <sz val="10"/>
            <color indexed="81"/>
            <rFont val="Tahoma"/>
            <family val="2"/>
          </rPr>
          <t>Data Entry Cell, Other Initial Project Reserves Costs</t>
        </r>
      </text>
    </comment>
    <comment ref="K77" authorId="1" shapeId="0" xr:uid="{00000000-0006-0000-0B00-0000E7050000}">
      <text>
        <r>
          <rPr>
            <b/>
            <sz val="10"/>
            <color indexed="81"/>
            <rFont val="Tahoma"/>
            <family val="2"/>
          </rPr>
          <t>Data Entry Cell, Other Initial Project Reserves Costs</t>
        </r>
      </text>
    </comment>
    <comment ref="L77" authorId="1" shapeId="0" xr:uid="{00000000-0006-0000-0B00-0000E8050000}">
      <text>
        <r>
          <rPr>
            <b/>
            <sz val="10"/>
            <color indexed="81"/>
            <rFont val="Tahoma"/>
            <family val="2"/>
          </rPr>
          <t>Data Entry Cell, Other Initial Project Reserves Costs</t>
        </r>
      </text>
    </comment>
    <comment ref="M77" authorId="1" shapeId="0" xr:uid="{00000000-0006-0000-0B00-0000E9050000}">
      <text>
        <r>
          <rPr>
            <b/>
            <sz val="10"/>
            <color indexed="81"/>
            <rFont val="Tahoma"/>
            <family val="2"/>
          </rPr>
          <t>Data Entry Cell, Other Initial Project Reserves Costs</t>
        </r>
      </text>
    </comment>
    <comment ref="N77" authorId="1" shapeId="0" xr:uid="{00000000-0006-0000-0B00-0000EA050000}">
      <text>
        <r>
          <rPr>
            <b/>
            <sz val="10"/>
            <color indexed="81"/>
            <rFont val="Tahoma"/>
            <family val="2"/>
          </rPr>
          <t>Data Entry Cell, Other Initial Project Reserves Costs</t>
        </r>
      </text>
    </comment>
    <comment ref="O77" authorId="1" shapeId="0" xr:uid="{00000000-0006-0000-0B00-0000EB050000}">
      <text>
        <r>
          <rPr>
            <b/>
            <sz val="10"/>
            <color indexed="81"/>
            <rFont val="Tahoma"/>
            <family val="2"/>
          </rPr>
          <t>Data Entry Cell, Other Initial Project Reserves Costs</t>
        </r>
      </text>
    </comment>
    <comment ref="P77" authorId="1" shapeId="0" xr:uid="{00000000-0006-0000-0B00-0000EC050000}">
      <text>
        <r>
          <rPr>
            <b/>
            <sz val="10"/>
            <color indexed="81"/>
            <rFont val="Tahoma"/>
            <family val="2"/>
          </rPr>
          <t>Data Entry Cell, Other Initial Project Reserves Costs</t>
        </r>
      </text>
    </comment>
    <comment ref="Q77" authorId="1" shapeId="0" xr:uid="{00000000-0006-0000-0B00-0000ED050000}">
      <text>
        <r>
          <rPr>
            <b/>
            <sz val="10"/>
            <color indexed="81"/>
            <rFont val="Tahoma"/>
            <family val="2"/>
          </rPr>
          <t>Data Entry Cell, Other Initial Project Reserves Costs</t>
        </r>
      </text>
    </comment>
    <comment ref="R77" authorId="1" shapeId="0" xr:uid="{00000000-0006-0000-0B00-0000EE050000}">
      <text>
        <r>
          <rPr>
            <b/>
            <sz val="10"/>
            <color indexed="81"/>
            <rFont val="Tahoma"/>
            <family val="2"/>
          </rPr>
          <t>Data Entry Cell, Other Initial Project Reserves Costs</t>
        </r>
      </text>
    </comment>
    <comment ref="S77" authorId="1" shapeId="0" xr:uid="{00000000-0006-0000-0B00-0000EF050000}">
      <text>
        <r>
          <rPr>
            <b/>
            <sz val="10"/>
            <color indexed="81"/>
            <rFont val="Tahoma"/>
            <family val="2"/>
          </rPr>
          <t>Data Entry Cell, Other Initial Project Reserves Costs</t>
        </r>
      </text>
    </comment>
    <comment ref="T77" authorId="1" shapeId="0" xr:uid="{00000000-0006-0000-0B00-0000F0050000}">
      <text>
        <r>
          <rPr>
            <b/>
            <sz val="10"/>
            <color indexed="81"/>
            <rFont val="Tahoma"/>
            <family val="2"/>
          </rPr>
          <t>Data Entry Cell, Other Initial Project Reserves Costs</t>
        </r>
      </text>
    </comment>
    <comment ref="U77" authorId="1" shapeId="0" xr:uid="{00000000-0006-0000-0B00-0000F1050000}">
      <text>
        <r>
          <rPr>
            <b/>
            <sz val="10"/>
            <color indexed="81"/>
            <rFont val="Tahoma"/>
            <family val="2"/>
          </rPr>
          <t>Data Entry Cell, Other Initial Project Reserves Costs</t>
        </r>
      </text>
    </comment>
    <comment ref="V77" authorId="1" shapeId="0" xr:uid="{00000000-0006-0000-0B00-0000F2050000}">
      <text>
        <r>
          <rPr>
            <b/>
            <sz val="10"/>
            <color indexed="81"/>
            <rFont val="Tahoma"/>
            <family val="2"/>
          </rPr>
          <t>Data Entry Cell, Other Initial Project Reserves Costs</t>
        </r>
      </text>
    </comment>
    <comment ref="W77" authorId="1" shapeId="0" xr:uid="{00000000-0006-0000-0B00-0000F3050000}">
      <text>
        <r>
          <rPr>
            <b/>
            <sz val="10"/>
            <color indexed="81"/>
            <rFont val="Tahoma"/>
            <family val="2"/>
          </rPr>
          <t>Data Entry Cell, Other Initial Project Reserves Costs</t>
        </r>
      </text>
    </comment>
    <comment ref="X77" authorId="1" shapeId="0" xr:uid="{00000000-0006-0000-0B00-0000F4050000}">
      <text>
        <r>
          <rPr>
            <b/>
            <sz val="10"/>
            <color indexed="81"/>
            <rFont val="Tahoma"/>
            <family val="2"/>
          </rPr>
          <t>Data Entry Cell, Other Initial Project Reserves Costs</t>
        </r>
      </text>
    </comment>
    <comment ref="Y77" authorId="1" shapeId="0" xr:uid="{00000000-0006-0000-0B00-0000F5050000}">
      <text>
        <r>
          <rPr>
            <b/>
            <sz val="10"/>
            <color indexed="81"/>
            <rFont val="Tahoma"/>
            <family val="2"/>
          </rPr>
          <t>Data Entry Cell, Other Initial Project Reserves Costs</t>
        </r>
      </text>
    </comment>
    <comment ref="Z77" authorId="1" shapeId="0" xr:uid="{00000000-0006-0000-0B00-0000F6050000}">
      <text>
        <r>
          <rPr>
            <b/>
            <sz val="10"/>
            <color indexed="81"/>
            <rFont val="Tahoma"/>
            <family val="2"/>
          </rPr>
          <t>Data Entry Cell, Other Initial Project Reserves Costs</t>
        </r>
      </text>
    </comment>
    <comment ref="AA77" authorId="1" shapeId="0" xr:uid="{00000000-0006-0000-0B00-0000F7050000}">
      <text>
        <r>
          <rPr>
            <b/>
            <sz val="10"/>
            <color indexed="81"/>
            <rFont val="Tahoma"/>
            <family val="2"/>
          </rPr>
          <t>Data Entry Cell, Other Initial Project Reserves Costs</t>
        </r>
      </text>
    </comment>
    <comment ref="AB77" authorId="1" shapeId="0" xr:uid="{00000000-0006-0000-0B00-0000F8050000}">
      <text>
        <r>
          <rPr>
            <b/>
            <sz val="10"/>
            <color indexed="81"/>
            <rFont val="Tahoma"/>
            <family val="2"/>
          </rPr>
          <t>Data Entry Cell, Other Initial Project Reserves Costs</t>
        </r>
      </text>
    </comment>
    <comment ref="AC77" authorId="1" shapeId="0" xr:uid="{00000000-0006-0000-0B00-0000F9050000}">
      <text>
        <r>
          <rPr>
            <b/>
            <sz val="10"/>
            <color indexed="81"/>
            <rFont val="Tahoma"/>
            <family val="2"/>
          </rPr>
          <t>Data Entry Cell, Other Initial Project Reserves Costs</t>
        </r>
      </text>
    </comment>
    <comment ref="E78" authorId="1" shapeId="0" xr:uid="{00000000-0006-0000-0B00-0000FA050000}">
      <text>
        <r>
          <rPr>
            <b/>
            <sz val="10"/>
            <color indexed="81"/>
            <rFont val="Tahoma"/>
            <family val="2"/>
          </rPr>
          <t>Data Entry Cell, Other Initial Project Reserves Costs</t>
        </r>
      </text>
    </comment>
    <comment ref="F78" authorId="1" shapeId="0" xr:uid="{00000000-0006-0000-0B00-0000FB050000}">
      <text>
        <r>
          <rPr>
            <b/>
            <sz val="10"/>
            <color indexed="81"/>
            <rFont val="Tahoma"/>
            <family val="2"/>
          </rPr>
          <t>Data Entry Cell, Other Initial Project Reserves Costs</t>
        </r>
      </text>
    </comment>
    <comment ref="G78" authorId="1" shapeId="0" xr:uid="{00000000-0006-0000-0B00-0000FC050000}">
      <text>
        <r>
          <rPr>
            <b/>
            <sz val="10"/>
            <color indexed="81"/>
            <rFont val="Tahoma"/>
            <family val="2"/>
          </rPr>
          <t>Data Entry Cell, Other Initial Project Reserves Costs</t>
        </r>
      </text>
    </comment>
    <comment ref="H78" authorId="1" shapeId="0" xr:uid="{00000000-0006-0000-0B00-0000FD050000}">
      <text>
        <r>
          <rPr>
            <b/>
            <sz val="10"/>
            <color indexed="81"/>
            <rFont val="Tahoma"/>
            <family val="2"/>
          </rPr>
          <t>Data Entry Cell, Other Initial Project Reserves Costs</t>
        </r>
      </text>
    </comment>
    <comment ref="I78" authorId="1" shapeId="0" xr:uid="{00000000-0006-0000-0B00-0000FE050000}">
      <text>
        <r>
          <rPr>
            <b/>
            <sz val="10"/>
            <color indexed="81"/>
            <rFont val="Tahoma"/>
            <family val="2"/>
          </rPr>
          <t>Data Entry Cell, Other Initial Project Reserves Costs</t>
        </r>
      </text>
    </comment>
    <comment ref="J78" authorId="1" shapeId="0" xr:uid="{00000000-0006-0000-0B00-0000FF050000}">
      <text>
        <r>
          <rPr>
            <b/>
            <sz val="10"/>
            <color indexed="81"/>
            <rFont val="Tahoma"/>
            <family val="2"/>
          </rPr>
          <t>Data Entry Cell, Other Initial Project Reserves Costs</t>
        </r>
      </text>
    </comment>
    <comment ref="K78" authorId="1" shapeId="0" xr:uid="{00000000-0006-0000-0B00-000000060000}">
      <text>
        <r>
          <rPr>
            <b/>
            <sz val="10"/>
            <color indexed="81"/>
            <rFont val="Tahoma"/>
            <family val="2"/>
          </rPr>
          <t>Data Entry Cell, Other Initial Project Reserves Costs</t>
        </r>
      </text>
    </comment>
    <comment ref="L78" authorId="1" shapeId="0" xr:uid="{00000000-0006-0000-0B00-000001060000}">
      <text>
        <r>
          <rPr>
            <b/>
            <sz val="10"/>
            <color indexed="81"/>
            <rFont val="Tahoma"/>
            <family val="2"/>
          </rPr>
          <t>Data Entry Cell, Other Initial Project Reserves Costs</t>
        </r>
      </text>
    </comment>
    <comment ref="M78" authorId="1" shapeId="0" xr:uid="{00000000-0006-0000-0B00-000002060000}">
      <text>
        <r>
          <rPr>
            <b/>
            <sz val="10"/>
            <color indexed="81"/>
            <rFont val="Tahoma"/>
            <family val="2"/>
          </rPr>
          <t>Data Entry Cell, Other Initial Project Reserves Costs</t>
        </r>
      </text>
    </comment>
    <comment ref="N78" authorId="1" shapeId="0" xr:uid="{00000000-0006-0000-0B00-000003060000}">
      <text>
        <r>
          <rPr>
            <b/>
            <sz val="10"/>
            <color indexed="81"/>
            <rFont val="Tahoma"/>
            <family val="2"/>
          </rPr>
          <t>Data Entry Cell, Other Initial Project Reserves Costs</t>
        </r>
      </text>
    </comment>
    <comment ref="O78" authorId="1" shapeId="0" xr:uid="{00000000-0006-0000-0B00-000004060000}">
      <text>
        <r>
          <rPr>
            <b/>
            <sz val="10"/>
            <color indexed="81"/>
            <rFont val="Tahoma"/>
            <family val="2"/>
          </rPr>
          <t>Data Entry Cell, Other Initial Project Reserves Costs</t>
        </r>
      </text>
    </comment>
    <comment ref="P78" authorId="1" shapeId="0" xr:uid="{00000000-0006-0000-0B00-000005060000}">
      <text>
        <r>
          <rPr>
            <b/>
            <sz val="10"/>
            <color indexed="81"/>
            <rFont val="Tahoma"/>
            <family val="2"/>
          </rPr>
          <t>Data Entry Cell, Other Initial Project Reserves Costs</t>
        </r>
      </text>
    </comment>
    <comment ref="Q78" authorId="1" shapeId="0" xr:uid="{00000000-0006-0000-0B00-000006060000}">
      <text>
        <r>
          <rPr>
            <b/>
            <sz val="10"/>
            <color indexed="81"/>
            <rFont val="Tahoma"/>
            <family val="2"/>
          </rPr>
          <t>Data Entry Cell, Other Initial Project Reserves Costs</t>
        </r>
      </text>
    </comment>
    <comment ref="R78" authorId="1" shapeId="0" xr:uid="{00000000-0006-0000-0B00-000007060000}">
      <text>
        <r>
          <rPr>
            <b/>
            <sz val="10"/>
            <color indexed="81"/>
            <rFont val="Tahoma"/>
            <family val="2"/>
          </rPr>
          <t>Data Entry Cell, Other Initial Project Reserves Costs</t>
        </r>
      </text>
    </comment>
    <comment ref="S78" authorId="1" shapeId="0" xr:uid="{00000000-0006-0000-0B00-000008060000}">
      <text>
        <r>
          <rPr>
            <b/>
            <sz val="10"/>
            <color indexed="81"/>
            <rFont val="Tahoma"/>
            <family val="2"/>
          </rPr>
          <t>Data Entry Cell, Other Initial Project Reserves Costs</t>
        </r>
      </text>
    </comment>
    <comment ref="T78" authorId="1" shapeId="0" xr:uid="{00000000-0006-0000-0B00-000009060000}">
      <text>
        <r>
          <rPr>
            <b/>
            <sz val="10"/>
            <color indexed="81"/>
            <rFont val="Tahoma"/>
            <family val="2"/>
          </rPr>
          <t>Data Entry Cell, Other Initial Project Reserves Costs</t>
        </r>
      </text>
    </comment>
    <comment ref="U78" authorId="1" shapeId="0" xr:uid="{00000000-0006-0000-0B00-00000A060000}">
      <text>
        <r>
          <rPr>
            <b/>
            <sz val="10"/>
            <color indexed="81"/>
            <rFont val="Tahoma"/>
            <family val="2"/>
          </rPr>
          <t>Data Entry Cell, Other Initial Project Reserves Costs</t>
        </r>
      </text>
    </comment>
    <comment ref="V78" authorId="1" shapeId="0" xr:uid="{00000000-0006-0000-0B00-00000B060000}">
      <text>
        <r>
          <rPr>
            <b/>
            <sz val="10"/>
            <color indexed="81"/>
            <rFont val="Tahoma"/>
            <family val="2"/>
          </rPr>
          <t>Data Entry Cell, Other Initial Project Reserves Costs</t>
        </r>
      </text>
    </comment>
    <comment ref="W78" authorId="1" shapeId="0" xr:uid="{00000000-0006-0000-0B00-00000C060000}">
      <text>
        <r>
          <rPr>
            <b/>
            <sz val="10"/>
            <color indexed="81"/>
            <rFont val="Tahoma"/>
            <family val="2"/>
          </rPr>
          <t>Data Entry Cell, Other Initial Project Reserves Costs</t>
        </r>
      </text>
    </comment>
    <comment ref="X78" authorId="1" shapeId="0" xr:uid="{00000000-0006-0000-0B00-00000D060000}">
      <text>
        <r>
          <rPr>
            <b/>
            <sz val="10"/>
            <color indexed="81"/>
            <rFont val="Tahoma"/>
            <family val="2"/>
          </rPr>
          <t>Data Entry Cell, Other Initial Project Reserves Costs</t>
        </r>
      </text>
    </comment>
    <comment ref="Y78" authorId="1" shapeId="0" xr:uid="{00000000-0006-0000-0B00-00000E060000}">
      <text>
        <r>
          <rPr>
            <b/>
            <sz val="10"/>
            <color indexed="81"/>
            <rFont val="Tahoma"/>
            <family val="2"/>
          </rPr>
          <t>Data Entry Cell, Other Initial Project Reserves Costs</t>
        </r>
      </text>
    </comment>
    <comment ref="Z78" authorId="1" shapeId="0" xr:uid="{00000000-0006-0000-0B00-00000F060000}">
      <text>
        <r>
          <rPr>
            <b/>
            <sz val="10"/>
            <color indexed="81"/>
            <rFont val="Tahoma"/>
            <family val="2"/>
          </rPr>
          <t>Data Entry Cell, Other Initial Project Reserves Costs</t>
        </r>
      </text>
    </comment>
    <comment ref="AA78" authorId="1" shapeId="0" xr:uid="{00000000-0006-0000-0B00-000010060000}">
      <text>
        <r>
          <rPr>
            <b/>
            <sz val="10"/>
            <color indexed="81"/>
            <rFont val="Tahoma"/>
            <family val="2"/>
          </rPr>
          <t>Data Entry Cell, Other Initial Project Reserves Costs</t>
        </r>
      </text>
    </comment>
    <comment ref="AB78" authorId="1" shapeId="0" xr:uid="{00000000-0006-0000-0B00-000011060000}">
      <text>
        <r>
          <rPr>
            <b/>
            <sz val="10"/>
            <color indexed="81"/>
            <rFont val="Tahoma"/>
            <family val="2"/>
          </rPr>
          <t>Data Entry Cell, Other Initial Project Reserves Costs</t>
        </r>
      </text>
    </comment>
    <comment ref="AC78" authorId="1" shapeId="0" xr:uid="{00000000-0006-0000-0B00-000012060000}">
      <text>
        <r>
          <rPr>
            <b/>
            <sz val="10"/>
            <color indexed="81"/>
            <rFont val="Tahoma"/>
            <family val="2"/>
          </rPr>
          <t>Data Entry Cell, Other Initial Project Reserves Costs</t>
        </r>
      </text>
    </comment>
    <comment ref="E80" authorId="1" shapeId="0" xr:uid="{00000000-0006-0000-0B00-000013060000}">
      <text>
        <r>
          <rPr>
            <b/>
            <sz val="10"/>
            <color indexed="81"/>
            <rFont val="Tahoma"/>
            <family val="2"/>
          </rPr>
          <t>Data Entry Cell, Marketing/
Management Cost</t>
        </r>
      </text>
    </comment>
    <comment ref="F80" authorId="1" shapeId="0" xr:uid="{00000000-0006-0000-0B00-000014060000}">
      <text>
        <r>
          <rPr>
            <b/>
            <sz val="10"/>
            <color indexed="81"/>
            <rFont val="Tahoma"/>
            <family val="2"/>
          </rPr>
          <t>Data Entry Cell, Marketing/
Management Cost</t>
        </r>
      </text>
    </comment>
    <comment ref="G80" authorId="1" shapeId="0" xr:uid="{00000000-0006-0000-0B00-000015060000}">
      <text>
        <r>
          <rPr>
            <b/>
            <sz val="10"/>
            <color indexed="81"/>
            <rFont val="Tahoma"/>
            <family val="2"/>
          </rPr>
          <t>Data Entry Cell, Marketing/
Management Cost</t>
        </r>
      </text>
    </comment>
    <comment ref="H80" authorId="1" shapeId="0" xr:uid="{00000000-0006-0000-0B00-000016060000}">
      <text>
        <r>
          <rPr>
            <b/>
            <sz val="10"/>
            <color indexed="81"/>
            <rFont val="Tahoma"/>
            <family val="2"/>
          </rPr>
          <t>Data Entry Cell, Marketing/
Management Cost</t>
        </r>
      </text>
    </comment>
    <comment ref="I80" authorId="1" shapeId="0" xr:uid="{00000000-0006-0000-0B00-000017060000}">
      <text>
        <r>
          <rPr>
            <b/>
            <sz val="10"/>
            <color indexed="81"/>
            <rFont val="Tahoma"/>
            <family val="2"/>
          </rPr>
          <t>Data Entry Cell, Marketing/
Management Cost</t>
        </r>
      </text>
    </comment>
    <comment ref="J80" authorId="1" shapeId="0" xr:uid="{00000000-0006-0000-0B00-000018060000}">
      <text>
        <r>
          <rPr>
            <b/>
            <sz val="10"/>
            <color indexed="81"/>
            <rFont val="Tahoma"/>
            <family val="2"/>
          </rPr>
          <t>Data Entry Cell, Marketing/
Management Cost</t>
        </r>
      </text>
    </comment>
    <comment ref="K80" authorId="1" shapeId="0" xr:uid="{00000000-0006-0000-0B00-000019060000}">
      <text>
        <r>
          <rPr>
            <b/>
            <sz val="10"/>
            <color indexed="81"/>
            <rFont val="Tahoma"/>
            <family val="2"/>
          </rPr>
          <t>Data Entry Cell, Marketing/
Management Cost</t>
        </r>
      </text>
    </comment>
    <comment ref="L80" authorId="1" shapeId="0" xr:uid="{00000000-0006-0000-0B00-00001A060000}">
      <text>
        <r>
          <rPr>
            <b/>
            <sz val="10"/>
            <color indexed="81"/>
            <rFont val="Tahoma"/>
            <family val="2"/>
          </rPr>
          <t>Data Entry Cell, Marketing/
Management Cost</t>
        </r>
      </text>
    </comment>
    <comment ref="M80" authorId="1" shapeId="0" xr:uid="{00000000-0006-0000-0B00-00001B060000}">
      <text>
        <r>
          <rPr>
            <b/>
            <sz val="10"/>
            <color indexed="81"/>
            <rFont val="Tahoma"/>
            <family val="2"/>
          </rPr>
          <t>Data Entry Cell, Marketing/
Management Cost</t>
        </r>
      </text>
    </comment>
    <comment ref="N80" authorId="1" shapeId="0" xr:uid="{00000000-0006-0000-0B00-00001C060000}">
      <text>
        <r>
          <rPr>
            <b/>
            <sz val="10"/>
            <color indexed="81"/>
            <rFont val="Tahoma"/>
            <family val="2"/>
          </rPr>
          <t>Data Entry Cell, Marketing/
Management Cost</t>
        </r>
      </text>
    </comment>
    <comment ref="O80" authorId="1" shapeId="0" xr:uid="{00000000-0006-0000-0B00-00001D060000}">
      <text>
        <r>
          <rPr>
            <b/>
            <sz val="10"/>
            <color indexed="81"/>
            <rFont val="Tahoma"/>
            <family val="2"/>
          </rPr>
          <t>Data Entry Cell, Marketing/
Management Cost</t>
        </r>
      </text>
    </comment>
    <comment ref="P80" authorId="1" shapeId="0" xr:uid="{00000000-0006-0000-0B00-00001E060000}">
      <text>
        <r>
          <rPr>
            <b/>
            <sz val="10"/>
            <color indexed="81"/>
            <rFont val="Tahoma"/>
            <family val="2"/>
          </rPr>
          <t>Data Entry Cell, Marketing/
Management Cost</t>
        </r>
      </text>
    </comment>
    <comment ref="Q80" authorId="1" shapeId="0" xr:uid="{00000000-0006-0000-0B00-00001F060000}">
      <text>
        <r>
          <rPr>
            <b/>
            <sz val="10"/>
            <color indexed="81"/>
            <rFont val="Tahoma"/>
            <family val="2"/>
          </rPr>
          <t>Data Entry Cell, Marketing/
Management Cost</t>
        </r>
      </text>
    </comment>
    <comment ref="R80" authorId="1" shapeId="0" xr:uid="{00000000-0006-0000-0B00-000020060000}">
      <text>
        <r>
          <rPr>
            <b/>
            <sz val="10"/>
            <color indexed="81"/>
            <rFont val="Tahoma"/>
            <family val="2"/>
          </rPr>
          <t>Data Entry Cell, Marketing/
Management Cost</t>
        </r>
      </text>
    </comment>
    <comment ref="S80" authorId="1" shapeId="0" xr:uid="{00000000-0006-0000-0B00-000021060000}">
      <text>
        <r>
          <rPr>
            <b/>
            <sz val="10"/>
            <color indexed="81"/>
            <rFont val="Tahoma"/>
            <family val="2"/>
          </rPr>
          <t>Data Entry Cell, Marketing/
Management Cost</t>
        </r>
      </text>
    </comment>
    <comment ref="T80" authorId="1" shapeId="0" xr:uid="{00000000-0006-0000-0B00-000022060000}">
      <text>
        <r>
          <rPr>
            <b/>
            <sz val="10"/>
            <color indexed="81"/>
            <rFont val="Tahoma"/>
            <family val="2"/>
          </rPr>
          <t>Data Entry Cell, Marketing/
Management Cost</t>
        </r>
      </text>
    </comment>
    <comment ref="U80" authorId="1" shapeId="0" xr:uid="{00000000-0006-0000-0B00-000023060000}">
      <text>
        <r>
          <rPr>
            <b/>
            <sz val="10"/>
            <color indexed="81"/>
            <rFont val="Tahoma"/>
            <family val="2"/>
          </rPr>
          <t>Data Entry Cell, Marketing/
Management Cost</t>
        </r>
      </text>
    </comment>
    <comment ref="V80" authorId="1" shapeId="0" xr:uid="{00000000-0006-0000-0B00-000024060000}">
      <text>
        <r>
          <rPr>
            <b/>
            <sz val="10"/>
            <color indexed="81"/>
            <rFont val="Tahoma"/>
            <family val="2"/>
          </rPr>
          <t>Data Entry Cell, Marketing/
Management Cost</t>
        </r>
      </text>
    </comment>
    <comment ref="W80" authorId="1" shapeId="0" xr:uid="{00000000-0006-0000-0B00-000025060000}">
      <text>
        <r>
          <rPr>
            <b/>
            <sz val="10"/>
            <color indexed="81"/>
            <rFont val="Tahoma"/>
            <family val="2"/>
          </rPr>
          <t>Data Entry Cell, Marketing/
Management Cost</t>
        </r>
      </text>
    </comment>
    <comment ref="X80" authorId="1" shapeId="0" xr:uid="{00000000-0006-0000-0B00-000026060000}">
      <text>
        <r>
          <rPr>
            <b/>
            <sz val="10"/>
            <color indexed="81"/>
            <rFont val="Tahoma"/>
            <family val="2"/>
          </rPr>
          <t>Data Entry Cell, Marketing/
Management Cost</t>
        </r>
      </text>
    </comment>
    <comment ref="Y80" authorId="1" shapeId="0" xr:uid="{00000000-0006-0000-0B00-000027060000}">
      <text>
        <r>
          <rPr>
            <b/>
            <sz val="10"/>
            <color indexed="81"/>
            <rFont val="Tahoma"/>
            <family val="2"/>
          </rPr>
          <t>Data Entry Cell, Marketing/
Management Cost</t>
        </r>
      </text>
    </comment>
    <comment ref="Z80" authorId="1" shapeId="0" xr:uid="{00000000-0006-0000-0B00-000028060000}">
      <text>
        <r>
          <rPr>
            <b/>
            <sz val="10"/>
            <color indexed="81"/>
            <rFont val="Tahoma"/>
            <family val="2"/>
          </rPr>
          <t>Data Entry Cell, Marketing/
Management Cost</t>
        </r>
      </text>
    </comment>
    <comment ref="AA80" authorId="1" shapeId="0" xr:uid="{00000000-0006-0000-0B00-000029060000}">
      <text>
        <r>
          <rPr>
            <b/>
            <sz val="10"/>
            <color indexed="81"/>
            <rFont val="Tahoma"/>
            <family val="2"/>
          </rPr>
          <t>Data Entry Cell, Marketing/
Management Cost</t>
        </r>
      </text>
    </comment>
    <comment ref="AB80" authorId="1" shapeId="0" xr:uid="{00000000-0006-0000-0B00-00002A060000}">
      <text>
        <r>
          <rPr>
            <b/>
            <sz val="10"/>
            <color indexed="81"/>
            <rFont val="Tahoma"/>
            <family val="2"/>
          </rPr>
          <t>Data Entry Cell, Marketing/
Management Cost</t>
        </r>
      </text>
    </comment>
    <comment ref="AC80" authorId="1" shapeId="0" xr:uid="{00000000-0006-0000-0B00-00002B060000}">
      <text>
        <r>
          <rPr>
            <b/>
            <sz val="10"/>
            <color indexed="81"/>
            <rFont val="Tahoma"/>
            <family val="2"/>
          </rPr>
          <t>Data Entry Cell, Marketing/
Management Cost</t>
        </r>
      </text>
    </comment>
    <comment ref="E81" authorId="1" shapeId="0" xr:uid="{00000000-0006-0000-0B00-00002C060000}">
      <text>
        <r>
          <rPr>
            <b/>
            <sz val="10"/>
            <color indexed="81"/>
            <rFont val="Tahoma"/>
            <family val="2"/>
          </rPr>
          <t>Data Entry Cell, Operating Expenses</t>
        </r>
      </text>
    </comment>
    <comment ref="F81" authorId="1" shapeId="0" xr:uid="{00000000-0006-0000-0B00-00002D060000}">
      <text>
        <r>
          <rPr>
            <b/>
            <sz val="10"/>
            <color indexed="81"/>
            <rFont val="Tahoma"/>
            <family val="2"/>
          </rPr>
          <t>Data Entry Cell, Operating Expenses</t>
        </r>
      </text>
    </comment>
    <comment ref="G81" authorId="1" shapeId="0" xr:uid="{00000000-0006-0000-0B00-00002E060000}">
      <text>
        <r>
          <rPr>
            <b/>
            <sz val="10"/>
            <color indexed="81"/>
            <rFont val="Tahoma"/>
            <family val="2"/>
          </rPr>
          <t>Data Entry Cell, Operating Expenses</t>
        </r>
      </text>
    </comment>
    <comment ref="H81" authorId="1" shapeId="0" xr:uid="{00000000-0006-0000-0B00-00002F060000}">
      <text>
        <r>
          <rPr>
            <b/>
            <sz val="10"/>
            <color indexed="81"/>
            <rFont val="Tahoma"/>
            <family val="2"/>
          </rPr>
          <t>Data Entry Cell, Operating Expenses</t>
        </r>
      </text>
    </comment>
    <comment ref="I81" authorId="1" shapeId="0" xr:uid="{00000000-0006-0000-0B00-000030060000}">
      <text>
        <r>
          <rPr>
            <b/>
            <sz val="10"/>
            <color indexed="81"/>
            <rFont val="Tahoma"/>
            <family val="2"/>
          </rPr>
          <t>Data Entry Cell, Operating Expenses</t>
        </r>
      </text>
    </comment>
    <comment ref="J81" authorId="1" shapeId="0" xr:uid="{00000000-0006-0000-0B00-000031060000}">
      <text>
        <r>
          <rPr>
            <b/>
            <sz val="10"/>
            <color indexed="81"/>
            <rFont val="Tahoma"/>
            <family val="2"/>
          </rPr>
          <t>Data Entry Cell, Operating Expenses</t>
        </r>
      </text>
    </comment>
    <comment ref="K81" authorId="1" shapeId="0" xr:uid="{00000000-0006-0000-0B00-000032060000}">
      <text>
        <r>
          <rPr>
            <b/>
            <sz val="10"/>
            <color indexed="81"/>
            <rFont val="Tahoma"/>
            <family val="2"/>
          </rPr>
          <t>Data Entry Cell, Operating Expenses</t>
        </r>
      </text>
    </comment>
    <comment ref="L81" authorId="1" shapeId="0" xr:uid="{00000000-0006-0000-0B00-000033060000}">
      <text>
        <r>
          <rPr>
            <b/>
            <sz val="10"/>
            <color indexed="81"/>
            <rFont val="Tahoma"/>
            <family val="2"/>
          </rPr>
          <t>Data Entry Cell, Operating Expenses</t>
        </r>
      </text>
    </comment>
    <comment ref="M81" authorId="1" shapeId="0" xr:uid="{00000000-0006-0000-0B00-000034060000}">
      <text>
        <r>
          <rPr>
            <b/>
            <sz val="10"/>
            <color indexed="81"/>
            <rFont val="Tahoma"/>
            <family val="2"/>
          </rPr>
          <t>Data Entry Cell, Operating Expenses</t>
        </r>
      </text>
    </comment>
    <comment ref="N81" authorId="1" shapeId="0" xr:uid="{00000000-0006-0000-0B00-000035060000}">
      <text>
        <r>
          <rPr>
            <b/>
            <sz val="10"/>
            <color indexed="81"/>
            <rFont val="Tahoma"/>
            <family val="2"/>
          </rPr>
          <t>Data Entry Cell, Operating Expenses</t>
        </r>
      </text>
    </comment>
    <comment ref="O81" authorId="1" shapeId="0" xr:uid="{00000000-0006-0000-0B00-000036060000}">
      <text>
        <r>
          <rPr>
            <b/>
            <sz val="10"/>
            <color indexed="81"/>
            <rFont val="Tahoma"/>
            <family val="2"/>
          </rPr>
          <t>Data Entry Cell, Operating Expenses</t>
        </r>
      </text>
    </comment>
    <comment ref="P81" authorId="1" shapeId="0" xr:uid="{00000000-0006-0000-0B00-000037060000}">
      <text>
        <r>
          <rPr>
            <b/>
            <sz val="10"/>
            <color indexed="81"/>
            <rFont val="Tahoma"/>
            <family val="2"/>
          </rPr>
          <t>Data Entry Cell, Operating Expenses</t>
        </r>
      </text>
    </comment>
    <comment ref="Q81" authorId="1" shapeId="0" xr:uid="{00000000-0006-0000-0B00-000038060000}">
      <text>
        <r>
          <rPr>
            <b/>
            <sz val="10"/>
            <color indexed="81"/>
            <rFont val="Tahoma"/>
            <family val="2"/>
          </rPr>
          <t>Data Entry Cell, Operating Expenses</t>
        </r>
      </text>
    </comment>
    <comment ref="R81" authorId="1" shapeId="0" xr:uid="{00000000-0006-0000-0B00-000039060000}">
      <text>
        <r>
          <rPr>
            <b/>
            <sz val="10"/>
            <color indexed="81"/>
            <rFont val="Tahoma"/>
            <family val="2"/>
          </rPr>
          <t>Data Entry Cell, Operating Expenses</t>
        </r>
      </text>
    </comment>
    <comment ref="S81" authorId="1" shapeId="0" xr:uid="{00000000-0006-0000-0B00-00003A060000}">
      <text>
        <r>
          <rPr>
            <b/>
            <sz val="10"/>
            <color indexed="81"/>
            <rFont val="Tahoma"/>
            <family val="2"/>
          </rPr>
          <t>Data Entry Cell, Operating Expenses</t>
        </r>
      </text>
    </comment>
    <comment ref="T81" authorId="1" shapeId="0" xr:uid="{00000000-0006-0000-0B00-00003B060000}">
      <text>
        <r>
          <rPr>
            <b/>
            <sz val="10"/>
            <color indexed="81"/>
            <rFont val="Tahoma"/>
            <family val="2"/>
          </rPr>
          <t>Data Entry Cell, Operating Expenses</t>
        </r>
      </text>
    </comment>
    <comment ref="U81" authorId="1" shapeId="0" xr:uid="{00000000-0006-0000-0B00-00003C060000}">
      <text>
        <r>
          <rPr>
            <b/>
            <sz val="10"/>
            <color indexed="81"/>
            <rFont val="Tahoma"/>
            <family val="2"/>
          </rPr>
          <t>Data Entry Cell, Operating Expenses</t>
        </r>
      </text>
    </comment>
    <comment ref="V81" authorId="1" shapeId="0" xr:uid="{00000000-0006-0000-0B00-00003D060000}">
      <text>
        <r>
          <rPr>
            <b/>
            <sz val="10"/>
            <color indexed="81"/>
            <rFont val="Tahoma"/>
            <family val="2"/>
          </rPr>
          <t>Data Entry Cell, Operating Expenses</t>
        </r>
      </text>
    </comment>
    <comment ref="W81" authorId="1" shapeId="0" xr:uid="{00000000-0006-0000-0B00-00003E060000}">
      <text>
        <r>
          <rPr>
            <b/>
            <sz val="10"/>
            <color indexed="81"/>
            <rFont val="Tahoma"/>
            <family val="2"/>
          </rPr>
          <t>Data Entry Cell, Operating Expenses</t>
        </r>
      </text>
    </comment>
    <comment ref="X81" authorId="1" shapeId="0" xr:uid="{00000000-0006-0000-0B00-00003F060000}">
      <text>
        <r>
          <rPr>
            <b/>
            <sz val="10"/>
            <color indexed="81"/>
            <rFont val="Tahoma"/>
            <family val="2"/>
          </rPr>
          <t>Data Entry Cell, Operating Expenses</t>
        </r>
      </text>
    </comment>
    <comment ref="Y81" authorId="1" shapeId="0" xr:uid="{00000000-0006-0000-0B00-000040060000}">
      <text>
        <r>
          <rPr>
            <b/>
            <sz val="10"/>
            <color indexed="81"/>
            <rFont val="Tahoma"/>
            <family val="2"/>
          </rPr>
          <t>Data Entry Cell, Operating Expenses</t>
        </r>
      </text>
    </comment>
    <comment ref="Z81" authorId="1" shapeId="0" xr:uid="{00000000-0006-0000-0B00-000041060000}">
      <text>
        <r>
          <rPr>
            <b/>
            <sz val="10"/>
            <color indexed="81"/>
            <rFont val="Tahoma"/>
            <family val="2"/>
          </rPr>
          <t>Data Entry Cell, Operating Expenses</t>
        </r>
      </text>
    </comment>
    <comment ref="AA81" authorId="1" shapeId="0" xr:uid="{00000000-0006-0000-0B00-000042060000}">
      <text>
        <r>
          <rPr>
            <b/>
            <sz val="10"/>
            <color indexed="81"/>
            <rFont val="Tahoma"/>
            <family val="2"/>
          </rPr>
          <t>Data Entry Cell, Operating Expenses</t>
        </r>
      </text>
    </comment>
    <comment ref="AB81" authorId="1" shapeId="0" xr:uid="{00000000-0006-0000-0B00-000043060000}">
      <text>
        <r>
          <rPr>
            <b/>
            <sz val="10"/>
            <color indexed="81"/>
            <rFont val="Tahoma"/>
            <family val="2"/>
          </rPr>
          <t>Data Entry Cell, Operating Expenses</t>
        </r>
      </text>
    </comment>
    <comment ref="AC81" authorId="1" shapeId="0" xr:uid="{00000000-0006-0000-0B00-000044060000}">
      <text>
        <r>
          <rPr>
            <b/>
            <sz val="10"/>
            <color indexed="81"/>
            <rFont val="Tahoma"/>
            <family val="2"/>
          </rPr>
          <t>Data Entry Cell, Operating Expenses</t>
        </r>
      </text>
    </comment>
    <comment ref="E82" authorId="1" shapeId="0" xr:uid="{00000000-0006-0000-0B00-000045060000}">
      <text>
        <r>
          <rPr>
            <b/>
            <sz val="10"/>
            <color indexed="81"/>
            <rFont val="Tahoma"/>
            <family val="2"/>
          </rPr>
          <t>Data Entry Cell, Funiture, Fixtures &amp; Equipment Costs</t>
        </r>
      </text>
    </comment>
    <comment ref="F82" authorId="1" shapeId="0" xr:uid="{00000000-0006-0000-0B00-000046060000}">
      <text>
        <r>
          <rPr>
            <b/>
            <sz val="10"/>
            <color indexed="81"/>
            <rFont val="Tahoma"/>
            <family val="2"/>
          </rPr>
          <t>Data Entry Cell, Funiture, Fixtures &amp; Equipment Costs</t>
        </r>
      </text>
    </comment>
    <comment ref="G82" authorId="1" shapeId="0" xr:uid="{00000000-0006-0000-0B00-000047060000}">
      <text>
        <r>
          <rPr>
            <b/>
            <sz val="10"/>
            <color indexed="81"/>
            <rFont val="Tahoma"/>
            <family val="2"/>
          </rPr>
          <t>Data Entry Cell, Funiture, Fixtures &amp; Equipment Costs</t>
        </r>
      </text>
    </comment>
    <comment ref="H82" authorId="1" shapeId="0" xr:uid="{00000000-0006-0000-0B00-000048060000}">
      <text>
        <r>
          <rPr>
            <b/>
            <sz val="10"/>
            <color indexed="81"/>
            <rFont val="Tahoma"/>
            <family val="2"/>
          </rPr>
          <t>Data Entry Cell, Funiture, Fixtures &amp; Equipment Costs</t>
        </r>
      </text>
    </comment>
    <comment ref="I82" authorId="1" shapeId="0" xr:uid="{00000000-0006-0000-0B00-000049060000}">
      <text>
        <r>
          <rPr>
            <b/>
            <sz val="10"/>
            <color indexed="81"/>
            <rFont val="Tahoma"/>
            <family val="2"/>
          </rPr>
          <t>Data Entry Cell, Funiture, Fixtures &amp; Equipment Costs</t>
        </r>
      </text>
    </comment>
    <comment ref="J82" authorId="1" shapeId="0" xr:uid="{00000000-0006-0000-0B00-00004A060000}">
      <text>
        <r>
          <rPr>
            <b/>
            <sz val="10"/>
            <color indexed="81"/>
            <rFont val="Tahoma"/>
            <family val="2"/>
          </rPr>
          <t>Data Entry Cell, Funiture, Fixtures &amp; Equipment Costs</t>
        </r>
      </text>
    </comment>
    <comment ref="K82" authorId="1" shapeId="0" xr:uid="{00000000-0006-0000-0B00-00004B060000}">
      <text>
        <r>
          <rPr>
            <b/>
            <sz val="10"/>
            <color indexed="81"/>
            <rFont val="Tahoma"/>
            <family val="2"/>
          </rPr>
          <t>Data Entry Cell, Funiture, Fixtures &amp; Equipment Costs</t>
        </r>
      </text>
    </comment>
    <comment ref="L82" authorId="1" shapeId="0" xr:uid="{00000000-0006-0000-0B00-00004C060000}">
      <text>
        <r>
          <rPr>
            <b/>
            <sz val="10"/>
            <color indexed="81"/>
            <rFont val="Tahoma"/>
            <family val="2"/>
          </rPr>
          <t>Data Entry Cell, Funiture, Fixtures &amp; Equipment Costs</t>
        </r>
      </text>
    </comment>
    <comment ref="M82" authorId="1" shapeId="0" xr:uid="{00000000-0006-0000-0B00-00004D060000}">
      <text>
        <r>
          <rPr>
            <b/>
            <sz val="10"/>
            <color indexed="81"/>
            <rFont val="Tahoma"/>
            <family val="2"/>
          </rPr>
          <t>Data Entry Cell, Funiture, Fixtures &amp; Equipment Costs</t>
        </r>
      </text>
    </comment>
    <comment ref="N82" authorId="1" shapeId="0" xr:uid="{00000000-0006-0000-0B00-00004E060000}">
      <text>
        <r>
          <rPr>
            <b/>
            <sz val="10"/>
            <color indexed="81"/>
            <rFont val="Tahoma"/>
            <family val="2"/>
          </rPr>
          <t>Data Entry Cell, Funiture, Fixtures &amp; Equipment Costs</t>
        </r>
      </text>
    </comment>
    <comment ref="O82" authorId="1" shapeId="0" xr:uid="{00000000-0006-0000-0B00-00004F060000}">
      <text>
        <r>
          <rPr>
            <b/>
            <sz val="10"/>
            <color indexed="81"/>
            <rFont val="Tahoma"/>
            <family val="2"/>
          </rPr>
          <t>Data Entry Cell, Funiture, Fixtures &amp; Equipment Costs</t>
        </r>
      </text>
    </comment>
    <comment ref="P82" authorId="1" shapeId="0" xr:uid="{00000000-0006-0000-0B00-000050060000}">
      <text>
        <r>
          <rPr>
            <b/>
            <sz val="10"/>
            <color indexed="81"/>
            <rFont val="Tahoma"/>
            <family val="2"/>
          </rPr>
          <t>Data Entry Cell, Funiture, Fixtures &amp; Equipment Costs</t>
        </r>
      </text>
    </comment>
    <comment ref="Q82" authorId="1" shapeId="0" xr:uid="{00000000-0006-0000-0B00-000051060000}">
      <text>
        <r>
          <rPr>
            <b/>
            <sz val="10"/>
            <color indexed="81"/>
            <rFont val="Tahoma"/>
            <family val="2"/>
          </rPr>
          <t>Data Entry Cell, Funiture, Fixtures &amp; Equipment Costs</t>
        </r>
      </text>
    </comment>
    <comment ref="R82" authorId="1" shapeId="0" xr:uid="{00000000-0006-0000-0B00-000052060000}">
      <text>
        <r>
          <rPr>
            <b/>
            <sz val="10"/>
            <color indexed="81"/>
            <rFont val="Tahoma"/>
            <family val="2"/>
          </rPr>
          <t>Data Entry Cell, Funiture, Fixtures &amp; Equipment Costs</t>
        </r>
      </text>
    </comment>
    <comment ref="S82" authorId="1" shapeId="0" xr:uid="{00000000-0006-0000-0B00-000053060000}">
      <text>
        <r>
          <rPr>
            <b/>
            <sz val="10"/>
            <color indexed="81"/>
            <rFont val="Tahoma"/>
            <family val="2"/>
          </rPr>
          <t>Data Entry Cell, Funiture, Fixtures &amp; Equipment Costs</t>
        </r>
      </text>
    </comment>
    <comment ref="T82" authorId="1" shapeId="0" xr:uid="{00000000-0006-0000-0B00-000054060000}">
      <text>
        <r>
          <rPr>
            <b/>
            <sz val="10"/>
            <color indexed="81"/>
            <rFont val="Tahoma"/>
            <family val="2"/>
          </rPr>
          <t>Data Entry Cell, Funiture, Fixtures &amp; Equipment Costs</t>
        </r>
      </text>
    </comment>
    <comment ref="U82" authorId="1" shapeId="0" xr:uid="{00000000-0006-0000-0B00-000055060000}">
      <text>
        <r>
          <rPr>
            <b/>
            <sz val="10"/>
            <color indexed="81"/>
            <rFont val="Tahoma"/>
            <family val="2"/>
          </rPr>
          <t>Data Entry Cell, Funiture, Fixtures &amp; Equipment Costs</t>
        </r>
      </text>
    </comment>
    <comment ref="V82" authorId="1" shapeId="0" xr:uid="{00000000-0006-0000-0B00-000056060000}">
      <text>
        <r>
          <rPr>
            <b/>
            <sz val="10"/>
            <color indexed="81"/>
            <rFont val="Tahoma"/>
            <family val="2"/>
          </rPr>
          <t>Data Entry Cell, Funiture, Fixtures &amp; Equipment Costs</t>
        </r>
      </text>
    </comment>
    <comment ref="W82" authorId="1" shapeId="0" xr:uid="{00000000-0006-0000-0B00-000057060000}">
      <text>
        <r>
          <rPr>
            <b/>
            <sz val="10"/>
            <color indexed="81"/>
            <rFont val="Tahoma"/>
            <family val="2"/>
          </rPr>
          <t>Data Entry Cell, Funiture, Fixtures &amp; Equipment Costs</t>
        </r>
      </text>
    </comment>
    <comment ref="X82" authorId="1" shapeId="0" xr:uid="{00000000-0006-0000-0B00-000058060000}">
      <text>
        <r>
          <rPr>
            <b/>
            <sz val="10"/>
            <color indexed="81"/>
            <rFont val="Tahoma"/>
            <family val="2"/>
          </rPr>
          <t>Data Entry Cell, Funiture, Fixtures &amp; Equipment Costs</t>
        </r>
      </text>
    </comment>
    <comment ref="Y82" authorId="1" shapeId="0" xr:uid="{00000000-0006-0000-0B00-000059060000}">
      <text>
        <r>
          <rPr>
            <b/>
            <sz val="10"/>
            <color indexed="81"/>
            <rFont val="Tahoma"/>
            <family val="2"/>
          </rPr>
          <t>Data Entry Cell, Funiture, Fixtures &amp; Equipment Costs</t>
        </r>
      </text>
    </comment>
    <comment ref="Z82" authorId="1" shapeId="0" xr:uid="{00000000-0006-0000-0B00-00005A060000}">
      <text>
        <r>
          <rPr>
            <b/>
            <sz val="10"/>
            <color indexed="81"/>
            <rFont val="Tahoma"/>
            <family val="2"/>
          </rPr>
          <t>Data Entry Cell, Funiture, Fixtures &amp; Equipment Costs</t>
        </r>
      </text>
    </comment>
    <comment ref="AA82" authorId="1" shapeId="0" xr:uid="{00000000-0006-0000-0B00-00005B060000}">
      <text>
        <r>
          <rPr>
            <b/>
            <sz val="10"/>
            <color indexed="81"/>
            <rFont val="Tahoma"/>
            <family val="2"/>
          </rPr>
          <t>Data Entry Cell, Funiture, Fixtures &amp; Equipment Costs</t>
        </r>
      </text>
    </comment>
    <comment ref="AB82" authorId="1" shapeId="0" xr:uid="{00000000-0006-0000-0B00-00005C060000}">
      <text>
        <r>
          <rPr>
            <b/>
            <sz val="10"/>
            <color indexed="81"/>
            <rFont val="Tahoma"/>
            <family val="2"/>
          </rPr>
          <t>Data Entry Cell, Funiture, Fixtures &amp; Equipment Costs</t>
        </r>
      </text>
    </comment>
    <comment ref="AC82" authorId="1" shapeId="0" xr:uid="{00000000-0006-0000-0B00-00005D060000}">
      <text>
        <r>
          <rPr>
            <b/>
            <sz val="10"/>
            <color indexed="81"/>
            <rFont val="Tahoma"/>
            <family val="2"/>
          </rPr>
          <t>Data Entry Cell, Funiture, Fixtures &amp; Equipment Costs</t>
        </r>
      </text>
    </comment>
    <comment ref="E83" authorId="1" shapeId="0" xr:uid="{00000000-0006-0000-0B00-00005E060000}">
      <text>
        <r>
          <rPr>
            <b/>
            <sz val="10"/>
            <color indexed="81"/>
            <rFont val="Tahoma"/>
            <family val="2"/>
          </rPr>
          <t>Data Entry Cell, Tenant Relocation Costs</t>
        </r>
      </text>
    </comment>
    <comment ref="F83" authorId="1" shapeId="0" xr:uid="{00000000-0006-0000-0B00-00005F060000}">
      <text>
        <r>
          <rPr>
            <b/>
            <sz val="10"/>
            <color indexed="81"/>
            <rFont val="Tahoma"/>
            <family val="2"/>
          </rPr>
          <t>Data Entry Cell, Tenant Relocation Costs</t>
        </r>
      </text>
    </comment>
    <comment ref="G83" authorId="1" shapeId="0" xr:uid="{00000000-0006-0000-0B00-000060060000}">
      <text>
        <r>
          <rPr>
            <b/>
            <sz val="10"/>
            <color indexed="81"/>
            <rFont val="Tahoma"/>
            <family val="2"/>
          </rPr>
          <t>Data Entry Cell, Tenant Relocation Costs</t>
        </r>
      </text>
    </comment>
    <comment ref="H83" authorId="1" shapeId="0" xr:uid="{00000000-0006-0000-0B00-000061060000}">
      <text>
        <r>
          <rPr>
            <b/>
            <sz val="10"/>
            <color indexed="81"/>
            <rFont val="Tahoma"/>
            <family val="2"/>
          </rPr>
          <t>Data Entry Cell, Tenant Relocation Costs</t>
        </r>
      </text>
    </comment>
    <comment ref="I83" authorId="1" shapeId="0" xr:uid="{00000000-0006-0000-0B00-000062060000}">
      <text>
        <r>
          <rPr>
            <b/>
            <sz val="10"/>
            <color indexed="81"/>
            <rFont val="Tahoma"/>
            <family val="2"/>
          </rPr>
          <t>Data Entry Cell, Tenant Relocation Costs</t>
        </r>
      </text>
    </comment>
    <comment ref="J83" authorId="1" shapeId="0" xr:uid="{00000000-0006-0000-0B00-000063060000}">
      <text>
        <r>
          <rPr>
            <b/>
            <sz val="10"/>
            <color indexed="81"/>
            <rFont val="Tahoma"/>
            <family val="2"/>
          </rPr>
          <t>Data Entry Cell, Tenant Relocation Costs</t>
        </r>
      </text>
    </comment>
    <comment ref="K83" authorId="1" shapeId="0" xr:uid="{00000000-0006-0000-0B00-000064060000}">
      <text>
        <r>
          <rPr>
            <b/>
            <sz val="10"/>
            <color indexed="81"/>
            <rFont val="Tahoma"/>
            <family val="2"/>
          </rPr>
          <t>Data Entry Cell, Tenant Relocation Costs</t>
        </r>
      </text>
    </comment>
    <comment ref="L83" authorId="1" shapeId="0" xr:uid="{00000000-0006-0000-0B00-000065060000}">
      <text>
        <r>
          <rPr>
            <b/>
            <sz val="10"/>
            <color indexed="81"/>
            <rFont val="Tahoma"/>
            <family val="2"/>
          </rPr>
          <t>Data Entry Cell, Tenant Relocation Costs</t>
        </r>
      </text>
    </comment>
    <comment ref="M83" authorId="1" shapeId="0" xr:uid="{00000000-0006-0000-0B00-000066060000}">
      <text>
        <r>
          <rPr>
            <b/>
            <sz val="10"/>
            <color indexed="81"/>
            <rFont val="Tahoma"/>
            <family val="2"/>
          </rPr>
          <t>Data Entry Cell, Tenant Relocation Costs</t>
        </r>
      </text>
    </comment>
    <comment ref="N83" authorId="1" shapeId="0" xr:uid="{00000000-0006-0000-0B00-000067060000}">
      <text>
        <r>
          <rPr>
            <b/>
            <sz val="10"/>
            <color indexed="81"/>
            <rFont val="Tahoma"/>
            <family val="2"/>
          </rPr>
          <t>Data Entry Cell, Tenant Relocation Costs</t>
        </r>
      </text>
    </comment>
    <comment ref="O83" authorId="1" shapeId="0" xr:uid="{00000000-0006-0000-0B00-000068060000}">
      <text>
        <r>
          <rPr>
            <b/>
            <sz val="10"/>
            <color indexed="81"/>
            <rFont val="Tahoma"/>
            <family val="2"/>
          </rPr>
          <t>Data Entry Cell, Tenant Relocation Costs</t>
        </r>
      </text>
    </comment>
    <comment ref="P83" authorId="1" shapeId="0" xr:uid="{00000000-0006-0000-0B00-000069060000}">
      <text>
        <r>
          <rPr>
            <b/>
            <sz val="10"/>
            <color indexed="81"/>
            <rFont val="Tahoma"/>
            <family val="2"/>
          </rPr>
          <t>Data Entry Cell, Tenant Relocation Costs</t>
        </r>
      </text>
    </comment>
    <comment ref="Q83" authorId="1" shapeId="0" xr:uid="{00000000-0006-0000-0B00-00006A060000}">
      <text>
        <r>
          <rPr>
            <b/>
            <sz val="10"/>
            <color indexed="81"/>
            <rFont val="Tahoma"/>
            <family val="2"/>
          </rPr>
          <t>Data Entry Cell, Tenant Relocation Costs</t>
        </r>
      </text>
    </comment>
    <comment ref="R83" authorId="1" shapeId="0" xr:uid="{00000000-0006-0000-0B00-00006B060000}">
      <text>
        <r>
          <rPr>
            <b/>
            <sz val="10"/>
            <color indexed="81"/>
            <rFont val="Tahoma"/>
            <family val="2"/>
          </rPr>
          <t>Data Entry Cell, Tenant Relocation Costs</t>
        </r>
      </text>
    </comment>
    <comment ref="S83" authorId="1" shapeId="0" xr:uid="{00000000-0006-0000-0B00-00006C060000}">
      <text>
        <r>
          <rPr>
            <b/>
            <sz val="10"/>
            <color indexed="81"/>
            <rFont val="Tahoma"/>
            <family val="2"/>
          </rPr>
          <t>Data Entry Cell, Tenant Relocation Costs</t>
        </r>
      </text>
    </comment>
    <comment ref="T83" authorId="1" shapeId="0" xr:uid="{00000000-0006-0000-0B00-00006D060000}">
      <text>
        <r>
          <rPr>
            <b/>
            <sz val="10"/>
            <color indexed="81"/>
            <rFont val="Tahoma"/>
            <family val="2"/>
          </rPr>
          <t>Data Entry Cell, Tenant Relocation Costs</t>
        </r>
      </text>
    </comment>
    <comment ref="U83" authorId="1" shapeId="0" xr:uid="{00000000-0006-0000-0B00-00006E060000}">
      <text>
        <r>
          <rPr>
            <b/>
            <sz val="10"/>
            <color indexed="81"/>
            <rFont val="Tahoma"/>
            <family val="2"/>
          </rPr>
          <t>Data Entry Cell, Tenant Relocation Costs</t>
        </r>
      </text>
    </comment>
    <comment ref="V83" authorId="1" shapeId="0" xr:uid="{00000000-0006-0000-0B00-00006F060000}">
      <text>
        <r>
          <rPr>
            <b/>
            <sz val="10"/>
            <color indexed="81"/>
            <rFont val="Tahoma"/>
            <family val="2"/>
          </rPr>
          <t>Data Entry Cell, Tenant Relocation Costs</t>
        </r>
      </text>
    </comment>
    <comment ref="W83" authorId="1" shapeId="0" xr:uid="{00000000-0006-0000-0B00-000070060000}">
      <text>
        <r>
          <rPr>
            <b/>
            <sz val="10"/>
            <color indexed="81"/>
            <rFont val="Tahoma"/>
            <family val="2"/>
          </rPr>
          <t>Data Entry Cell, Tenant Relocation Costs</t>
        </r>
      </text>
    </comment>
    <comment ref="X83" authorId="1" shapeId="0" xr:uid="{00000000-0006-0000-0B00-000071060000}">
      <text>
        <r>
          <rPr>
            <b/>
            <sz val="10"/>
            <color indexed="81"/>
            <rFont val="Tahoma"/>
            <family val="2"/>
          </rPr>
          <t>Data Entry Cell, Tenant Relocation Costs</t>
        </r>
      </text>
    </comment>
    <comment ref="Y83" authorId="1" shapeId="0" xr:uid="{00000000-0006-0000-0B00-000072060000}">
      <text>
        <r>
          <rPr>
            <b/>
            <sz val="10"/>
            <color indexed="81"/>
            <rFont val="Tahoma"/>
            <family val="2"/>
          </rPr>
          <t>Data Entry Cell, Tenant Relocation Costs</t>
        </r>
      </text>
    </comment>
    <comment ref="Z83" authorId="1" shapeId="0" xr:uid="{00000000-0006-0000-0B00-000073060000}">
      <text>
        <r>
          <rPr>
            <b/>
            <sz val="10"/>
            <color indexed="81"/>
            <rFont val="Tahoma"/>
            <family val="2"/>
          </rPr>
          <t>Data Entry Cell, Tenant Relocation Costs</t>
        </r>
      </text>
    </comment>
    <comment ref="AA83" authorId="1" shapeId="0" xr:uid="{00000000-0006-0000-0B00-000074060000}">
      <text>
        <r>
          <rPr>
            <b/>
            <sz val="10"/>
            <color indexed="81"/>
            <rFont val="Tahoma"/>
            <family val="2"/>
          </rPr>
          <t>Data Entry Cell, Tenant Relocation Costs</t>
        </r>
      </text>
    </comment>
    <comment ref="AB83" authorId="1" shapeId="0" xr:uid="{00000000-0006-0000-0B00-000075060000}">
      <text>
        <r>
          <rPr>
            <b/>
            <sz val="10"/>
            <color indexed="81"/>
            <rFont val="Tahoma"/>
            <family val="2"/>
          </rPr>
          <t>Data Entry Cell, Tenant Relocation Costs</t>
        </r>
      </text>
    </comment>
    <comment ref="AC83" authorId="1" shapeId="0" xr:uid="{00000000-0006-0000-0B00-000076060000}">
      <text>
        <r>
          <rPr>
            <b/>
            <sz val="10"/>
            <color indexed="81"/>
            <rFont val="Tahoma"/>
            <family val="2"/>
          </rPr>
          <t>Data Entry Cell, Tenant Relocation Costs</t>
        </r>
      </text>
    </comment>
    <comment ref="E84" authorId="1" shapeId="0" xr:uid="{00000000-0006-0000-0B00-000077060000}">
      <text>
        <r>
          <rPr>
            <b/>
            <sz val="10"/>
            <color indexed="81"/>
            <rFont val="Tahoma"/>
            <family val="2"/>
          </rPr>
          <t>Data Entry Cell, Other Project Administration &amp; Management Costs</t>
        </r>
      </text>
    </comment>
    <comment ref="F84" authorId="1" shapeId="0" xr:uid="{00000000-0006-0000-0B00-000078060000}">
      <text>
        <r>
          <rPr>
            <b/>
            <sz val="10"/>
            <color indexed="81"/>
            <rFont val="Tahoma"/>
            <family val="2"/>
          </rPr>
          <t>Data Entry Cell, Other Project Administration &amp; Management Costs</t>
        </r>
      </text>
    </comment>
    <comment ref="G84" authorId="1" shapeId="0" xr:uid="{00000000-0006-0000-0B00-000079060000}">
      <text>
        <r>
          <rPr>
            <b/>
            <sz val="10"/>
            <color indexed="81"/>
            <rFont val="Tahoma"/>
            <family val="2"/>
          </rPr>
          <t>Data Entry Cell, Other Project Administration &amp; Management Costs</t>
        </r>
      </text>
    </comment>
    <comment ref="H84" authorId="1" shapeId="0" xr:uid="{00000000-0006-0000-0B00-00007A060000}">
      <text>
        <r>
          <rPr>
            <b/>
            <sz val="10"/>
            <color indexed="81"/>
            <rFont val="Tahoma"/>
            <family val="2"/>
          </rPr>
          <t>Data Entry Cell, Other Project Administration &amp; Management Costs</t>
        </r>
      </text>
    </comment>
    <comment ref="I84" authorId="1" shapeId="0" xr:uid="{00000000-0006-0000-0B00-00007B060000}">
      <text>
        <r>
          <rPr>
            <b/>
            <sz val="10"/>
            <color indexed="81"/>
            <rFont val="Tahoma"/>
            <family val="2"/>
          </rPr>
          <t>Data Entry Cell, Other Project Administration &amp; Management Costs</t>
        </r>
      </text>
    </comment>
    <comment ref="J84" authorId="1" shapeId="0" xr:uid="{00000000-0006-0000-0B00-00007C060000}">
      <text>
        <r>
          <rPr>
            <b/>
            <sz val="10"/>
            <color indexed="81"/>
            <rFont val="Tahoma"/>
            <family val="2"/>
          </rPr>
          <t>Data Entry Cell, Other Project Administration &amp; Management Costs</t>
        </r>
      </text>
    </comment>
    <comment ref="K84" authorId="1" shapeId="0" xr:uid="{00000000-0006-0000-0B00-00007D060000}">
      <text>
        <r>
          <rPr>
            <b/>
            <sz val="10"/>
            <color indexed="81"/>
            <rFont val="Tahoma"/>
            <family val="2"/>
          </rPr>
          <t>Data Entry Cell, Other Project Administration &amp; Management Costs</t>
        </r>
      </text>
    </comment>
    <comment ref="L84" authorId="1" shapeId="0" xr:uid="{00000000-0006-0000-0B00-00007E060000}">
      <text>
        <r>
          <rPr>
            <b/>
            <sz val="10"/>
            <color indexed="81"/>
            <rFont val="Tahoma"/>
            <family val="2"/>
          </rPr>
          <t>Data Entry Cell, Other Project Administration &amp; Management Costs</t>
        </r>
      </text>
    </comment>
    <comment ref="M84" authorId="1" shapeId="0" xr:uid="{00000000-0006-0000-0B00-00007F060000}">
      <text>
        <r>
          <rPr>
            <b/>
            <sz val="10"/>
            <color indexed="81"/>
            <rFont val="Tahoma"/>
            <family val="2"/>
          </rPr>
          <t>Data Entry Cell, Other Project Administration &amp; Management Costs</t>
        </r>
      </text>
    </comment>
    <comment ref="N84" authorId="1" shapeId="0" xr:uid="{00000000-0006-0000-0B00-000080060000}">
      <text>
        <r>
          <rPr>
            <b/>
            <sz val="10"/>
            <color indexed="81"/>
            <rFont val="Tahoma"/>
            <family val="2"/>
          </rPr>
          <t>Data Entry Cell, Other Project Administration &amp; Management Costs</t>
        </r>
      </text>
    </comment>
    <comment ref="O84" authorId="1" shapeId="0" xr:uid="{00000000-0006-0000-0B00-000081060000}">
      <text>
        <r>
          <rPr>
            <b/>
            <sz val="10"/>
            <color indexed="81"/>
            <rFont val="Tahoma"/>
            <family val="2"/>
          </rPr>
          <t>Data Entry Cell, Other Project Administration &amp; Management Costs</t>
        </r>
      </text>
    </comment>
    <comment ref="P84" authorId="1" shapeId="0" xr:uid="{00000000-0006-0000-0B00-000082060000}">
      <text>
        <r>
          <rPr>
            <b/>
            <sz val="10"/>
            <color indexed="81"/>
            <rFont val="Tahoma"/>
            <family val="2"/>
          </rPr>
          <t>Data Entry Cell, Other Project Administration &amp; Management Costs</t>
        </r>
      </text>
    </comment>
    <comment ref="Q84" authorId="1" shapeId="0" xr:uid="{00000000-0006-0000-0B00-000083060000}">
      <text>
        <r>
          <rPr>
            <b/>
            <sz val="10"/>
            <color indexed="81"/>
            <rFont val="Tahoma"/>
            <family val="2"/>
          </rPr>
          <t>Data Entry Cell, Other Project Administration &amp; Management Costs</t>
        </r>
      </text>
    </comment>
    <comment ref="R84" authorId="1" shapeId="0" xr:uid="{00000000-0006-0000-0B00-000084060000}">
      <text>
        <r>
          <rPr>
            <b/>
            <sz val="10"/>
            <color indexed="81"/>
            <rFont val="Tahoma"/>
            <family val="2"/>
          </rPr>
          <t>Data Entry Cell, Other Project Administration &amp; Management Costs</t>
        </r>
      </text>
    </comment>
    <comment ref="S84" authorId="1" shapeId="0" xr:uid="{00000000-0006-0000-0B00-000085060000}">
      <text>
        <r>
          <rPr>
            <b/>
            <sz val="10"/>
            <color indexed="81"/>
            <rFont val="Tahoma"/>
            <family val="2"/>
          </rPr>
          <t>Data Entry Cell, Other Project Administration &amp; Management Costs</t>
        </r>
      </text>
    </comment>
    <comment ref="T84" authorId="1" shapeId="0" xr:uid="{00000000-0006-0000-0B00-000086060000}">
      <text>
        <r>
          <rPr>
            <b/>
            <sz val="10"/>
            <color indexed="81"/>
            <rFont val="Tahoma"/>
            <family val="2"/>
          </rPr>
          <t>Data Entry Cell, Other Project Administration &amp; Management Costs</t>
        </r>
      </text>
    </comment>
    <comment ref="U84" authorId="1" shapeId="0" xr:uid="{00000000-0006-0000-0B00-000087060000}">
      <text>
        <r>
          <rPr>
            <b/>
            <sz val="10"/>
            <color indexed="81"/>
            <rFont val="Tahoma"/>
            <family val="2"/>
          </rPr>
          <t>Data Entry Cell, Other Project Administration &amp; Management Costs</t>
        </r>
      </text>
    </comment>
    <comment ref="V84" authorId="1" shapeId="0" xr:uid="{00000000-0006-0000-0B00-000088060000}">
      <text>
        <r>
          <rPr>
            <b/>
            <sz val="10"/>
            <color indexed="81"/>
            <rFont val="Tahoma"/>
            <family val="2"/>
          </rPr>
          <t>Data Entry Cell, Other Project Administration &amp; Management Costs</t>
        </r>
      </text>
    </comment>
    <comment ref="W84" authorId="1" shapeId="0" xr:uid="{00000000-0006-0000-0B00-000089060000}">
      <text>
        <r>
          <rPr>
            <b/>
            <sz val="10"/>
            <color indexed="81"/>
            <rFont val="Tahoma"/>
            <family val="2"/>
          </rPr>
          <t>Data Entry Cell, Other Project Administration &amp; Management Costs</t>
        </r>
      </text>
    </comment>
    <comment ref="X84" authorId="1" shapeId="0" xr:uid="{00000000-0006-0000-0B00-00008A060000}">
      <text>
        <r>
          <rPr>
            <b/>
            <sz val="10"/>
            <color indexed="81"/>
            <rFont val="Tahoma"/>
            <family val="2"/>
          </rPr>
          <t>Data Entry Cell, Other Project Administration &amp; Management Costs</t>
        </r>
      </text>
    </comment>
    <comment ref="Y84" authorId="1" shapeId="0" xr:uid="{00000000-0006-0000-0B00-00008B060000}">
      <text>
        <r>
          <rPr>
            <b/>
            <sz val="10"/>
            <color indexed="81"/>
            <rFont val="Tahoma"/>
            <family val="2"/>
          </rPr>
          <t>Data Entry Cell, Other Project Administration &amp; Management Costs</t>
        </r>
      </text>
    </comment>
    <comment ref="Z84" authorId="1" shapeId="0" xr:uid="{00000000-0006-0000-0B00-00008C060000}">
      <text>
        <r>
          <rPr>
            <b/>
            <sz val="10"/>
            <color indexed="81"/>
            <rFont val="Tahoma"/>
            <family val="2"/>
          </rPr>
          <t>Data Entry Cell, Other Project Administration &amp; Management Costs</t>
        </r>
      </text>
    </comment>
    <comment ref="AA84" authorId="1" shapeId="0" xr:uid="{00000000-0006-0000-0B00-00008D060000}">
      <text>
        <r>
          <rPr>
            <b/>
            <sz val="10"/>
            <color indexed="81"/>
            <rFont val="Tahoma"/>
            <family val="2"/>
          </rPr>
          <t>Data Entry Cell, Other Project Administration &amp; Management Costs</t>
        </r>
      </text>
    </comment>
    <comment ref="AB84" authorId="1" shapeId="0" xr:uid="{00000000-0006-0000-0B00-00008E060000}">
      <text>
        <r>
          <rPr>
            <b/>
            <sz val="10"/>
            <color indexed="81"/>
            <rFont val="Tahoma"/>
            <family val="2"/>
          </rPr>
          <t>Data Entry Cell, Other Project Administration &amp; Management Costs</t>
        </r>
      </text>
    </comment>
    <comment ref="AC84" authorId="1" shapeId="0" xr:uid="{00000000-0006-0000-0B00-00008F060000}">
      <text>
        <r>
          <rPr>
            <b/>
            <sz val="10"/>
            <color indexed="81"/>
            <rFont val="Tahoma"/>
            <family val="2"/>
          </rPr>
          <t>Data Entry Cell, Other Project Administration &amp; Management Costs</t>
        </r>
      </text>
    </comment>
    <comment ref="E85" authorId="1" shapeId="0" xr:uid="{00000000-0006-0000-0B00-000090060000}">
      <text>
        <r>
          <rPr>
            <b/>
            <sz val="10"/>
            <color indexed="81"/>
            <rFont val="Tahoma"/>
            <family val="2"/>
          </rPr>
          <t>Data Entry Cell, Other Project Administration &amp; Management Costs</t>
        </r>
      </text>
    </comment>
    <comment ref="F85" authorId="1" shapeId="0" xr:uid="{00000000-0006-0000-0B00-000091060000}">
      <text>
        <r>
          <rPr>
            <b/>
            <sz val="10"/>
            <color indexed="81"/>
            <rFont val="Tahoma"/>
            <family val="2"/>
          </rPr>
          <t>Data Entry Cell, Other Project Administration &amp; Management Costs</t>
        </r>
      </text>
    </comment>
    <comment ref="G85" authorId="1" shapeId="0" xr:uid="{00000000-0006-0000-0B00-000092060000}">
      <text>
        <r>
          <rPr>
            <b/>
            <sz val="10"/>
            <color indexed="81"/>
            <rFont val="Tahoma"/>
            <family val="2"/>
          </rPr>
          <t>Data Entry Cell, Other Project Administration &amp; Management Costs</t>
        </r>
      </text>
    </comment>
    <comment ref="H85" authorId="1" shapeId="0" xr:uid="{00000000-0006-0000-0B00-000093060000}">
      <text>
        <r>
          <rPr>
            <b/>
            <sz val="10"/>
            <color indexed="81"/>
            <rFont val="Tahoma"/>
            <family val="2"/>
          </rPr>
          <t>Data Entry Cell, Other Project Administration &amp; Management Costs</t>
        </r>
      </text>
    </comment>
    <comment ref="I85" authorId="1" shapeId="0" xr:uid="{00000000-0006-0000-0B00-000094060000}">
      <text>
        <r>
          <rPr>
            <b/>
            <sz val="10"/>
            <color indexed="81"/>
            <rFont val="Tahoma"/>
            <family val="2"/>
          </rPr>
          <t>Data Entry Cell, Other Project Administration &amp; Management Costs</t>
        </r>
      </text>
    </comment>
    <comment ref="J85" authorId="1" shapeId="0" xr:uid="{00000000-0006-0000-0B00-000095060000}">
      <text>
        <r>
          <rPr>
            <b/>
            <sz val="10"/>
            <color indexed="81"/>
            <rFont val="Tahoma"/>
            <family val="2"/>
          </rPr>
          <t>Data Entry Cell, Other Project Administration &amp; Management Costs</t>
        </r>
      </text>
    </comment>
    <comment ref="K85" authorId="1" shapeId="0" xr:uid="{00000000-0006-0000-0B00-000096060000}">
      <text>
        <r>
          <rPr>
            <b/>
            <sz val="10"/>
            <color indexed="81"/>
            <rFont val="Tahoma"/>
            <family val="2"/>
          </rPr>
          <t>Data Entry Cell, Other Project Administration &amp; Management Costs</t>
        </r>
      </text>
    </comment>
    <comment ref="L85" authorId="1" shapeId="0" xr:uid="{00000000-0006-0000-0B00-000097060000}">
      <text>
        <r>
          <rPr>
            <b/>
            <sz val="10"/>
            <color indexed="81"/>
            <rFont val="Tahoma"/>
            <family val="2"/>
          </rPr>
          <t>Data Entry Cell, Other Project Administration &amp; Management Costs</t>
        </r>
      </text>
    </comment>
    <comment ref="M85" authorId="1" shapeId="0" xr:uid="{00000000-0006-0000-0B00-000098060000}">
      <text>
        <r>
          <rPr>
            <b/>
            <sz val="10"/>
            <color indexed="81"/>
            <rFont val="Tahoma"/>
            <family val="2"/>
          </rPr>
          <t>Data Entry Cell, Other Project Administration &amp; Management Costs</t>
        </r>
      </text>
    </comment>
    <comment ref="N85" authorId="1" shapeId="0" xr:uid="{00000000-0006-0000-0B00-000099060000}">
      <text>
        <r>
          <rPr>
            <b/>
            <sz val="10"/>
            <color indexed="81"/>
            <rFont val="Tahoma"/>
            <family val="2"/>
          </rPr>
          <t>Data Entry Cell, Other Project Administration &amp; Management Costs</t>
        </r>
      </text>
    </comment>
    <comment ref="O85" authorId="1" shapeId="0" xr:uid="{00000000-0006-0000-0B00-00009A060000}">
      <text>
        <r>
          <rPr>
            <b/>
            <sz val="10"/>
            <color indexed="81"/>
            <rFont val="Tahoma"/>
            <family val="2"/>
          </rPr>
          <t>Data Entry Cell, Other Project Administration &amp; Management Costs</t>
        </r>
      </text>
    </comment>
    <comment ref="P85" authorId="1" shapeId="0" xr:uid="{00000000-0006-0000-0B00-00009B060000}">
      <text>
        <r>
          <rPr>
            <b/>
            <sz val="10"/>
            <color indexed="81"/>
            <rFont val="Tahoma"/>
            <family val="2"/>
          </rPr>
          <t>Data Entry Cell, Other Project Administration &amp; Management Costs</t>
        </r>
      </text>
    </comment>
    <comment ref="Q85" authorId="1" shapeId="0" xr:uid="{00000000-0006-0000-0B00-00009C060000}">
      <text>
        <r>
          <rPr>
            <b/>
            <sz val="10"/>
            <color indexed="81"/>
            <rFont val="Tahoma"/>
            <family val="2"/>
          </rPr>
          <t>Data Entry Cell, Other Project Administration &amp; Management Costs</t>
        </r>
      </text>
    </comment>
    <comment ref="R85" authorId="1" shapeId="0" xr:uid="{00000000-0006-0000-0B00-00009D060000}">
      <text>
        <r>
          <rPr>
            <b/>
            <sz val="10"/>
            <color indexed="81"/>
            <rFont val="Tahoma"/>
            <family val="2"/>
          </rPr>
          <t>Data Entry Cell, Other Project Administration &amp; Management Costs</t>
        </r>
      </text>
    </comment>
    <comment ref="S85" authorId="1" shapeId="0" xr:uid="{00000000-0006-0000-0B00-00009E060000}">
      <text>
        <r>
          <rPr>
            <b/>
            <sz val="10"/>
            <color indexed="81"/>
            <rFont val="Tahoma"/>
            <family val="2"/>
          </rPr>
          <t>Data Entry Cell, Other Project Administration &amp; Management Costs</t>
        </r>
      </text>
    </comment>
    <comment ref="T85" authorId="1" shapeId="0" xr:uid="{00000000-0006-0000-0B00-00009F060000}">
      <text>
        <r>
          <rPr>
            <b/>
            <sz val="10"/>
            <color indexed="81"/>
            <rFont val="Tahoma"/>
            <family val="2"/>
          </rPr>
          <t>Data Entry Cell, Other Project Administration &amp; Management Costs</t>
        </r>
      </text>
    </comment>
    <comment ref="U85" authorId="1" shapeId="0" xr:uid="{00000000-0006-0000-0B00-0000A0060000}">
      <text>
        <r>
          <rPr>
            <b/>
            <sz val="10"/>
            <color indexed="81"/>
            <rFont val="Tahoma"/>
            <family val="2"/>
          </rPr>
          <t>Data Entry Cell, Other Project Administration &amp; Management Costs</t>
        </r>
      </text>
    </comment>
    <comment ref="V85" authorId="1" shapeId="0" xr:uid="{00000000-0006-0000-0B00-0000A1060000}">
      <text>
        <r>
          <rPr>
            <b/>
            <sz val="10"/>
            <color indexed="81"/>
            <rFont val="Tahoma"/>
            <family val="2"/>
          </rPr>
          <t>Data Entry Cell, Other Project Administration &amp; Management Costs</t>
        </r>
      </text>
    </comment>
    <comment ref="W85" authorId="1" shapeId="0" xr:uid="{00000000-0006-0000-0B00-0000A2060000}">
      <text>
        <r>
          <rPr>
            <b/>
            <sz val="10"/>
            <color indexed="81"/>
            <rFont val="Tahoma"/>
            <family val="2"/>
          </rPr>
          <t>Data Entry Cell, Other Project Administration &amp; Management Costs</t>
        </r>
      </text>
    </comment>
    <comment ref="X85" authorId="1" shapeId="0" xr:uid="{00000000-0006-0000-0B00-0000A3060000}">
      <text>
        <r>
          <rPr>
            <b/>
            <sz val="10"/>
            <color indexed="81"/>
            <rFont val="Tahoma"/>
            <family val="2"/>
          </rPr>
          <t>Data Entry Cell, Other Project Administration &amp; Management Costs</t>
        </r>
      </text>
    </comment>
    <comment ref="Y85" authorId="1" shapeId="0" xr:uid="{00000000-0006-0000-0B00-0000A4060000}">
      <text>
        <r>
          <rPr>
            <b/>
            <sz val="10"/>
            <color indexed="81"/>
            <rFont val="Tahoma"/>
            <family val="2"/>
          </rPr>
          <t>Data Entry Cell, Other Project Administration &amp; Management Costs</t>
        </r>
      </text>
    </comment>
    <comment ref="Z85" authorId="1" shapeId="0" xr:uid="{00000000-0006-0000-0B00-0000A5060000}">
      <text>
        <r>
          <rPr>
            <b/>
            <sz val="10"/>
            <color indexed="81"/>
            <rFont val="Tahoma"/>
            <family val="2"/>
          </rPr>
          <t>Data Entry Cell, Other Project Administration &amp; Management Costs</t>
        </r>
      </text>
    </comment>
    <comment ref="AA85" authorId="1" shapeId="0" xr:uid="{00000000-0006-0000-0B00-0000A6060000}">
      <text>
        <r>
          <rPr>
            <b/>
            <sz val="10"/>
            <color indexed="81"/>
            <rFont val="Tahoma"/>
            <family val="2"/>
          </rPr>
          <t>Data Entry Cell, Other Project Administration &amp; Management Costs</t>
        </r>
      </text>
    </comment>
    <comment ref="AB85" authorId="1" shapeId="0" xr:uid="{00000000-0006-0000-0B00-0000A7060000}">
      <text>
        <r>
          <rPr>
            <b/>
            <sz val="10"/>
            <color indexed="81"/>
            <rFont val="Tahoma"/>
            <family val="2"/>
          </rPr>
          <t>Data Entry Cell, Other Project Administration &amp; Management Costs</t>
        </r>
      </text>
    </comment>
    <comment ref="AC85" authorId="1" shapeId="0" xr:uid="{00000000-0006-0000-0B00-0000A8060000}">
      <text>
        <r>
          <rPr>
            <b/>
            <sz val="10"/>
            <color indexed="81"/>
            <rFont val="Tahoma"/>
            <family val="2"/>
          </rPr>
          <t>Data Entry Cell, Other Project Administration &amp; Management Costs</t>
        </r>
      </text>
    </comment>
    <comment ref="E87" authorId="1" shapeId="0" xr:uid="{00000000-0006-0000-0B00-0000A9060000}">
      <text>
        <r>
          <rPr>
            <b/>
            <sz val="10"/>
            <color indexed="81"/>
            <rFont val="Tahoma"/>
            <family val="2"/>
          </rPr>
          <t>Data Entry Cell, Other Development Cost 1</t>
        </r>
      </text>
    </comment>
    <comment ref="F87" authorId="1" shapeId="0" xr:uid="{00000000-0006-0000-0B00-0000AA060000}">
      <text>
        <r>
          <rPr>
            <b/>
            <sz val="10"/>
            <color indexed="81"/>
            <rFont val="Tahoma"/>
            <family val="2"/>
          </rPr>
          <t>Data Entry Cell, Other Development Cost 1</t>
        </r>
      </text>
    </comment>
    <comment ref="G87" authorId="1" shapeId="0" xr:uid="{00000000-0006-0000-0B00-0000AB060000}">
      <text>
        <r>
          <rPr>
            <b/>
            <sz val="10"/>
            <color indexed="81"/>
            <rFont val="Tahoma"/>
            <family val="2"/>
          </rPr>
          <t>Data Entry Cell, Other Development Cost 1</t>
        </r>
      </text>
    </comment>
    <comment ref="H87" authorId="1" shapeId="0" xr:uid="{00000000-0006-0000-0B00-0000AC060000}">
      <text>
        <r>
          <rPr>
            <b/>
            <sz val="10"/>
            <color indexed="81"/>
            <rFont val="Tahoma"/>
            <family val="2"/>
          </rPr>
          <t>Data Entry Cell, Other Development Cost 1</t>
        </r>
      </text>
    </comment>
    <comment ref="I87" authorId="1" shapeId="0" xr:uid="{00000000-0006-0000-0B00-0000AD060000}">
      <text>
        <r>
          <rPr>
            <b/>
            <sz val="10"/>
            <color indexed="81"/>
            <rFont val="Tahoma"/>
            <family val="2"/>
          </rPr>
          <t>Data Entry Cell, Other Development Cost 1</t>
        </r>
      </text>
    </comment>
    <comment ref="J87" authorId="1" shapeId="0" xr:uid="{00000000-0006-0000-0B00-0000AE060000}">
      <text>
        <r>
          <rPr>
            <b/>
            <sz val="10"/>
            <color indexed="81"/>
            <rFont val="Tahoma"/>
            <family val="2"/>
          </rPr>
          <t>Data Entry Cell, Other Development Cost 1</t>
        </r>
      </text>
    </comment>
    <comment ref="K87" authorId="1" shapeId="0" xr:uid="{00000000-0006-0000-0B00-0000AF060000}">
      <text>
        <r>
          <rPr>
            <b/>
            <sz val="10"/>
            <color indexed="81"/>
            <rFont val="Tahoma"/>
            <family val="2"/>
          </rPr>
          <t>Data Entry Cell, Other Development Cost 1</t>
        </r>
      </text>
    </comment>
    <comment ref="L87" authorId="1" shapeId="0" xr:uid="{00000000-0006-0000-0B00-0000B0060000}">
      <text>
        <r>
          <rPr>
            <b/>
            <sz val="10"/>
            <color indexed="81"/>
            <rFont val="Tahoma"/>
            <family val="2"/>
          </rPr>
          <t>Data Entry Cell, Other Development Cost 1</t>
        </r>
      </text>
    </comment>
    <comment ref="M87" authorId="1" shapeId="0" xr:uid="{00000000-0006-0000-0B00-0000B1060000}">
      <text>
        <r>
          <rPr>
            <b/>
            <sz val="10"/>
            <color indexed="81"/>
            <rFont val="Tahoma"/>
            <family val="2"/>
          </rPr>
          <t>Data Entry Cell, Other Development Cost 1</t>
        </r>
      </text>
    </comment>
    <comment ref="N87" authorId="1" shapeId="0" xr:uid="{00000000-0006-0000-0B00-0000B2060000}">
      <text>
        <r>
          <rPr>
            <b/>
            <sz val="10"/>
            <color indexed="81"/>
            <rFont val="Tahoma"/>
            <family val="2"/>
          </rPr>
          <t>Data Entry Cell, Other Development Cost 1</t>
        </r>
      </text>
    </comment>
    <comment ref="O87" authorId="1" shapeId="0" xr:uid="{00000000-0006-0000-0B00-0000B3060000}">
      <text>
        <r>
          <rPr>
            <b/>
            <sz val="10"/>
            <color indexed="81"/>
            <rFont val="Tahoma"/>
            <family val="2"/>
          </rPr>
          <t>Data Entry Cell, Other Development Cost 1</t>
        </r>
      </text>
    </comment>
    <comment ref="P87" authorId="1" shapeId="0" xr:uid="{00000000-0006-0000-0B00-0000B4060000}">
      <text>
        <r>
          <rPr>
            <b/>
            <sz val="10"/>
            <color indexed="81"/>
            <rFont val="Tahoma"/>
            <family val="2"/>
          </rPr>
          <t>Data Entry Cell, Other Development Cost 1</t>
        </r>
      </text>
    </comment>
    <comment ref="Q87" authorId="1" shapeId="0" xr:uid="{00000000-0006-0000-0B00-0000B5060000}">
      <text>
        <r>
          <rPr>
            <b/>
            <sz val="10"/>
            <color indexed="81"/>
            <rFont val="Tahoma"/>
            <family val="2"/>
          </rPr>
          <t>Data Entry Cell, Other Development Cost 1</t>
        </r>
      </text>
    </comment>
    <comment ref="R87" authorId="1" shapeId="0" xr:uid="{00000000-0006-0000-0B00-0000B6060000}">
      <text>
        <r>
          <rPr>
            <b/>
            <sz val="10"/>
            <color indexed="81"/>
            <rFont val="Tahoma"/>
            <family val="2"/>
          </rPr>
          <t>Data Entry Cell, Other Development Cost 1</t>
        </r>
      </text>
    </comment>
    <comment ref="S87" authorId="1" shapeId="0" xr:uid="{00000000-0006-0000-0B00-0000B7060000}">
      <text>
        <r>
          <rPr>
            <b/>
            <sz val="10"/>
            <color indexed="81"/>
            <rFont val="Tahoma"/>
            <family val="2"/>
          </rPr>
          <t>Data Entry Cell, Other Development Cost 1</t>
        </r>
      </text>
    </comment>
    <comment ref="T87" authorId="1" shapeId="0" xr:uid="{00000000-0006-0000-0B00-0000B8060000}">
      <text>
        <r>
          <rPr>
            <b/>
            <sz val="10"/>
            <color indexed="81"/>
            <rFont val="Tahoma"/>
            <family val="2"/>
          </rPr>
          <t>Data Entry Cell, Other Development Cost 1</t>
        </r>
      </text>
    </comment>
    <comment ref="U87" authorId="1" shapeId="0" xr:uid="{00000000-0006-0000-0B00-0000B9060000}">
      <text>
        <r>
          <rPr>
            <b/>
            <sz val="10"/>
            <color indexed="81"/>
            <rFont val="Tahoma"/>
            <family val="2"/>
          </rPr>
          <t>Data Entry Cell, Other Development Cost 1</t>
        </r>
      </text>
    </comment>
    <comment ref="V87" authorId="1" shapeId="0" xr:uid="{00000000-0006-0000-0B00-0000BA060000}">
      <text>
        <r>
          <rPr>
            <b/>
            <sz val="10"/>
            <color indexed="81"/>
            <rFont val="Tahoma"/>
            <family val="2"/>
          </rPr>
          <t>Data Entry Cell, Other Development Cost 1</t>
        </r>
      </text>
    </comment>
    <comment ref="W87" authorId="1" shapeId="0" xr:uid="{00000000-0006-0000-0B00-0000BB060000}">
      <text>
        <r>
          <rPr>
            <b/>
            <sz val="10"/>
            <color indexed="81"/>
            <rFont val="Tahoma"/>
            <family val="2"/>
          </rPr>
          <t>Data Entry Cell, Other Development Cost 1</t>
        </r>
      </text>
    </comment>
    <comment ref="X87" authorId="1" shapeId="0" xr:uid="{00000000-0006-0000-0B00-0000BC060000}">
      <text>
        <r>
          <rPr>
            <b/>
            <sz val="10"/>
            <color indexed="81"/>
            <rFont val="Tahoma"/>
            <family val="2"/>
          </rPr>
          <t>Data Entry Cell, Other Development Cost 1</t>
        </r>
      </text>
    </comment>
    <comment ref="Y87" authorId="1" shapeId="0" xr:uid="{00000000-0006-0000-0B00-0000BD060000}">
      <text>
        <r>
          <rPr>
            <b/>
            <sz val="10"/>
            <color indexed="81"/>
            <rFont val="Tahoma"/>
            <family val="2"/>
          </rPr>
          <t>Data Entry Cell, Other Development Cost 1</t>
        </r>
      </text>
    </comment>
    <comment ref="Z87" authorId="1" shapeId="0" xr:uid="{00000000-0006-0000-0B00-0000BE060000}">
      <text>
        <r>
          <rPr>
            <b/>
            <sz val="10"/>
            <color indexed="81"/>
            <rFont val="Tahoma"/>
            <family val="2"/>
          </rPr>
          <t>Data Entry Cell, Other Development Cost 1</t>
        </r>
      </text>
    </comment>
    <comment ref="AA87" authorId="1" shapeId="0" xr:uid="{00000000-0006-0000-0B00-0000BF060000}">
      <text>
        <r>
          <rPr>
            <b/>
            <sz val="10"/>
            <color indexed="81"/>
            <rFont val="Tahoma"/>
            <family val="2"/>
          </rPr>
          <t>Data Entry Cell, Other Development Cost 1</t>
        </r>
      </text>
    </comment>
    <comment ref="AB87" authorId="1" shapeId="0" xr:uid="{00000000-0006-0000-0B00-0000C0060000}">
      <text>
        <r>
          <rPr>
            <b/>
            <sz val="10"/>
            <color indexed="81"/>
            <rFont val="Tahoma"/>
            <family val="2"/>
          </rPr>
          <t>Data Entry Cell, Other Development Cost 1</t>
        </r>
      </text>
    </comment>
    <comment ref="AC87" authorId="1" shapeId="0" xr:uid="{00000000-0006-0000-0B00-0000C1060000}">
      <text>
        <r>
          <rPr>
            <b/>
            <sz val="10"/>
            <color indexed="81"/>
            <rFont val="Tahoma"/>
            <family val="2"/>
          </rPr>
          <t>Data Entry Cell, Other Development Cost 1</t>
        </r>
      </text>
    </comment>
    <comment ref="E88" authorId="1" shapeId="0" xr:uid="{00000000-0006-0000-0B00-0000C2060000}">
      <text>
        <r>
          <rPr>
            <b/>
            <sz val="10"/>
            <color indexed="81"/>
            <rFont val="Tahoma"/>
            <family val="2"/>
          </rPr>
          <t>Data Entry Cell, Other Development Cost 2</t>
        </r>
      </text>
    </comment>
    <comment ref="F88" authorId="1" shapeId="0" xr:uid="{00000000-0006-0000-0B00-0000C3060000}">
      <text>
        <r>
          <rPr>
            <b/>
            <sz val="10"/>
            <color indexed="81"/>
            <rFont val="Tahoma"/>
            <family val="2"/>
          </rPr>
          <t>Data Entry Cell, Other Development Cost 2</t>
        </r>
      </text>
    </comment>
    <comment ref="G88" authorId="1" shapeId="0" xr:uid="{00000000-0006-0000-0B00-0000C4060000}">
      <text>
        <r>
          <rPr>
            <b/>
            <sz val="10"/>
            <color indexed="81"/>
            <rFont val="Tahoma"/>
            <family val="2"/>
          </rPr>
          <t>Data Entry Cell, Other Development Cost 2</t>
        </r>
      </text>
    </comment>
    <comment ref="H88" authorId="1" shapeId="0" xr:uid="{00000000-0006-0000-0B00-0000C5060000}">
      <text>
        <r>
          <rPr>
            <b/>
            <sz val="10"/>
            <color indexed="81"/>
            <rFont val="Tahoma"/>
            <family val="2"/>
          </rPr>
          <t>Data Entry Cell, Other Development Cost 2</t>
        </r>
      </text>
    </comment>
    <comment ref="I88" authorId="1" shapeId="0" xr:uid="{00000000-0006-0000-0B00-0000C6060000}">
      <text>
        <r>
          <rPr>
            <b/>
            <sz val="10"/>
            <color indexed="81"/>
            <rFont val="Tahoma"/>
            <family val="2"/>
          </rPr>
          <t>Data Entry Cell, Other Development Cost 2</t>
        </r>
      </text>
    </comment>
    <comment ref="J88" authorId="1" shapeId="0" xr:uid="{00000000-0006-0000-0B00-0000C7060000}">
      <text>
        <r>
          <rPr>
            <b/>
            <sz val="10"/>
            <color indexed="81"/>
            <rFont val="Tahoma"/>
            <family val="2"/>
          </rPr>
          <t>Data Entry Cell, Other Development Cost 2</t>
        </r>
      </text>
    </comment>
    <comment ref="K88" authorId="1" shapeId="0" xr:uid="{00000000-0006-0000-0B00-0000C8060000}">
      <text>
        <r>
          <rPr>
            <b/>
            <sz val="10"/>
            <color indexed="81"/>
            <rFont val="Tahoma"/>
            <family val="2"/>
          </rPr>
          <t>Data Entry Cell, Other Development Cost 2</t>
        </r>
      </text>
    </comment>
    <comment ref="L88" authorId="1" shapeId="0" xr:uid="{00000000-0006-0000-0B00-0000C9060000}">
      <text>
        <r>
          <rPr>
            <b/>
            <sz val="10"/>
            <color indexed="81"/>
            <rFont val="Tahoma"/>
            <family val="2"/>
          </rPr>
          <t>Data Entry Cell, Other Development Cost 2</t>
        </r>
      </text>
    </comment>
    <comment ref="M88" authorId="1" shapeId="0" xr:uid="{00000000-0006-0000-0B00-0000CA060000}">
      <text>
        <r>
          <rPr>
            <b/>
            <sz val="10"/>
            <color indexed="81"/>
            <rFont val="Tahoma"/>
            <family val="2"/>
          </rPr>
          <t>Data Entry Cell, Other Development Cost 2</t>
        </r>
      </text>
    </comment>
    <comment ref="N88" authorId="1" shapeId="0" xr:uid="{00000000-0006-0000-0B00-0000CB060000}">
      <text>
        <r>
          <rPr>
            <b/>
            <sz val="10"/>
            <color indexed="81"/>
            <rFont val="Tahoma"/>
            <family val="2"/>
          </rPr>
          <t>Data Entry Cell, Other Development Cost 2</t>
        </r>
      </text>
    </comment>
    <comment ref="O88" authorId="1" shapeId="0" xr:uid="{00000000-0006-0000-0B00-0000CC060000}">
      <text>
        <r>
          <rPr>
            <b/>
            <sz val="10"/>
            <color indexed="81"/>
            <rFont val="Tahoma"/>
            <family val="2"/>
          </rPr>
          <t>Data Entry Cell, Other Development Cost 2</t>
        </r>
      </text>
    </comment>
    <comment ref="P88" authorId="1" shapeId="0" xr:uid="{00000000-0006-0000-0B00-0000CD060000}">
      <text>
        <r>
          <rPr>
            <b/>
            <sz val="10"/>
            <color indexed="81"/>
            <rFont val="Tahoma"/>
            <family val="2"/>
          </rPr>
          <t>Data Entry Cell, Other Development Cost 2</t>
        </r>
      </text>
    </comment>
    <comment ref="Q88" authorId="1" shapeId="0" xr:uid="{00000000-0006-0000-0B00-0000CE060000}">
      <text>
        <r>
          <rPr>
            <b/>
            <sz val="10"/>
            <color indexed="81"/>
            <rFont val="Tahoma"/>
            <family val="2"/>
          </rPr>
          <t>Data Entry Cell, Other Development Cost 2</t>
        </r>
      </text>
    </comment>
    <comment ref="R88" authorId="1" shapeId="0" xr:uid="{00000000-0006-0000-0B00-0000CF060000}">
      <text>
        <r>
          <rPr>
            <b/>
            <sz val="10"/>
            <color indexed="81"/>
            <rFont val="Tahoma"/>
            <family val="2"/>
          </rPr>
          <t>Data Entry Cell, Other Development Cost 2</t>
        </r>
      </text>
    </comment>
    <comment ref="S88" authorId="1" shapeId="0" xr:uid="{00000000-0006-0000-0B00-0000D0060000}">
      <text>
        <r>
          <rPr>
            <b/>
            <sz val="10"/>
            <color indexed="81"/>
            <rFont val="Tahoma"/>
            <family val="2"/>
          </rPr>
          <t>Data Entry Cell, Other Development Cost 2</t>
        </r>
      </text>
    </comment>
    <comment ref="T88" authorId="1" shapeId="0" xr:uid="{00000000-0006-0000-0B00-0000D1060000}">
      <text>
        <r>
          <rPr>
            <b/>
            <sz val="10"/>
            <color indexed="81"/>
            <rFont val="Tahoma"/>
            <family val="2"/>
          </rPr>
          <t>Data Entry Cell, Other Development Cost 2</t>
        </r>
      </text>
    </comment>
    <comment ref="U88" authorId="1" shapeId="0" xr:uid="{00000000-0006-0000-0B00-0000D2060000}">
      <text>
        <r>
          <rPr>
            <b/>
            <sz val="10"/>
            <color indexed="81"/>
            <rFont val="Tahoma"/>
            <family val="2"/>
          </rPr>
          <t>Data Entry Cell, Other Development Cost 2</t>
        </r>
      </text>
    </comment>
    <comment ref="V88" authorId="1" shapeId="0" xr:uid="{00000000-0006-0000-0B00-0000D3060000}">
      <text>
        <r>
          <rPr>
            <b/>
            <sz val="10"/>
            <color indexed="81"/>
            <rFont val="Tahoma"/>
            <family val="2"/>
          </rPr>
          <t>Data Entry Cell, Other Development Cost 2</t>
        </r>
      </text>
    </comment>
    <comment ref="W88" authorId="1" shapeId="0" xr:uid="{00000000-0006-0000-0B00-0000D4060000}">
      <text>
        <r>
          <rPr>
            <b/>
            <sz val="10"/>
            <color indexed="81"/>
            <rFont val="Tahoma"/>
            <family val="2"/>
          </rPr>
          <t>Data Entry Cell, Other Development Cost 2</t>
        </r>
      </text>
    </comment>
    <comment ref="X88" authorId="1" shapeId="0" xr:uid="{00000000-0006-0000-0B00-0000D5060000}">
      <text>
        <r>
          <rPr>
            <b/>
            <sz val="10"/>
            <color indexed="81"/>
            <rFont val="Tahoma"/>
            <family val="2"/>
          </rPr>
          <t>Data Entry Cell, Other Development Cost 2</t>
        </r>
      </text>
    </comment>
    <comment ref="Y88" authorId="1" shapeId="0" xr:uid="{00000000-0006-0000-0B00-0000D6060000}">
      <text>
        <r>
          <rPr>
            <b/>
            <sz val="10"/>
            <color indexed="81"/>
            <rFont val="Tahoma"/>
            <family val="2"/>
          </rPr>
          <t>Data Entry Cell, Other Development Cost 2</t>
        </r>
      </text>
    </comment>
    <comment ref="Z88" authorId="1" shapeId="0" xr:uid="{00000000-0006-0000-0B00-0000D7060000}">
      <text>
        <r>
          <rPr>
            <b/>
            <sz val="10"/>
            <color indexed="81"/>
            <rFont val="Tahoma"/>
            <family val="2"/>
          </rPr>
          <t>Data Entry Cell, Other Development Cost 2</t>
        </r>
      </text>
    </comment>
    <comment ref="AA88" authorId="1" shapeId="0" xr:uid="{00000000-0006-0000-0B00-0000D8060000}">
      <text>
        <r>
          <rPr>
            <b/>
            <sz val="10"/>
            <color indexed="81"/>
            <rFont val="Tahoma"/>
            <family val="2"/>
          </rPr>
          <t>Data Entry Cell, Other Development Cost 2</t>
        </r>
      </text>
    </comment>
    <comment ref="AB88" authorId="1" shapeId="0" xr:uid="{00000000-0006-0000-0B00-0000D9060000}">
      <text>
        <r>
          <rPr>
            <b/>
            <sz val="10"/>
            <color indexed="81"/>
            <rFont val="Tahoma"/>
            <family val="2"/>
          </rPr>
          <t>Data Entry Cell, Other Development Cost 2</t>
        </r>
      </text>
    </comment>
    <comment ref="AC88" authorId="1" shapeId="0" xr:uid="{00000000-0006-0000-0B00-0000DA060000}">
      <text>
        <r>
          <rPr>
            <b/>
            <sz val="10"/>
            <color indexed="81"/>
            <rFont val="Tahoma"/>
            <family val="2"/>
          </rPr>
          <t>Data Entry Cell, Other Development Cost 2</t>
        </r>
      </text>
    </comment>
    <comment ref="E89" authorId="1" shapeId="0" xr:uid="{00000000-0006-0000-0B00-0000DB060000}">
      <text>
        <r>
          <rPr>
            <b/>
            <sz val="10"/>
            <color indexed="81"/>
            <rFont val="Tahoma"/>
            <family val="2"/>
          </rPr>
          <t>Data Entry Cell, Other Development Cost 3</t>
        </r>
      </text>
    </comment>
    <comment ref="F89" authorId="1" shapeId="0" xr:uid="{00000000-0006-0000-0B00-0000DC060000}">
      <text>
        <r>
          <rPr>
            <b/>
            <sz val="10"/>
            <color indexed="81"/>
            <rFont val="Tahoma"/>
            <family val="2"/>
          </rPr>
          <t>Data Entry Cell, Other Development Cost 3</t>
        </r>
      </text>
    </comment>
    <comment ref="G89" authorId="1" shapeId="0" xr:uid="{00000000-0006-0000-0B00-0000DD060000}">
      <text>
        <r>
          <rPr>
            <b/>
            <sz val="10"/>
            <color indexed="81"/>
            <rFont val="Tahoma"/>
            <family val="2"/>
          </rPr>
          <t>Data Entry Cell, Other Development Cost 3</t>
        </r>
      </text>
    </comment>
    <comment ref="H89" authorId="1" shapeId="0" xr:uid="{00000000-0006-0000-0B00-0000DE060000}">
      <text>
        <r>
          <rPr>
            <b/>
            <sz val="10"/>
            <color indexed="81"/>
            <rFont val="Tahoma"/>
            <family val="2"/>
          </rPr>
          <t>Data Entry Cell, Other Development Cost 3</t>
        </r>
      </text>
    </comment>
    <comment ref="I89" authorId="1" shapeId="0" xr:uid="{00000000-0006-0000-0B00-0000DF060000}">
      <text>
        <r>
          <rPr>
            <b/>
            <sz val="10"/>
            <color indexed="81"/>
            <rFont val="Tahoma"/>
            <family val="2"/>
          </rPr>
          <t>Data Entry Cell, Other Development Cost 3</t>
        </r>
      </text>
    </comment>
    <comment ref="J89" authorId="1" shapeId="0" xr:uid="{00000000-0006-0000-0B00-0000E0060000}">
      <text>
        <r>
          <rPr>
            <b/>
            <sz val="10"/>
            <color indexed="81"/>
            <rFont val="Tahoma"/>
            <family val="2"/>
          </rPr>
          <t>Data Entry Cell, Other Development Cost 3</t>
        </r>
      </text>
    </comment>
    <comment ref="K89" authorId="1" shapeId="0" xr:uid="{00000000-0006-0000-0B00-0000E1060000}">
      <text>
        <r>
          <rPr>
            <b/>
            <sz val="10"/>
            <color indexed="81"/>
            <rFont val="Tahoma"/>
            <family val="2"/>
          </rPr>
          <t>Data Entry Cell, Other Development Cost 3</t>
        </r>
      </text>
    </comment>
    <comment ref="L89" authorId="1" shapeId="0" xr:uid="{00000000-0006-0000-0B00-0000E2060000}">
      <text>
        <r>
          <rPr>
            <b/>
            <sz val="10"/>
            <color indexed="81"/>
            <rFont val="Tahoma"/>
            <family val="2"/>
          </rPr>
          <t>Data Entry Cell, Other Development Cost 3</t>
        </r>
      </text>
    </comment>
    <comment ref="M89" authorId="1" shapeId="0" xr:uid="{00000000-0006-0000-0B00-0000E3060000}">
      <text>
        <r>
          <rPr>
            <b/>
            <sz val="10"/>
            <color indexed="81"/>
            <rFont val="Tahoma"/>
            <family val="2"/>
          </rPr>
          <t>Data Entry Cell, Other Development Cost 3</t>
        </r>
      </text>
    </comment>
    <comment ref="N89" authorId="1" shapeId="0" xr:uid="{00000000-0006-0000-0B00-0000E4060000}">
      <text>
        <r>
          <rPr>
            <b/>
            <sz val="10"/>
            <color indexed="81"/>
            <rFont val="Tahoma"/>
            <family val="2"/>
          </rPr>
          <t>Data Entry Cell, Other Development Cost 3</t>
        </r>
      </text>
    </comment>
    <comment ref="O89" authorId="1" shapeId="0" xr:uid="{00000000-0006-0000-0B00-0000E5060000}">
      <text>
        <r>
          <rPr>
            <b/>
            <sz val="10"/>
            <color indexed="81"/>
            <rFont val="Tahoma"/>
            <family val="2"/>
          </rPr>
          <t>Data Entry Cell, Other Development Cost 3</t>
        </r>
      </text>
    </comment>
    <comment ref="P89" authorId="1" shapeId="0" xr:uid="{00000000-0006-0000-0B00-0000E6060000}">
      <text>
        <r>
          <rPr>
            <b/>
            <sz val="10"/>
            <color indexed="81"/>
            <rFont val="Tahoma"/>
            <family val="2"/>
          </rPr>
          <t>Data Entry Cell, Other Development Cost 3</t>
        </r>
      </text>
    </comment>
    <comment ref="Q89" authorId="1" shapeId="0" xr:uid="{00000000-0006-0000-0B00-0000E7060000}">
      <text>
        <r>
          <rPr>
            <b/>
            <sz val="10"/>
            <color indexed="81"/>
            <rFont val="Tahoma"/>
            <family val="2"/>
          </rPr>
          <t>Data Entry Cell, Other Development Cost 3</t>
        </r>
      </text>
    </comment>
    <comment ref="R89" authorId="1" shapeId="0" xr:uid="{00000000-0006-0000-0B00-0000E8060000}">
      <text>
        <r>
          <rPr>
            <b/>
            <sz val="10"/>
            <color indexed="81"/>
            <rFont val="Tahoma"/>
            <family val="2"/>
          </rPr>
          <t>Data Entry Cell, Other Development Cost 3</t>
        </r>
      </text>
    </comment>
    <comment ref="S89" authorId="1" shapeId="0" xr:uid="{00000000-0006-0000-0B00-0000E9060000}">
      <text>
        <r>
          <rPr>
            <b/>
            <sz val="10"/>
            <color indexed="81"/>
            <rFont val="Tahoma"/>
            <family val="2"/>
          </rPr>
          <t>Data Entry Cell, Other Development Cost 3</t>
        </r>
      </text>
    </comment>
    <comment ref="T89" authorId="1" shapeId="0" xr:uid="{00000000-0006-0000-0B00-0000EA060000}">
      <text>
        <r>
          <rPr>
            <b/>
            <sz val="10"/>
            <color indexed="81"/>
            <rFont val="Tahoma"/>
            <family val="2"/>
          </rPr>
          <t>Data Entry Cell, Other Development Cost 3</t>
        </r>
      </text>
    </comment>
    <comment ref="U89" authorId="1" shapeId="0" xr:uid="{00000000-0006-0000-0B00-0000EB060000}">
      <text>
        <r>
          <rPr>
            <b/>
            <sz val="10"/>
            <color indexed="81"/>
            <rFont val="Tahoma"/>
            <family val="2"/>
          </rPr>
          <t>Data Entry Cell, Other Development Cost 3</t>
        </r>
      </text>
    </comment>
    <comment ref="V89" authorId="1" shapeId="0" xr:uid="{00000000-0006-0000-0B00-0000EC060000}">
      <text>
        <r>
          <rPr>
            <b/>
            <sz val="10"/>
            <color indexed="81"/>
            <rFont val="Tahoma"/>
            <family val="2"/>
          </rPr>
          <t>Data Entry Cell, Other Development Cost 3</t>
        </r>
      </text>
    </comment>
    <comment ref="W89" authorId="1" shapeId="0" xr:uid="{00000000-0006-0000-0B00-0000ED060000}">
      <text>
        <r>
          <rPr>
            <b/>
            <sz val="10"/>
            <color indexed="81"/>
            <rFont val="Tahoma"/>
            <family val="2"/>
          </rPr>
          <t>Data Entry Cell, Other Development Cost 3</t>
        </r>
      </text>
    </comment>
    <comment ref="X89" authorId="1" shapeId="0" xr:uid="{00000000-0006-0000-0B00-0000EE060000}">
      <text>
        <r>
          <rPr>
            <b/>
            <sz val="10"/>
            <color indexed="81"/>
            <rFont val="Tahoma"/>
            <family val="2"/>
          </rPr>
          <t>Data Entry Cell, Other Development Cost 3</t>
        </r>
      </text>
    </comment>
    <comment ref="Y89" authorId="1" shapeId="0" xr:uid="{00000000-0006-0000-0B00-0000EF060000}">
      <text>
        <r>
          <rPr>
            <b/>
            <sz val="10"/>
            <color indexed="81"/>
            <rFont val="Tahoma"/>
            <family val="2"/>
          </rPr>
          <t>Data Entry Cell, Other Development Cost 3</t>
        </r>
      </text>
    </comment>
    <comment ref="Z89" authorId="1" shapeId="0" xr:uid="{00000000-0006-0000-0B00-0000F0060000}">
      <text>
        <r>
          <rPr>
            <b/>
            <sz val="10"/>
            <color indexed="81"/>
            <rFont val="Tahoma"/>
            <family val="2"/>
          </rPr>
          <t>Data Entry Cell, Other Development Cost 3</t>
        </r>
      </text>
    </comment>
    <comment ref="AA89" authorId="1" shapeId="0" xr:uid="{00000000-0006-0000-0B00-0000F1060000}">
      <text>
        <r>
          <rPr>
            <b/>
            <sz val="10"/>
            <color indexed="81"/>
            <rFont val="Tahoma"/>
            <family val="2"/>
          </rPr>
          <t>Data Entry Cell, Other Development Cost 3</t>
        </r>
      </text>
    </comment>
    <comment ref="AB89" authorId="1" shapeId="0" xr:uid="{00000000-0006-0000-0B00-0000F2060000}">
      <text>
        <r>
          <rPr>
            <b/>
            <sz val="10"/>
            <color indexed="81"/>
            <rFont val="Tahoma"/>
            <family val="2"/>
          </rPr>
          <t>Data Entry Cell, Other Development Cost 3</t>
        </r>
      </text>
    </comment>
    <comment ref="AC89" authorId="1" shapeId="0" xr:uid="{00000000-0006-0000-0B00-0000F3060000}">
      <text>
        <r>
          <rPr>
            <b/>
            <sz val="10"/>
            <color indexed="81"/>
            <rFont val="Tahoma"/>
            <family val="2"/>
          </rPr>
          <t>Data Entry Cell, Other Development Cost 3</t>
        </r>
      </text>
    </comment>
    <comment ref="E90" authorId="1" shapeId="0" xr:uid="{00000000-0006-0000-0B00-0000F4060000}">
      <text>
        <r>
          <rPr>
            <b/>
            <sz val="10"/>
            <color indexed="81"/>
            <rFont val="Tahoma"/>
            <family val="2"/>
          </rPr>
          <t>Data Entry Cell, Other Development Cost 4</t>
        </r>
      </text>
    </comment>
    <comment ref="F90" authorId="1" shapeId="0" xr:uid="{00000000-0006-0000-0B00-0000F5060000}">
      <text>
        <r>
          <rPr>
            <b/>
            <sz val="10"/>
            <color indexed="81"/>
            <rFont val="Tahoma"/>
            <family val="2"/>
          </rPr>
          <t>Data Entry Cell, Other Development Cost 4</t>
        </r>
      </text>
    </comment>
    <comment ref="G90" authorId="1" shapeId="0" xr:uid="{00000000-0006-0000-0B00-0000F6060000}">
      <text>
        <r>
          <rPr>
            <b/>
            <sz val="10"/>
            <color indexed="81"/>
            <rFont val="Tahoma"/>
            <family val="2"/>
          </rPr>
          <t>Data Entry Cell, Other Development Cost 4</t>
        </r>
      </text>
    </comment>
    <comment ref="H90" authorId="1" shapeId="0" xr:uid="{00000000-0006-0000-0B00-0000F7060000}">
      <text>
        <r>
          <rPr>
            <b/>
            <sz val="10"/>
            <color indexed="81"/>
            <rFont val="Tahoma"/>
            <family val="2"/>
          </rPr>
          <t>Data Entry Cell, Other Development Cost 4</t>
        </r>
      </text>
    </comment>
    <comment ref="I90" authorId="1" shapeId="0" xr:uid="{00000000-0006-0000-0B00-0000F8060000}">
      <text>
        <r>
          <rPr>
            <b/>
            <sz val="10"/>
            <color indexed="81"/>
            <rFont val="Tahoma"/>
            <family val="2"/>
          </rPr>
          <t>Data Entry Cell, Other Development Cost 4</t>
        </r>
      </text>
    </comment>
    <comment ref="J90" authorId="1" shapeId="0" xr:uid="{00000000-0006-0000-0B00-0000F9060000}">
      <text>
        <r>
          <rPr>
            <b/>
            <sz val="10"/>
            <color indexed="81"/>
            <rFont val="Tahoma"/>
            <family val="2"/>
          </rPr>
          <t>Data Entry Cell, Other Development Cost 4</t>
        </r>
      </text>
    </comment>
    <comment ref="K90" authorId="1" shapeId="0" xr:uid="{00000000-0006-0000-0B00-0000FA060000}">
      <text>
        <r>
          <rPr>
            <b/>
            <sz val="10"/>
            <color indexed="81"/>
            <rFont val="Tahoma"/>
            <family val="2"/>
          </rPr>
          <t>Data Entry Cell, Other Development Cost 4</t>
        </r>
      </text>
    </comment>
    <comment ref="L90" authorId="1" shapeId="0" xr:uid="{00000000-0006-0000-0B00-0000FB060000}">
      <text>
        <r>
          <rPr>
            <b/>
            <sz val="10"/>
            <color indexed="81"/>
            <rFont val="Tahoma"/>
            <family val="2"/>
          </rPr>
          <t>Data Entry Cell, Other Development Cost 4</t>
        </r>
      </text>
    </comment>
    <comment ref="M90" authorId="1" shapeId="0" xr:uid="{00000000-0006-0000-0B00-0000FC060000}">
      <text>
        <r>
          <rPr>
            <b/>
            <sz val="10"/>
            <color indexed="81"/>
            <rFont val="Tahoma"/>
            <family val="2"/>
          </rPr>
          <t>Data Entry Cell, Other Development Cost 4</t>
        </r>
      </text>
    </comment>
    <comment ref="N90" authorId="1" shapeId="0" xr:uid="{00000000-0006-0000-0B00-0000FD060000}">
      <text>
        <r>
          <rPr>
            <b/>
            <sz val="10"/>
            <color indexed="81"/>
            <rFont val="Tahoma"/>
            <family val="2"/>
          </rPr>
          <t>Data Entry Cell, Other Development Cost 4</t>
        </r>
      </text>
    </comment>
    <comment ref="O90" authorId="1" shapeId="0" xr:uid="{00000000-0006-0000-0B00-0000FE060000}">
      <text>
        <r>
          <rPr>
            <b/>
            <sz val="10"/>
            <color indexed="81"/>
            <rFont val="Tahoma"/>
            <family val="2"/>
          </rPr>
          <t>Data Entry Cell, Other Development Cost 4</t>
        </r>
      </text>
    </comment>
    <comment ref="P90" authorId="1" shapeId="0" xr:uid="{00000000-0006-0000-0B00-0000FF060000}">
      <text>
        <r>
          <rPr>
            <b/>
            <sz val="10"/>
            <color indexed="81"/>
            <rFont val="Tahoma"/>
            <family val="2"/>
          </rPr>
          <t>Data Entry Cell, Other Development Cost 4</t>
        </r>
      </text>
    </comment>
    <comment ref="Q90" authorId="1" shapeId="0" xr:uid="{00000000-0006-0000-0B00-000000070000}">
      <text>
        <r>
          <rPr>
            <b/>
            <sz val="10"/>
            <color indexed="81"/>
            <rFont val="Tahoma"/>
            <family val="2"/>
          </rPr>
          <t>Data Entry Cell, Other Development Cost 4</t>
        </r>
      </text>
    </comment>
    <comment ref="R90" authorId="1" shapeId="0" xr:uid="{00000000-0006-0000-0B00-000001070000}">
      <text>
        <r>
          <rPr>
            <b/>
            <sz val="10"/>
            <color indexed="81"/>
            <rFont val="Tahoma"/>
            <family val="2"/>
          </rPr>
          <t>Data Entry Cell, Other Development Cost 4</t>
        </r>
      </text>
    </comment>
    <comment ref="S90" authorId="1" shapeId="0" xr:uid="{00000000-0006-0000-0B00-000002070000}">
      <text>
        <r>
          <rPr>
            <b/>
            <sz val="10"/>
            <color indexed="81"/>
            <rFont val="Tahoma"/>
            <family val="2"/>
          </rPr>
          <t>Data Entry Cell, Other Development Cost 4</t>
        </r>
      </text>
    </comment>
    <comment ref="T90" authorId="1" shapeId="0" xr:uid="{00000000-0006-0000-0B00-000003070000}">
      <text>
        <r>
          <rPr>
            <b/>
            <sz val="10"/>
            <color indexed="81"/>
            <rFont val="Tahoma"/>
            <family val="2"/>
          </rPr>
          <t>Data Entry Cell, Other Development Cost 4</t>
        </r>
      </text>
    </comment>
    <comment ref="U90" authorId="1" shapeId="0" xr:uid="{00000000-0006-0000-0B00-000004070000}">
      <text>
        <r>
          <rPr>
            <b/>
            <sz val="10"/>
            <color indexed="81"/>
            <rFont val="Tahoma"/>
            <family val="2"/>
          </rPr>
          <t>Data Entry Cell, Other Development Cost 4</t>
        </r>
      </text>
    </comment>
    <comment ref="V90" authorId="1" shapeId="0" xr:uid="{00000000-0006-0000-0B00-000005070000}">
      <text>
        <r>
          <rPr>
            <b/>
            <sz val="10"/>
            <color indexed="81"/>
            <rFont val="Tahoma"/>
            <family val="2"/>
          </rPr>
          <t>Data Entry Cell, Other Development Cost 4</t>
        </r>
      </text>
    </comment>
    <comment ref="W90" authorId="1" shapeId="0" xr:uid="{00000000-0006-0000-0B00-000006070000}">
      <text>
        <r>
          <rPr>
            <b/>
            <sz val="10"/>
            <color indexed="81"/>
            <rFont val="Tahoma"/>
            <family val="2"/>
          </rPr>
          <t>Data Entry Cell, Other Development Cost 4</t>
        </r>
      </text>
    </comment>
    <comment ref="X90" authorId="1" shapeId="0" xr:uid="{00000000-0006-0000-0B00-000007070000}">
      <text>
        <r>
          <rPr>
            <b/>
            <sz val="10"/>
            <color indexed="81"/>
            <rFont val="Tahoma"/>
            <family val="2"/>
          </rPr>
          <t>Data Entry Cell, Other Development Cost 4</t>
        </r>
      </text>
    </comment>
    <comment ref="Y90" authorId="1" shapeId="0" xr:uid="{00000000-0006-0000-0B00-000008070000}">
      <text>
        <r>
          <rPr>
            <b/>
            <sz val="10"/>
            <color indexed="81"/>
            <rFont val="Tahoma"/>
            <family val="2"/>
          </rPr>
          <t>Data Entry Cell, Other Development Cost 4</t>
        </r>
      </text>
    </comment>
    <comment ref="Z90" authorId="1" shapeId="0" xr:uid="{00000000-0006-0000-0B00-000009070000}">
      <text>
        <r>
          <rPr>
            <b/>
            <sz val="10"/>
            <color indexed="81"/>
            <rFont val="Tahoma"/>
            <family val="2"/>
          </rPr>
          <t>Data Entry Cell, Other Development Cost 4</t>
        </r>
      </text>
    </comment>
    <comment ref="AA90" authorId="1" shapeId="0" xr:uid="{00000000-0006-0000-0B00-00000A070000}">
      <text>
        <r>
          <rPr>
            <b/>
            <sz val="10"/>
            <color indexed="81"/>
            <rFont val="Tahoma"/>
            <family val="2"/>
          </rPr>
          <t>Data Entry Cell, Other Development Cost 4</t>
        </r>
      </text>
    </comment>
    <comment ref="AB90" authorId="1" shapeId="0" xr:uid="{00000000-0006-0000-0B00-00000B070000}">
      <text>
        <r>
          <rPr>
            <b/>
            <sz val="10"/>
            <color indexed="81"/>
            <rFont val="Tahoma"/>
            <family val="2"/>
          </rPr>
          <t>Data Entry Cell, Other Development Cost 4</t>
        </r>
      </text>
    </comment>
    <comment ref="AC90" authorId="1" shapeId="0" xr:uid="{00000000-0006-0000-0B00-00000C070000}">
      <text>
        <r>
          <rPr>
            <b/>
            <sz val="10"/>
            <color indexed="81"/>
            <rFont val="Tahoma"/>
            <family val="2"/>
          </rPr>
          <t>Data Entry Cell, Other Development Cost 4</t>
        </r>
      </text>
    </comment>
    <comment ref="E91" authorId="1" shapeId="0" xr:uid="{00000000-0006-0000-0B00-00000D070000}">
      <text>
        <r>
          <rPr>
            <b/>
            <sz val="10"/>
            <color indexed="81"/>
            <rFont val="Tahoma"/>
            <family val="2"/>
          </rPr>
          <t>Data Entry Cell, Other Development Cost 5</t>
        </r>
      </text>
    </comment>
    <comment ref="F91" authorId="1" shapeId="0" xr:uid="{00000000-0006-0000-0B00-00000E070000}">
      <text>
        <r>
          <rPr>
            <b/>
            <sz val="10"/>
            <color indexed="81"/>
            <rFont val="Tahoma"/>
            <family val="2"/>
          </rPr>
          <t>Data Entry Cell, Other Development Cost 5</t>
        </r>
      </text>
    </comment>
    <comment ref="G91" authorId="1" shapeId="0" xr:uid="{00000000-0006-0000-0B00-00000F070000}">
      <text>
        <r>
          <rPr>
            <b/>
            <sz val="10"/>
            <color indexed="81"/>
            <rFont val="Tahoma"/>
            <family val="2"/>
          </rPr>
          <t>Data Entry Cell, Other Development Cost 5</t>
        </r>
      </text>
    </comment>
    <comment ref="H91" authorId="1" shapeId="0" xr:uid="{00000000-0006-0000-0B00-000010070000}">
      <text>
        <r>
          <rPr>
            <b/>
            <sz val="10"/>
            <color indexed="81"/>
            <rFont val="Tahoma"/>
            <family val="2"/>
          </rPr>
          <t>Data Entry Cell, Other Development Cost 5</t>
        </r>
      </text>
    </comment>
    <comment ref="I91" authorId="1" shapeId="0" xr:uid="{00000000-0006-0000-0B00-000011070000}">
      <text>
        <r>
          <rPr>
            <b/>
            <sz val="10"/>
            <color indexed="81"/>
            <rFont val="Tahoma"/>
            <family val="2"/>
          </rPr>
          <t>Data Entry Cell, Other Development Cost 5</t>
        </r>
      </text>
    </comment>
    <comment ref="J91" authorId="1" shapeId="0" xr:uid="{00000000-0006-0000-0B00-000012070000}">
      <text>
        <r>
          <rPr>
            <b/>
            <sz val="10"/>
            <color indexed="81"/>
            <rFont val="Tahoma"/>
            <family val="2"/>
          </rPr>
          <t>Data Entry Cell, Other Development Cost 5</t>
        </r>
      </text>
    </comment>
    <comment ref="K91" authorId="1" shapeId="0" xr:uid="{00000000-0006-0000-0B00-000013070000}">
      <text>
        <r>
          <rPr>
            <b/>
            <sz val="10"/>
            <color indexed="81"/>
            <rFont val="Tahoma"/>
            <family val="2"/>
          </rPr>
          <t>Data Entry Cell, Other Development Cost 5</t>
        </r>
      </text>
    </comment>
    <comment ref="L91" authorId="1" shapeId="0" xr:uid="{00000000-0006-0000-0B00-000014070000}">
      <text>
        <r>
          <rPr>
            <b/>
            <sz val="10"/>
            <color indexed="81"/>
            <rFont val="Tahoma"/>
            <family val="2"/>
          </rPr>
          <t>Data Entry Cell, Other Development Cost 5</t>
        </r>
      </text>
    </comment>
    <comment ref="M91" authorId="1" shapeId="0" xr:uid="{00000000-0006-0000-0B00-000015070000}">
      <text>
        <r>
          <rPr>
            <b/>
            <sz val="10"/>
            <color indexed="81"/>
            <rFont val="Tahoma"/>
            <family val="2"/>
          </rPr>
          <t>Data Entry Cell, Other Development Cost 5</t>
        </r>
      </text>
    </comment>
    <comment ref="N91" authorId="1" shapeId="0" xr:uid="{00000000-0006-0000-0B00-000016070000}">
      <text>
        <r>
          <rPr>
            <b/>
            <sz val="10"/>
            <color indexed="81"/>
            <rFont val="Tahoma"/>
            <family val="2"/>
          </rPr>
          <t>Data Entry Cell, Other Development Cost 5</t>
        </r>
      </text>
    </comment>
    <comment ref="O91" authorId="1" shapeId="0" xr:uid="{00000000-0006-0000-0B00-000017070000}">
      <text>
        <r>
          <rPr>
            <b/>
            <sz val="10"/>
            <color indexed="81"/>
            <rFont val="Tahoma"/>
            <family val="2"/>
          </rPr>
          <t>Data Entry Cell, Other Development Cost 5</t>
        </r>
      </text>
    </comment>
    <comment ref="P91" authorId="1" shapeId="0" xr:uid="{00000000-0006-0000-0B00-000018070000}">
      <text>
        <r>
          <rPr>
            <b/>
            <sz val="10"/>
            <color indexed="81"/>
            <rFont val="Tahoma"/>
            <family val="2"/>
          </rPr>
          <t>Data Entry Cell, Other Development Cost 5</t>
        </r>
      </text>
    </comment>
    <comment ref="Q91" authorId="1" shapeId="0" xr:uid="{00000000-0006-0000-0B00-000019070000}">
      <text>
        <r>
          <rPr>
            <b/>
            <sz val="10"/>
            <color indexed="81"/>
            <rFont val="Tahoma"/>
            <family val="2"/>
          </rPr>
          <t>Data Entry Cell, Other Development Cost 5</t>
        </r>
      </text>
    </comment>
    <comment ref="R91" authorId="1" shapeId="0" xr:uid="{00000000-0006-0000-0B00-00001A070000}">
      <text>
        <r>
          <rPr>
            <b/>
            <sz val="10"/>
            <color indexed="81"/>
            <rFont val="Tahoma"/>
            <family val="2"/>
          </rPr>
          <t>Data Entry Cell, Other Development Cost 5</t>
        </r>
      </text>
    </comment>
    <comment ref="S91" authorId="1" shapeId="0" xr:uid="{00000000-0006-0000-0B00-00001B070000}">
      <text>
        <r>
          <rPr>
            <b/>
            <sz val="10"/>
            <color indexed="81"/>
            <rFont val="Tahoma"/>
            <family val="2"/>
          </rPr>
          <t>Data Entry Cell, Other Development Cost 5</t>
        </r>
      </text>
    </comment>
    <comment ref="T91" authorId="1" shapeId="0" xr:uid="{00000000-0006-0000-0B00-00001C070000}">
      <text>
        <r>
          <rPr>
            <b/>
            <sz val="10"/>
            <color indexed="81"/>
            <rFont val="Tahoma"/>
            <family val="2"/>
          </rPr>
          <t>Data Entry Cell, Other Development Cost 5</t>
        </r>
      </text>
    </comment>
    <comment ref="U91" authorId="1" shapeId="0" xr:uid="{00000000-0006-0000-0B00-00001D070000}">
      <text>
        <r>
          <rPr>
            <b/>
            <sz val="10"/>
            <color indexed="81"/>
            <rFont val="Tahoma"/>
            <family val="2"/>
          </rPr>
          <t>Data Entry Cell, Other Development Cost 5</t>
        </r>
      </text>
    </comment>
    <comment ref="V91" authorId="1" shapeId="0" xr:uid="{00000000-0006-0000-0B00-00001E070000}">
      <text>
        <r>
          <rPr>
            <b/>
            <sz val="10"/>
            <color indexed="81"/>
            <rFont val="Tahoma"/>
            <family val="2"/>
          </rPr>
          <t>Data Entry Cell, Other Development Cost 5</t>
        </r>
      </text>
    </comment>
    <comment ref="W91" authorId="1" shapeId="0" xr:uid="{00000000-0006-0000-0B00-00001F070000}">
      <text>
        <r>
          <rPr>
            <b/>
            <sz val="10"/>
            <color indexed="81"/>
            <rFont val="Tahoma"/>
            <family val="2"/>
          </rPr>
          <t>Data Entry Cell, Other Development Cost 5</t>
        </r>
      </text>
    </comment>
    <comment ref="X91" authorId="1" shapeId="0" xr:uid="{00000000-0006-0000-0B00-000020070000}">
      <text>
        <r>
          <rPr>
            <b/>
            <sz val="10"/>
            <color indexed="81"/>
            <rFont val="Tahoma"/>
            <family val="2"/>
          </rPr>
          <t>Data Entry Cell, Other Development Cost 5</t>
        </r>
      </text>
    </comment>
    <comment ref="Y91" authorId="1" shapeId="0" xr:uid="{00000000-0006-0000-0B00-000021070000}">
      <text>
        <r>
          <rPr>
            <b/>
            <sz val="10"/>
            <color indexed="81"/>
            <rFont val="Tahoma"/>
            <family val="2"/>
          </rPr>
          <t>Data Entry Cell, Other Development Cost 5</t>
        </r>
      </text>
    </comment>
    <comment ref="Z91" authorId="1" shapeId="0" xr:uid="{00000000-0006-0000-0B00-000022070000}">
      <text>
        <r>
          <rPr>
            <b/>
            <sz val="10"/>
            <color indexed="81"/>
            <rFont val="Tahoma"/>
            <family val="2"/>
          </rPr>
          <t>Data Entry Cell, Other Development Cost 5</t>
        </r>
      </text>
    </comment>
    <comment ref="AA91" authorId="1" shapeId="0" xr:uid="{00000000-0006-0000-0B00-000023070000}">
      <text>
        <r>
          <rPr>
            <b/>
            <sz val="10"/>
            <color indexed="81"/>
            <rFont val="Tahoma"/>
            <family val="2"/>
          </rPr>
          <t>Data Entry Cell, Other Development Cost 5</t>
        </r>
      </text>
    </comment>
    <comment ref="AB91" authorId="1" shapeId="0" xr:uid="{00000000-0006-0000-0B00-000024070000}">
      <text>
        <r>
          <rPr>
            <b/>
            <sz val="10"/>
            <color indexed="81"/>
            <rFont val="Tahoma"/>
            <family val="2"/>
          </rPr>
          <t>Data Entry Cell, Other Development Cost 5</t>
        </r>
      </text>
    </comment>
    <comment ref="AC91" authorId="1" shapeId="0" xr:uid="{00000000-0006-0000-0B00-000025070000}">
      <text>
        <r>
          <rPr>
            <b/>
            <sz val="10"/>
            <color indexed="81"/>
            <rFont val="Tahoma"/>
            <family val="2"/>
          </rPr>
          <t>Data Entry Cell, Other Development Cost 5</t>
        </r>
      </text>
    </comment>
    <comment ref="E92" authorId="1" shapeId="0" xr:uid="{00000000-0006-0000-0B00-000026070000}">
      <text>
        <r>
          <rPr>
            <b/>
            <sz val="10"/>
            <color indexed="81"/>
            <rFont val="Tahoma"/>
            <family val="2"/>
          </rPr>
          <t>Data Entry Cell, Other Development Cost 6</t>
        </r>
      </text>
    </comment>
    <comment ref="F92" authorId="1" shapeId="0" xr:uid="{00000000-0006-0000-0B00-000027070000}">
      <text>
        <r>
          <rPr>
            <b/>
            <sz val="10"/>
            <color indexed="81"/>
            <rFont val="Tahoma"/>
            <family val="2"/>
          </rPr>
          <t>Data Entry Cell, Other Development Cost 6</t>
        </r>
      </text>
    </comment>
    <comment ref="G92" authorId="1" shapeId="0" xr:uid="{00000000-0006-0000-0B00-000028070000}">
      <text>
        <r>
          <rPr>
            <b/>
            <sz val="10"/>
            <color indexed="81"/>
            <rFont val="Tahoma"/>
            <family val="2"/>
          </rPr>
          <t>Data Entry Cell, Other Development Cost 6</t>
        </r>
      </text>
    </comment>
    <comment ref="H92" authorId="1" shapeId="0" xr:uid="{00000000-0006-0000-0B00-000029070000}">
      <text>
        <r>
          <rPr>
            <b/>
            <sz val="10"/>
            <color indexed="81"/>
            <rFont val="Tahoma"/>
            <family val="2"/>
          </rPr>
          <t>Data Entry Cell, Other Development Cost 6</t>
        </r>
      </text>
    </comment>
    <comment ref="I92" authorId="1" shapeId="0" xr:uid="{00000000-0006-0000-0B00-00002A070000}">
      <text>
        <r>
          <rPr>
            <b/>
            <sz val="10"/>
            <color indexed="81"/>
            <rFont val="Tahoma"/>
            <family val="2"/>
          </rPr>
          <t>Data Entry Cell, Other Development Cost 6</t>
        </r>
      </text>
    </comment>
    <comment ref="J92" authorId="1" shapeId="0" xr:uid="{00000000-0006-0000-0B00-00002B070000}">
      <text>
        <r>
          <rPr>
            <b/>
            <sz val="10"/>
            <color indexed="81"/>
            <rFont val="Tahoma"/>
            <family val="2"/>
          </rPr>
          <t>Data Entry Cell, Other Development Cost 6</t>
        </r>
      </text>
    </comment>
    <comment ref="K92" authorId="1" shapeId="0" xr:uid="{00000000-0006-0000-0B00-00002C070000}">
      <text>
        <r>
          <rPr>
            <b/>
            <sz val="10"/>
            <color indexed="81"/>
            <rFont val="Tahoma"/>
            <family val="2"/>
          </rPr>
          <t>Data Entry Cell, Other Development Cost 6</t>
        </r>
      </text>
    </comment>
    <comment ref="L92" authorId="1" shapeId="0" xr:uid="{00000000-0006-0000-0B00-00002D070000}">
      <text>
        <r>
          <rPr>
            <b/>
            <sz val="10"/>
            <color indexed="81"/>
            <rFont val="Tahoma"/>
            <family val="2"/>
          </rPr>
          <t>Data Entry Cell, Other Development Cost 6</t>
        </r>
      </text>
    </comment>
    <comment ref="M92" authorId="1" shapeId="0" xr:uid="{00000000-0006-0000-0B00-00002E070000}">
      <text>
        <r>
          <rPr>
            <b/>
            <sz val="10"/>
            <color indexed="81"/>
            <rFont val="Tahoma"/>
            <family val="2"/>
          </rPr>
          <t>Data Entry Cell, Other Development Cost 6</t>
        </r>
      </text>
    </comment>
    <comment ref="N92" authorId="1" shapeId="0" xr:uid="{00000000-0006-0000-0B00-00002F070000}">
      <text>
        <r>
          <rPr>
            <b/>
            <sz val="10"/>
            <color indexed="81"/>
            <rFont val="Tahoma"/>
            <family val="2"/>
          </rPr>
          <t>Data Entry Cell, Other Development Cost 6</t>
        </r>
      </text>
    </comment>
    <comment ref="O92" authorId="1" shapeId="0" xr:uid="{00000000-0006-0000-0B00-000030070000}">
      <text>
        <r>
          <rPr>
            <b/>
            <sz val="10"/>
            <color indexed="81"/>
            <rFont val="Tahoma"/>
            <family val="2"/>
          </rPr>
          <t>Data Entry Cell, Other Development Cost 6</t>
        </r>
      </text>
    </comment>
    <comment ref="P92" authorId="1" shapeId="0" xr:uid="{00000000-0006-0000-0B00-000031070000}">
      <text>
        <r>
          <rPr>
            <b/>
            <sz val="10"/>
            <color indexed="81"/>
            <rFont val="Tahoma"/>
            <family val="2"/>
          </rPr>
          <t>Data Entry Cell, Other Development Cost 6</t>
        </r>
      </text>
    </comment>
    <comment ref="Q92" authorId="1" shapeId="0" xr:uid="{00000000-0006-0000-0B00-000032070000}">
      <text>
        <r>
          <rPr>
            <b/>
            <sz val="10"/>
            <color indexed="81"/>
            <rFont val="Tahoma"/>
            <family val="2"/>
          </rPr>
          <t>Data Entry Cell, Other Development Cost 6</t>
        </r>
      </text>
    </comment>
    <comment ref="R92" authorId="1" shapeId="0" xr:uid="{00000000-0006-0000-0B00-000033070000}">
      <text>
        <r>
          <rPr>
            <b/>
            <sz val="10"/>
            <color indexed="81"/>
            <rFont val="Tahoma"/>
            <family val="2"/>
          </rPr>
          <t>Data Entry Cell, Other Development Cost 6</t>
        </r>
      </text>
    </comment>
    <comment ref="S92" authorId="1" shapeId="0" xr:uid="{00000000-0006-0000-0B00-000034070000}">
      <text>
        <r>
          <rPr>
            <b/>
            <sz val="10"/>
            <color indexed="81"/>
            <rFont val="Tahoma"/>
            <family val="2"/>
          </rPr>
          <t>Data Entry Cell, Other Development Cost 6</t>
        </r>
      </text>
    </comment>
    <comment ref="T92" authorId="1" shapeId="0" xr:uid="{00000000-0006-0000-0B00-000035070000}">
      <text>
        <r>
          <rPr>
            <b/>
            <sz val="10"/>
            <color indexed="81"/>
            <rFont val="Tahoma"/>
            <family val="2"/>
          </rPr>
          <t>Data Entry Cell, Other Development Cost 6</t>
        </r>
      </text>
    </comment>
    <comment ref="U92" authorId="1" shapeId="0" xr:uid="{00000000-0006-0000-0B00-000036070000}">
      <text>
        <r>
          <rPr>
            <b/>
            <sz val="10"/>
            <color indexed="81"/>
            <rFont val="Tahoma"/>
            <family val="2"/>
          </rPr>
          <t>Data Entry Cell, Other Development Cost 6</t>
        </r>
      </text>
    </comment>
    <comment ref="V92" authorId="1" shapeId="0" xr:uid="{00000000-0006-0000-0B00-000037070000}">
      <text>
        <r>
          <rPr>
            <b/>
            <sz val="10"/>
            <color indexed="81"/>
            <rFont val="Tahoma"/>
            <family val="2"/>
          </rPr>
          <t>Data Entry Cell, Other Development Cost 6</t>
        </r>
      </text>
    </comment>
    <comment ref="W92" authorId="1" shapeId="0" xr:uid="{00000000-0006-0000-0B00-000038070000}">
      <text>
        <r>
          <rPr>
            <b/>
            <sz val="10"/>
            <color indexed="81"/>
            <rFont val="Tahoma"/>
            <family val="2"/>
          </rPr>
          <t>Data Entry Cell, Other Development Cost 6</t>
        </r>
      </text>
    </comment>
    <comment ref="X92" authorId="1" shapeId="0" xr:uid="{00000000-0006-0000-0B00-000039070000}">
      <text>
        <r>
          <rPr>
            <b/>
            <sz val="10"/>
            <color indexed="81"/>
            <rFont val="Tahoma"/>
            <family val="2"/>
          </rPr>
          <t>Data Entry Cell, Other Development Cost 6</t>
        </r>
      </text>
    </comment>
    <comment ref="Y92" authorId="1" shapeId="0" xr:uid="{00000000-0006-0000-0B00-00003A070000}">
      <text>
        <r>
          <rPr>
            <b/>
            <sz val="10"/>
            <color indexed="81"/>
            <rFont val="Tahoma"/>
            <family val="2"/>
          </rPr>
          <t>Data Entry Cell, Other Development Cost 6</t>
        </r>
      </text>
    </comment>
    <comment ref="Z92" authorId="1" shapeId="0" xr:uid="{00000000-0006-0000-0B00-00003B070000}">
      <text>
        <r>
          <rPr>
            <b/>
            <sz val="10"/>
            <color indexed="81"/>
            <rFont val="Tahoma"/>
            <family val="2"/>
          </rPr>
          <t>Data Entry Cell, Other Development Cost 6</t>
        </r>
      </text>
    </comment>
    <comment ref="AA92" authorId="1" shapeId="0" xr:uid="{00000000-0006-0000-0B00-00003C070000}">
      <text>
        <r>
          <rPr>
            <b/>
            <sz val="10"/>
            <color indexed="81"/>
            <rFont val="Tahoma"/>
            <family val="2"/>
          </rPr>
          <t>Data Entry Cell, Other Development Cost 6</t>
        </r>
      </text>
    </comment>
    <comment ref="AB92" authorId="1" shapeId="0" xr:uid="{00000000-0006-0000-0B00-00003D070000}">
      <text>
        <r>
          <rPr>
            <b/>
            <sz val="10"/>
            <color indexed="81"/>
            <rFont val="Tahoma"/>
            <family val="2"/>
          </rPr>
          <t>Data Entry Cell, Other Development Cost 6</t>
        </r>
      </text>
    </comment>
    <comment ref="AC92" authorId="1" shapeId="0" xr:uid="{00000000-0006-0000-0B00-00003E070000}">
      <text>
        <r>
          <rPr>
            <b/>
            <sz val="10"/>
            <color indexed="81"/>
            <rFont val="Tahoma"/>
            <family val="2"/>
          </rPr>
          <t>Data Entry Cell, Other Development Cost 6</t>
        </r>
      </text>
    </comment>
    <comment ref="A98" authorId="0" shapeId="0" xr:uid="{00000000-0006-0000-0B00-00003F070000}">
      <text>
        <r>
          <rPr>
            <b/>
            <sz val="8"/>
            <color indexed="81"/>
            <rFont val="Tahoma"/>
            <family val="2"/>
          </rPr>
          <t>On each line in the Sources of Funds section, the Total amount comes from the Development Costs sheet. The timing of each source of funds varies widely from project to project.  Be sure that each line reflects the pay-in schedule that is expected from each source for this particular project.</t>
        </r>
      </text>
    </comment>
    <comment ref="E99" authorId="1" shapeId="0" xr:uid="{00000000-0006-0000-0B00-000040070000}">
      <text>
        <r>
          <rPr>
            <b/>
            <sz val="10"/>
            <color indexed="81"/>
            <rFont val="Tahoma"/>
            <family val="2"/>
          </rPr>
          <t>Data Entry Cell,  First Mortgage Loan</t>
        </r>
      </text>
    </comment>
    <comment ref="F99" authorId="1" shapeId="0" xr:uid="{00000000-0006-0000-0B00-000041070000}">
      <text>
        <r>
          <rPr>
            <b/>
            <sz val="10"/>
            <color indexed="81"/>
            <rFont val="Tahoma"/>
            <family val="2"/>
          </rPr>
          <t>Data Entry Cell,  First Mortgage Loan</t>
        </r>
      </text>
    </comment>
    <comment ref="G99" authorId="1" shapeId="0" xr:uid="{00000000-0006-0000-0B00-000042070000}">
      <text>
        <r>
          <rPr>
            <b/>
            <sz val="10"/>
            <color indexed="81"/>
            <rFont val="Tahoma"/>
            <family val="2"/>
          </rPr>
          <t>Data Entry Cell,  First Mortgage Loan</t>
        </r>
      </text>
    </comment>
    <comment ref="H99" authorId="1" shapeId="0" xr:uid="{00000000-0006-0000-0B00-000043070000}">
      <text>
        <r>
          <rPr>
            <b/>
            <sz val="10"/>
            <color indexed="81"/>
            <rFont val="Tahoma"/>
            <family val="2"/>
          </rPr>
          <t>Data Entry Cell,  First Mortgage Loan</t>
        </r>
      </text>
    </comment>
    <comment ref="I99" authorId="1" shapeId="0" xr:uid="{00000000-0006-0000-0B00-000044070000}">
      <text>
        <r>
          <rPr>
            <b/>
            <sz val="10"/>
            <color indexed="81"/>
            <rFont val="Tahoma"/>
            <family val="2"/>
          </rPr>
          <t>Data Entry Cell,  First Mortgage Loan</t>
        </r>
      </text>
    </comment>
    <comment ref="J99" authorId="1" shapeId="0" xr:uid="{00000000-0006-0000-0B00-000045070000}">
      <text>
        <r>
          <rPr>
            <b/>
            <sz val="10"/>
            <color indexed="81"/>
            <rFont val="Tahoma"/>
            <family val="2"/>
          </rPr>
          <t>Data Entry Cell,  First Mortgage Loan</t>
        </r>
      </text>
    </comment>
    <comment ref="K99" authorId="1" shapeId="0" xr:uid="{00000000-0006-0000-0B00-000046070000}">
      <text>
        <r>
          <rPr>
            <b/>
            <sz val="10"/>
            <color indexed="81"/>
            <rFont val="Tahoma"/>
            <family val="2"/>
          </rPr>
          <t>Data Entry Cell,  First Mortgage Loan</t>
        </r>
      </text>
    </comment>
    <comment ref="L99" authorId="1" shapeId="0" xr:uid="{00000000-0006-0000-0B00-000047070000}">
      <text>
        <r>
          <rPr>
            <b/>
            <sz val="10"/>
            <color indexed="81"/>
            <rFont val="Tahoma"/>
            <family val="2"/>
          </rPr>
          <t>Data Entry Cell,  First Mortgage Loan</t>
        </r>
      </text>
    </comment>
    <comment ref="M99" authorId="1" shapeId="0" xr:uid="{00000000-0006-0000-0B00-000048070000}">
      <text>
        <r>
          <rPr>
            <b/>
            <sz val="10"/>
            <color indexed="81"/>
            <rFont val="Tahoma"/>
            <family val="2"/>
          </rPr>
          <t>Data Entry Cell,  First Mortgage Loan</t>
        </r>
      </text>
    </comment>
    <comment ref="N99" authorId="1" shapeId="0" xr:uid="{00000000-0006-0000-0B00-000049070000}">
      <text>
        <r>
          <rPr>
            <b/>
            <sz val="10"/>
            <color indexed="81"/>
            <rFont val="Tahoma"/>
            <family val="2"/>
          </rPr>
          <t>Data Entry Cell,  First Mortgage Loan</t>
        </r>
      </text>
    </comment>
    <comment ref="O99" authorId="1" shapeId="0" xr:uid="{00000000-0006-0000-0B00-00004A070000}">
      <text>
        <r>
          <rPr>
            <b/>
            <sz val="10"/>
            <color indexed="81"/>
            <rFont val="Tahoma"/>
            <family val="2"/>
          </rPr>
          <t>Data Entry Cell,  First Mortgage Loan</t>
        </r>
      </text>
    </comment>
    <comment ref="P99" authorId="1" shapeId="0" xr:uid="{00000000-0006-0000-0B00-00004B070000}">
      <text>
        <r>
          <rPr>
            <b/>
            <sz val="10"/>
            <color indexed="81"/>
            <rFont val="Tahoma"/>
            <family val="2"/>
          </rPr>
          <t>Data Entry Cell,  First Mortgage Loan</t>
        </r>
      </text>
    </comment>
    <comment ref="Q99" authorId="1" shapeId="0" xr:uid="{00000000-0006-0000-0B00-00004C070000}">
      <text>
        <r>
          <rPr>
            <b/>
            <sz val="10"/>
            <color indexed="81"/>
            <rFont val="Tahoma"/>
            <family val="2"/>
          </rPr>
          <t>Data Entry Cell,  First Mortgage Loan</t>
        </r>
      </text>
    </comment>
    <comment ref="R99" authorId="1" shapeId="0" xr:uid="{00000000-0006-0000-0B00-00004D070000}">
      <text>
        <r>
          <rPr>
            <b/>
            <sz val="10"/>
            <color indexed="81"/>
            <rFont val="Tahoma"/>
            <family val="2"/>
          </rPr>
          <t>Data Entry Cell,  First Mortgage Loan</t>
        </r>
      </text>
    </comment>
    <comment ref="S99" authorId="1" shapeId="0" xr:uid="{00000000-0006-0000-0B00-00004E070000}">
      <text>
        <r>
          <rPr>
            <b/>
            <sz val="10"/>
            <color indexed="81"/>
            <rFont val="Tahoma"/>
            <family val="2"/>
          </rPr>
          <t>Data Entry Cell,  First Mortgage Loan</t>
        </r>
      </text>
    </comment>
    <comment ref="T99" authorId="1" shapeId="0" xr:uid="{00000000-0006-0000-0B00-00004F070000}">
      <text>
        <r>
          <rPr>
            <b/>
            <sz val="10"/>
            <color indexed="81"/>
            <rFont val="Tahoma"/>
            <family val="2"/>
          </rPr>
          <t>Data Entry Cell,  First Mortgage Loan</t>
        </r>
      </text>
    </comment>
    <comment ref="U99" authorId="1" shapeId="0" xr:uid="{00000000-0006-0000-0B00-000050070000}">
      <text>
        <r>
          <rPr>
            <b/>
            <sz val="10"/>
            <color indexed="81"/>
            <rFont val="Tahoma"/>
            <family val="2"/>
          </rPr>
          <t>Data Entry Cell,  First Mortgage Loan</t>
        </r>
      </text>
    </comment>
    <comment ref="V99" authorId="1" shapeId="0" xr:uid="{00000000-0006-0000-0B00-000051070000}">
      <text>
        <r>
          <rPr>
            <b/>
            <sz val="10"/>
            <color indexed="81"/>
            <rFont val="Tahoma"/>
            <family val="2"/>
          </rPr>
          <t>Data Entry Cell,  First Mortgage Loan</t>
        </r>
      </text>
    </comment>
    <comment ref="W99" authorId="1" shapeId="0" xr:uid="{00000000-0006-0000-0B00-000052070000}">
      <text>
        <r>
          <rPr>
            <b/>
            <sz val="10"/>
            <color indexed="81"/>
            <rFont val="Tahoma"/>
            <family val="2"/>
          </rPr>
          <t>Data Entry Cell,  First Mortgage Loan</t>
        </r>
      </text>
    </comment>
    <comment ref="X99" authorId="1" shapeId="0" xr:uid="{00000000-0006-0000-0B00-000053070000}">
      <text>
        <r>
          <rPr>
            <b/>
            <sz val="10"/>
            <color indexed="81"/>
            <rFont val="Tahoma"/>
            <family val="2"/>
          </rPr>
          <t>Data Entry Cell,  First Mortgage Loan</t>
        </r>
      </text>
    </comment>
    <comment ref="Y99" authorId="1" shapeId="0" xr:uid="{00000000-0006-0000-0B00-000054070000}">
      <text>
        <r>
          <rPr>
            <b/>
            <sz val="10"/>
            <color indexed="81"/>
            <rFont val="Tahoma"/>
            <family val="2"/>
          </rPr>
          <t>Data Entry Cell,  First Mortgage Loan</t>
        </r>
      </text>
    </comment>
    <comment ref="Z99" authorId="1" shapeId="0" xr:uid="{00000000-0006-0000-0B00-000055070000}">
      <text>
        <r>
          <rPr>
            <b/>
            <sz val="10"/>
            <color indexed="81"/>
            <rFont val="Tahoma"/>
            <family val="2"/>
          </rPr>
          <t>Data Entry Cell,  First Mortgage Loan</t>
        </r>
      </text>
    </comment>
    <comment ref="AA99" authorId="1" shapeId="0" xr:uid="{00000000-0006-0000-0B00-000056070000}">
      <text>
        <r>
          <rPr>
            <b/>
            <sz val="10"/>
            <color indexed="81"/>
            <rFont val="Tahoma"/>
            <family val="2"/>
          </rPr>
          <t>Data Entry Cell,  First Mortgage Loan</t>
        </r>
      </text>
    </comment>
    <comment ref="AB99" authorId="1" shapeId="0" xr:uid="{00000000-0006-0000-0B00-000057070000}">
      <text>
        <r>
          <rPr>
            <b/>
            <sz val="10"/>
            <color indexed="81"/>
            <rFont val="Tahoma"/>
            <family val="2"/>
          </rPr>
          <t>Data Entry Cell,  First Mortgage Loan</t>
        </r>
      </text>
    </comment>
    <comment ref="AC99" authorId="1" shapeId="0" xr:uid="{00000000-0006-0000-0B00-000058070000}">
      <text>
        <r>
          <rPr>
            <b/>
            <sz val="10"/>
            <color indexed="81"/>
            <rFont val="Tahoma"/>
            <family val="2"/>
          </rPr>
          <t>Data Entry Cell,  First Mortgage Loan</t>
        </r>
      </text>
    </comment>
    <comment ref="E100" authorId="1" shapeId="0" xr:uid="{00000000-0006-0000-0B00-000059070000}">
      <text>
        <r>
          <rPr>
            <b/>
            <sz val="10"/>
            <color indexed="81"/>
            <rFont val="Tahoma"/>
            <family val="2"/>
          </rPr>
          <t>Data Entry Cell,  Amortizing 2nd Mortgage Loan</t>
        </r>
      </text>
    </comment>
    <comment ref="F100" authorId="1" shapeId="0" xr:uid="{00000000-0006-0000-0B00-00005A070000}">
      <text>
        <r>
          <rPr>
            <b/>
            <sz val="10"/>
            <color indexed="81"/>
            <rFont val="Tahoma"/>
            <family val="2"/>
          </rPr>
          <t>Data Entry Cell,  Amortizing 2nd Mortgage Loan</t>
        </r>
      </text>
    </comment>
    <comment ref="G100" authorId="1" shapeId="0" xr:uid="{00000000-0006-0000-0B00-00005B070000}">
      <text>
        <r>
          <rPr>
            <b/>
            <sz val="10"/>
            <color indexed="81"/>
            <rFont val="Tahoma"/>
            <family val="2"/>
          </rPr>
          <t>Data Entry Cell,  Amortizing 2nd Mortgage Loan</t>
        </r>
      </text>
    </comment>
    <comment ref="H100" authorId="1" shapeId="0" xr:uid="{00000000-0006-0000-0B00-00005C070000}">
      <text>
        <r>
          <rPr>
            <b/>
            <sz val="10"/>
            <color indexed="81"/>
            <rFont val="Tahoma"/>
            <family val="2"/>
          </rPr>
          <t>Data Entry Cell,  Amortizing 2nd Mortgage Loan</t>
        </r>
      </text>
    </comment>
    <comment ref="I100" authorId="1" shapeId="0" xr:uid="{00000000-0006-0000-0B00-00005D070000}">
      <text>
        <r>
          <rPr>
            <b/>
            <sz val="10"/>
            <color indexed="81"/>
            <rFont val="Tahoma"/>
            <family val="2"/>
          </rPr>
          <t>Data Entry Cell,  Amortizing 2nd Mortgage Loan</t>
        </r>
      </text>
    </comment>
    <comment ref="J100" authorId="1" shapeId="0" xr:uid="{00000000-0006-0000-0B00-00005E070000}">
      <text>
        <r>
          <rPr>
            <b/>
            <sz val="10"/>
            <color indexed="81"/>
            <rFont val="Tahoma"/>
            <family val="2"/>
          </rPr>
          <t>Data Entry Cell,  Amortizing 2nd Mortgage Loan</t>
        </r>
      </text>
    </comment>
    <comment ref="K100" authorId="1" shapeId="0" xr:uid="{00000000-0006-0000-0B00-00005F070000}">
      <text>
        <r>
          <rPr>
            <b/>
            <sz val="10"/>
            <color indexed="81"/>
            <rFont val="Tahoma"/>
            <family val="2"/>
          </rPr>
          <t>Data Entry Cell,  Amortizing 2nd Mortgage Loan</t>
        </r>
      </text>
    </comment>
    <comment ref="L100" authorId="1" shapeId="0" xr:uid="{00000000-0006-0000-0B00-000060070000}">
      <text>
        <r>
          <rPr>
            <b/>
            <sz val="10"/>
            <color indexed="81"/>
            <rFont val="Tahoma"/>
            <family val="2"/>
          </rPr>
          <t>Data Entry Cell,  Amortizing 2nd Mortgage Loan</t>
        </r>
      </text>
    </comment>
    <comment ref="M100" authorId="1" shapeId="0" xr:uid="{00000000-0006-0000-0B00-000061070000}">
      <text>
        <r>
          <rPr>
            <b/>
            <sz val="10"/>
            <color indexed="81"/>
            <rFont val="Tahoma"/>
            <family val="2"/>
          </rPr>
          <t>Data Entry Cell,  Amortizing 2nd Mortgage Loan</t>
        </r>
      </text>
    </comment>
    <comment ref="N100" authorId="1" shapeId="0" xr:uid="{00000000-0006-0000-0B00-000062070000}">
      <text>
        <r>
          <rPr>
            <b/>
            <sz val="10"/>
            <color indexed="81"/>
            <rFont val="Tahoma"/>
            <family val="2"/>
          </rPr>
          <t>Data Entry Cell,  Amortizing 2nd Mortgage Loan</t>
        </r>
      </text>
    </comment>
    <comment ref="O100" authorId="1" shapeId="0" xr:uid="{00000000-0006-0000-0B00-000063070000}">
      <text>
        <r>
          <rPr>
            <b/>
            <sz val="10"/>
            <color indexed="81"/>
            <rFont val="Tahoma"/>
            <family val="2"/>
          </rPr>
          <t>Data Entry Cell,  Amortizing 2nd Mortgage Loan</t>
        </r>
      </text>
    </comment>
    <comment ref="P100" authorId="1" shapeId="0" xr:uid="{00000000-0006-0000-0B00-000064070000}">
      <text>
        <r>
          <rPr>
            <b/>
            <sz val="10"/>
            <color indexed="81"/>
            <rFont val="Tahoma"/>
            <family val="2"/>
          </rPr>
          <t>Data Entry Cell,  Amortizing 2nd Mortgage Loan</t>
        </r>
      </text>
    </comment>
    <comment ref="Q100" authorId="1" shapeId="0" xr:uid="{00000000-0006-0000-0B00-000065070000}">
      <text>
        <r>
          <rPr>
            <b/>
            <sz val="10"/>
            <color indexed="81"/>
            <rFont val="Tahoma"/>
            <family val="2"/>
          </rPr>
          <t>Data Entry Cell,  Amortizing 2nd Mortgage Loan</t>
        </r>
      </text>
    </comment>
    <comment ref="R100" authorId="1" shapeId="0" xr:uid="{00000000-0006-0000-0B00-000066070000}">
      <text>
        <r>
          <rPr>
            <b/>
            <sz val="10"/>
            <color indexed="81"/>
            <rFont val="Tahoma"/>
            <family val="2"/>
          </rPr>
          <t>Data Entry Cell,  Amortizing 2nd Mortgage Loan</t>
        </r>
      </text>
    </comment>
    <comment ref="S100" authorId="1" shapeId="0" xr:uid="{00000000-0006-0000-0B00-000067070000}">
      <text>
        <r>
          <rPr>
            <b/>
            <sz val="10"/>
            <color indexed="81"/>
            <rFont val="Tahoma"/>
            <family val="2"/>
          </rPr>
          <t>Data Entry Cell,  Amortizing 2nd Mortgage Loan</t>
        </r>
      </text>
    </comment>
    <comment ref="T100" authorId="1" shapeId="0" xr:uid="{00000000-0006-0000-0B00-000068070000}">
      <text>
        <r>
          <rPr>
            <b/>
            <sz val="10"/>
            <color indexed="81"/>
            <rFont val="Tahoma"/>
            <family val="2"/>
          </rPr>
          <t>Data Entry Cell,  Amortizing 2nd Mortgage Loan</t>
        </r>
      </text>
    </comment>
    <comment ref="U100" authorId="1" shapeId="0" xr:uid="{00000000-0006-0000-0B00-000069070000}">
      <text>
        <r>
          <rPr>
            <b/>
            <sz val="10"/>
            <color indexed="81"/>
            <rFont val="Tahoma"/>
            <family val="2"/>
          </rPr>
          <t>Data Entry Cell,  Amortizing 2nd Mortgage Loan</t>
        </r>
      </text>
    </comment>
    <comment ref="V100" authorId="1" shapeId="0" xr:uid="{00000000-0006-0000-0B00-00006A070000}">
      <text>
        <r>
          <rPr>
            <b/>
            <sz val="10"/>
            <color indexed="81"/>
            <rFont val="Tahoma"/>
            <family val="2"/>
          </rPr>
          <t>Data Entry Cell,  Amortizing 2nd Mortgage Loan</t>
        </r>
      </text>
    </comment>
    <comment ref="W100" authorId="1" shapeId="0" xr:uid="{00000000-0006-0000-0B00-00006B070000}">
      <text>
        <r>
          <rPr>
            <b/>
            <sz val="10"/>
            <color indexed="81"/>
            <rFont val="Tahoma"/>
            <family val="2"/>
          </rPr>
          <t>Data Entry Cell,  Amortizing 2nd Mortgage Loan</t>
        </r>
      </text>
    </comment>
    <comment ref="X100" authorId="1" shapeId="0" xr:uid="{00000000-0006-0000-0B00-00006C070000}">
      <text>
        <r>
          <rPr>
            <b/>
            <sz val="10"/>
            <color indexed="81"/>
            <rFont val="Tahoma"/>
            <family val="2"/>
          </rPr>
          <t>Data Entry Cell,  Amortizing 2nd Mortgage Loan</t>
        </r>
      </text>
    </comment>
    <comment ref="Y100" authorId="1" shapeId="0" xr:uid="{00000000-0006-0000-0B00-00006D070000}">
      <text>
        <r>
          <rPr>
            <b/>
            <sz val="10"/>
            <color indexed="81"/>
            <rFont val="Tahoma"/>
            <family val="2"/>
          </rPr>
          <t>Data Entry Cell,  Amortizing 2nd Mortgage Loan</t>
        </r>
      </text>
    </comment>
    <comment ref="Z100" authorId="1" shapeId="0" xr:uid="{00000000-0006-0000-0B00-00006E070000}">
      <text>
        <r>
          <rPr>
            <b/>
            <sz val="10"/>
            <color indexed="81"/>
            <rFont val="Tahoma"/>
            <family val="2"/>
          </rPr>
          <t>Data Entry Cell,  Amortizing 2nd Mortgage Loan</t>
        </r>
      </text>
    </comment>
    <comment ref="AA100" authorId="1" shapeId="0" xr:uid="{00000000-0006-0000-0B00-00006F070000}">
      <text>
        <r>
          <rPr>
            <b/>
            <sz val="10"/>
            <color indexed="81"/>
            <rFont val="Tahoma"/>
            <family val="2"/>
          </rPr>
          <t>Data Entry Cell,  Amortizing 2nd Mortgage Loan</t>
        </r>
      </text>
    </comment>
    <comment ref="AB100" authorId="1" shapeId="0" xr:uid="{00000000-0006-0000-0B00-000070070000}">
      <text>
        <r>
          <rPr>
            <b/>
            <sz val="10"/>
            <color indexed="81"/>
            <rFont val="Tahoma"/>
            <family val="2"/>
          </rPr>
          <t>Data Entry Cell,  Amortizing 2nd Mortgage Loan</t>
        </r>
      </text>
    </comment>
    <comment ref="AC100" authorId="1" shapeId="0" xr:uid="{00000000-0006-0000-0B00-000071070000}">
      <text>
        <r>
          <rPr>
            <b/>
            <sz val="10"/>
            <color indexed="81"/>
            <rFont val="Tahoma"/>
            <family val="2"/>
          </rPr>
          <t>Data Entry Cell,  Amortizing 2nd Mortgage Loan</t>
        </r>
      </text>
    </comment>
    <comment ref="E101" authorId="1" shapeId="0" xr:uid="{00000000-0006-0000-0B00-000072070000}">
      <text>
        <r>
          <rPr>
            <b/>
            <sz val="10"/>
            <color indexed="81"/>
            <rFont val="Tahoma"/>
            <family val="2"/>
          </rPr>
          <t>Data Entry Cell,  Loan Type described at left (column C).</t>
        </r>
      </text>
    </comment>
    <comment ref="F101" authorId="1" shapeId="0" xr:uid="{00000000-0006-0000-0B00-000073070000}">
      <text>
        <r>
          <rPr>
            <b/>
            <sz val="10"/>
            <color indexed="81"/>
            <rFont val="Tahoma"/>
            <family val="2"/>
          </rPr>
          <t>Data Entry Cell,  Loan Type described at left (column C).</t>
        </r>
      </text>
    </comment>
    <comment ref="G101" authorId="1" shapeId="0" xr:uid="{00000000-0006-0000-0B00-000074070000}">
      <text>
        <r>
          <rPr>
            <b/>
            <sz val="10"/>
            <color indexed="81"/>
            <rFont val="Tahoma"/>
            <family val="2"/>
          </rPr>
          <t>Data Entry Cell,  Loan Type described at left (column C).</t>
        </r>
      </text>
    </comment>
    <comment ref="H101" authorId="1" shapeId="0" xr:uid="{00000000-0006-0000-0B00-000075070000}">
      <text>
        <r>
          <rPr>
            <b/>
            <sz val="10"/>
            <color indexed="81"/>
            <rFont val="Tahoma"/>
            <family val="2"/>
          </rPr>
          <t>Data Entry Cell,  Loan Type described at left (column C).</t>
        </r>
      </text>
    </comment>
    <comment ref="I101" authorId="1" shapeId="0" xr:uid="{00000000-0006-0000-0B00-000076070000}">
      <text>
        <r>
          <rPr>
            <b/>
            <sz val="10"/>
            <color indexed="81"/>
            <rFont val="Tahoma"/>
            <family val="2"/>
          </rPr>
          <t>Data Entry Cell,  Loan Type described at left (column C).</t>
        </r>
      </text>
    </comment>
    <comment ref="J101" authorId="1" shapeId="0" xr:uid="{00000000-0006-0000-0B00-000077070000}">
      <text>
        <r>
          <rPr>
            <b/>
            <sz val="10"/>
            <color indexed="81"/>
            <rFont val="Tahoma"/>
            <family val="2"/>
          </rPr>
          <t>Data Entry Cell,  Loan Type described at left (column C).</t>
        </r>
      </text>
    </comment>
    <comment ref="K101" authorId="1" shapeId="0" xr:uid="{00000000-0006-0000-0B00-000078070000}">
      <text>
        <r>
          <rPr>
            <b/>
            <sz val="10"/>
            <color indexed="81"/>
            <rFont val="Tahoma"/>
            <family val="2"/>
          </rPr>
          <t>Data Entry Cell,  Loan Type described at left (column C).</t>
        </r>
      </text>
    </comment>
    <comment ref="L101" authorId="1" shapeId="0" xr:uid="{00000000-0006-0000-0B00-000079070000}">
      <text>
        <r>
          <rPr>
            <b/>
            <sz val="10"/>
            <color indexed="81"/>
            <rFont val="Tahoma"/>
            <family val="2"/>
          </rPr>
          <t>Data Entry Cell,  Loan Type described at left (column C).</t>
        </r>
      </text>
    </comment>
    <comment ref="M101" authorId="1" shapeId="0" xr:uid="{00000000-0006-0000-0B00-00007A070000}">
      <text>
        <r>
          <rPr>
            <b/>
            <sz val="10"/>
            <color indexed="81"/>
            <rFont val="Tahoma"/>
            <family val="2"/>
          </rPr>
          <t>Data Entry Cell,  Loan Type described at left (column C).</t>
        </r>
      </text>
    </comment>
    <comment ref="N101" authorId="1" shapeId="0" xr:uid="{00000000-0006-0000-0B00-00007B070000}">
      <text>
        <r>
          <rPr>
            <b/>
            <sz val="10"/>
            <color indexed="81"/>
            <rFont val="Tahoma"/>
            <family val="2"/>
          </rPr>
          <t>Data Entry Cell,  Loan Type described at left (column C).</t>
        </r>
      </text>
    </comment>
    <comment ref="O101" authorId="1" shapeId="0" xr:uid="{00000000-0006-0000-0B00-00007C070000}">
      <text>
        <r>
          <rPr>
            <b/>
            <sz val="10"/>
            <color indexed="81"/>
            <rFont val="Tahoma"/>
            <family val="2"/>
          </rPr>
          <t>Data Entry Cell,  Loan Type described at left (column C).</t>
        </r>
      </text>
    </comment>
    <comment ref="P101" authorId="1" shapeId="0" xr:uid="{00000000-0006-0000-0B00-00007D070000}">
      <text>
        <r>
          <rPr>
            <b/>
            <sz val="10"/>
            <color indexed="81"/>
            <rFont val="Tahoma"/>
            <family val="2"/>
          </rPr>
          <t>Data Entry Cell,  Loan Type described at left (column C).</t>
        </r>
      </text>
    </comment>
    <comment ref="Q101" authorId="1" shapeId="0" xr:uid="{00000000-0006-0000-0B00-00007E070000}">
      <text>
        <r>
          <rPr>
            <b/>
            <sz val="10"/>
            <color indexed="81"/>
            <rFont val="Tahoma"/>
            <family val="2"/>
          </rPr>
          <t>Data Entry Cell,  Loan Type described at left (column C).</t>
        </r>
      </text>
    </comment>
    <comment ref="R101" authorId="1" shapeId="0" xr:uid="{00000000-0006-0000-0B00-00007F070000}">
      <text>
        <r>
          <rPr>
            <b/>
            <sz val="10"/>
            <color indexed="81"/>
            <rFont val="Tahoma"/>
            <family val="2"/>
          </rPr>
          <t>Data Entry Cell,  Loan Type described at left (column C).</t>
        </r>
      </text>
    </comment>
    <comment ref="S101" authorId="1" shapeId="0" xr:uid="{00000000-0006-0000-0B00-000080070000}">
      <text>
        <r>
          <rPr>
            <b/>
            <sz val="10"/>
            <color indexed="81"/>
            <rFont val="Tahoma"/>
            <family val="2"/>
          </rPr>
          <t>Data Entry Cell,  Loan Type described at left (column C).</t>
        </r>
      </text>
    </comment>
    <comment ref="T101" authorId="1" shapeId="0" xr:uid="{00000000-0006-0000-0B00-000081070000}">
      <text>
        <r>
          <rPr>
            <b/>
            <sz val="10"/>
            <color indexed="81"/>
            <rFont val="Tahoma"/>
            <family val="2"/>
          </rPr>
          <t>Data Entry Cell,  Loan Type described at left (column C).</t>
        </r>
      </text>
    </comment>
    <comment ref="U101" authorId="1" shapeId="0" xr:uid="{00000000-0006-0000-0B00-000082070000}">
      <text>
        <r>
          <rPr>
            <b/>
            <sz val="10"/>
            <color indexed="81"/>
            <rFont val="Tahoma"/>
            <family val="2"/>
          </rPr>
          <t>Data Entry Cell,  Loan Type described at left (column C).</t>
        </r>
      </text>
    </comment>
    <comment ref="V101" authorId="1" shapeId="0" xr:uid="{00000000-0006-0000-0B00-000083070000}">
      <text>
        <r>
          <rPr>
            <b/>
            <sz val="10"/>
            <color indexed="81"/>
            <rFont val="Tahoma"/>
            <family val="2"/>
          </rPr>
          <t>Data Entry Cell,  Loan Type described at left (column C).</t>
        </r>
      </text>
    </comment>
    <comment ref="W101" authorId="1" shapeId="0" xr:uid="{00000000-0006-0000-0B00-000084070000}">
      <text>
        <r>
          <rPr>
            <b/>
            <sz val="10"/>
            <color indexed="81"/>
            <rFont val="Tahoma"/>
            <family val="2"/>
          </rPr>
          <t>Data Entry Cell,  Loan Type described at left (column C).</t>
        </r>
      </text>
    </comment>
    <comment ref="X101" authorId="1" shapeId="0" xr:uid="{00000000-0006-0000-0B00-000085070000}">
      <text>
        <r>
          <rPr>
            <b/>
            <sz val="10"/>
            <color indexed="81"/>
            <rFont val="Tahoma"/>
            <family val="2"/>
          </rPr>
          <t>Data Entry Cell,  Loan Type described at left (column C).</t>
        </r>
      </text>
    </comment>
    <comment ref="Y101" authorId="1" shapeId="0" xr:uid="{00000000-0006-0000-0B00-000086070000}">
      <text>
        <r>
          <rPr>
            <b/>
            <sz val="10"/>
            <color indexed="81"/>
            <rFont val="Tahoma"/>
            <family val="2"/>
          </rPr>
          <t>Data Entry Cell,  Loan Type described at left (column C).</t>
        </r>
      </text>
    </comment>
    <comment ref="Z101" authorId="1" shapeId="0" xr:uid="{00000000-0006-0000-0B00-000087070000}">
      <text>
        <r>
          <rPr>
            <b/>
            <sz val="10"/>
            <color indexed="81"/>
            <rFont val="Tahoma"/>
            <family val="2"/>
          </rPr>
          <t>Data Entry Cell,  Loan Type described at left (column C).</t>
        </r>
      </text>
    </comment>
    <comment ref="AA101" authorId="1" shapeId="0" xr:uid="{00000000-0006-0000-0B00-000088070000}">
      <text>
        <r>
          <rPr>
            <b/>
            <sz val="10"/>
            <color indexed="81"/>
            <rFont val="Tahoma"/>
            <family val="2"/>
          </rPr>
          <t>Data Entry Cell,  Loan Type described at left (column C).</t>
        </r>
      </text>
    </comment>
    <comment ref="AB101" authorId="1" shapeId="0" xr:uid="{00000000-0006-0000-0B00-000089070000}">
      <text>
        <r>
          <rPr>
            <b/>
            <sz val="10"/>
            <color indexed="81"/>
            <rFont val="Tahoma"/>
            <family val="2"/>
          </rPr>
          <t>Data Entry Cell,  Loan Type described at left (column C).</t>
        </r>
      </text>
    </comment>
    <comment ref="AC101" authorId="1" shapeId="0" xr:uid="{00000000-0006-0000-0B00-00008A070000}">
      <text>
        <r>
          <rPr>
            <b/>
            <sz val="10"/>
            <color indexed="81"/>
            <rFont val="Tahoma"/>
            <family val="2"/>
          </rPr>
          <t>Data Entry Cell,  Loan Type described at left (column C).</t>
        </r>
      </text>
    </comment>
    <comment ref="E102" authorId="1" shapeId="0" xr:uid="{00000000-0006-0000-0B00-00008B070000}">
      <text>
        <r>
          <rPr>
            <b/>
            <sz val="10"/>
            <color indexed="81"/>
            <rFont val="Tahoma"/>
            <family val="2"/>
          </rPr>
          <t>Data Entry Cell,  Loan Type described at left (column C).</t>
        </r>
      </text>
    </comment>
    <comment ref="F102" authorId="1" shapeId="0" xr:uid="{00000000-0006-0000-0B00-00008C070000}">
      <text>
        <r>
          <rPr>
            <b/>
            <sz val="10"/>
            <color indexed="81"/>
            <rFont val="Tahoma"/>
            <family val="2"/>
          </rPr>
          <t>Data Entry Cell,  Loan Type described at left (column C).</t>
        </r>
      </text>
    </comment>
    <comment ref="G102" authorId="1" shapeId="0" xr:uid="{00000000-0006-0000-0B00-00008D070000}">
      <text>
        <r>
          <rPr>
            <b/>
            <sz val="10"/>
            <color indexed="81"/>
            <rFont val="Tahoma"/>
            <family val="2"/>
          </rPr>
          <t>Data Entry Cell,  Loan Type described at left (column C).</t>
        </r>
      </text>
    </comment>
    <comment ref="H102" authorId="1" shapeId="0" xr:uid="{00000000-0006-0000-0B00-00008E070000}">
      <text>
        <r>
          <rPr>
            <b/>
            <sz val="10"/>
            <color indexed="81"/>
            <rFont val="Tahoma"/>
            <family val="2"/>
          </rPr>
          <t>Data Entry Cell,  Loan Type described at left (column C).</t>
        </r>
      </text>
    </comment>
    <comment ref="I102" authorId="1" shapeId="0" xr:uid="{00000000-0006-0000-0B00-00008F070000}">
      <text>
        <r>
          <rPr>
            <b/>
            <sz val="10"/>
            <color indexed="81"/>
            <rFont val="Tahoma"/>
            <family val="2"/>
          </rPr>
          <t>Data Entry Cell,  Loan Type described at left (column C).</t>
        </r>
      </text>
    </comment>
    <comment ref="J102" authorId="1" shapeId="0" xr:uid="{00000000-0006-0000-0B00-000090070000}">
      <text>
        <r>
          <rPr>
            <b/>
            <sz val="10"/>
            <color indexed="81"/>
            <rFont val="Tahoma"/>
            <family val="2"/>
          </rPr>
          <t>Data Entry Cell,  Loan Type described at left (column C).</t>
        </r>
      </text>
    </comment>
    <comment ref="K102" authorId="1" shapeId="0" xr:uid="{00000000-0006-0000-0B00-000091070000}">
      <text>
        <r>
          <rPr>
            <b/>
            <sz val="10"/>
            <color indexed="81"/>
            <rFont val="Tahoma"/>
            <family val="2"/>
          </rPr>
          <t>Data Entry Cell,  Loan Type described at left (column C).</t>
        </r>
      </text>
    </comment>
    <comment ref="L102" authorId="1" shapeId="0" xr:uid="{00000000-0006-0000-0B00-000092070000}">
      <text>
        <r>
          <rPr>
            <b/>
            <sz val="10"/>
            <color indexed="81"/>
            <rFont val="Tahoma"/>
            <family val="2"/>
          </rPr>
          <t>Data Entry Cell,  Loan Type described at left (column C).</t>
        </r>
      </text>
    </comment>
    <comment ref="M102" authorId="1" shapeId="0" xr:uid="{00000000-0006-0000-0B00-000093070000}">
      <text>
        <r>
          <rPr>
            <b/>
            <sz val="10"/>
            <color indexed="81"/>
            <rFont val="Tahoma"/>
            <family val="2"/>
          </rPr>
          <t>Data Entry Cell,  Loan Type described at left (column C).</t>
        </r>
      </text>
    </comment>
    <comment ref="N102" authorId="1" shapeId="0" xr:uid="{00000000-0006-0000-0B00-000094070000}">
      <text>
        <r>
          <rPr>
            <b/>
            <sz val="10"/>
            <color indexed="81"/>
            <rFont val="Tahoma"/>
            <family val="2"/>
          </rPr>
          <t>Data Entry Cell,  Loan Type described at left (column C).</t>
        </r>
      </text>
    </comment>
    <comment ref="O102" authorId="1" shapeId="0" xr:uid="{00000000-0006-0000-0B00-000095070000}">
      <text>
        <r>
          <rPr>
            <b/>
            <sz val="10"/>
            <color indexed="81"/>
            <rFont val="Tahoma"/>
            <family val="2"/>
          </rPr>
          <t>Data Entry Cell,  Loan Type described at left (column C).</t>
        </r>
      </text>
    </comment>
    <comment ref="P102" authorId="1" shapeId="0" xr:uid="{00000000-0006-0000-0B00-000096070000}">
      <text>
        <r>
          <rPr>
            <b/>
            <sz val="10"/>
            <color indexed="81"/>
            <rFont val="Tahoma"/>
            <family val="2"/>
          </rPr>
          <t>Data Entry Cell,  Loan Type described at left (column C).</t>
        </r>
      </text>
    </comment>
    <comment ref="Q102" authorId="1" shapeId="0" xr:uid="{00000000-0006-0000-0B00-000097070000}">
      <text>
        <r>
          <rPr>
            <b/>
            <sz val="10"/>
            <color indexed="81"/>
            <rFont val="Tahoma"/>
            <family val="2"/>
          </rPr>
          <t>Data Entry Cell,  Loan Type described at left (column C).</t>
        </r>
      </text>
    </comment>
    <comment ref="R102" authorId="1" shapeId="0" xr:uid="{00000000-0006-0000-0B00-000098070000}">
      <text>
        <r>
          <rPr>
            <b/>
            <sz val="10"/>
            <color indexed="81"/>
            <rFont val="Tahoma"/>
            <family val="2"/>
          </rPr>
          <t>Data Entry Cell,  Loan Type described at left (column C).</t>
        </r>
      </text>
    </comment>
    <comment ref="S102" authorId="1" shapeId="0" xr:uid="{00000000-0006-0000-0B00-000099070000}">
      <text>
        <r>
          <rPr>
            <b/>
            <sz val="10"/>
            <color indexed="81"/>
            <rFont val="Tahoma"/>
            <family val="2"/>
          </rPr>
          <t>Data Entry Cell,  Loan Type described at left (column C).</t>
        </r>
      </text>
    </comment>
    <comment ref="T102" authorId="1" shapeId="0" xr:uid="{00000000-0006-0000-0B00-00009A070000}">
      <text>
        <r>
          <rPr>
            <b/>
            <sz val="10"/>
            <color indexed="81"/>
            <rFont val="Tahoma"/>
            <family val="2"/>
          </rPr>
          <t>Data Entry Cell,  Loan Type described at left (column C).</t>
        </r>
      </text>
    </comment>
    <comment ref="U102" authorId="1" shapeId="0" xr:uid="{00000000-0006-0000-0B00-00009B070000}">
      <text>
        <r>
          <rPr>
            <b/>
            <sz val="10"/>
            <color indexed="81"/>
            <rFont val="Tahoma"/>
            <family val="2"/>
          </rPr>
          <t>Data Entry Cell,  Loan Type described at left (column C).</t>
        </r>
      </text>
    </comment>
    <comment ref="V102" authorId="1" shapeId="0" xr:uid="{00000000-0006-0000-0B00-00009C070000}">
      <text>
        <r>
          <rPr>
            <b/>
            <sz val="10"/>
            <color indexed="81"/>
            <rFont val="Tahoma"/>
            <family val="2"/>
          </rPr>
          <t>Data Entry Cell,  Loan Type described at left (column C).</t>
        </r>
      </text>
    </comment>
    <comment ref="W102" authorId="1" shapeId="0" xr:uid="{00000000-0006-0000-0B00-00009D070000}">
      <text>
        <r>
          <rPr>
            <b/>
            <sz val="10"/>
            <color indexed="81"/>
            <rFont val="Tahoma"/>
            <family val="2"/>
          </rPr>
          <t>Data Entry Cell,  Loan Type described at left (column C).</t>
        </r>
      </text>
    </comment>
    <comment ref="X102" authorId="1" shapeId="0" xr:uid="{00000000-0006-0000-0B00-00009E070000}">
      <text>
        <r>
          <rPr>
            <b/>
            <sz val="10"/>
            <color indexed="81"/>
            <rFont val="Tahoma"/>
            <family val="2"/>
          </rPr>
          <t>Data Entry Cell,  Loan Type described at left (column C).</t>
        </r>
      </text>
    </comment>
    <comment ref="Y102" authorId="1" shapeId="0" xr:uid="{00000000-0006-0000-0B00-00009F070000}">
      <text>
        <r>
          <rPr>
            <b/>
            <sz val="10"/>
            <color indexed="81"/>
            <rFont val="Tahoma"/>
            <family val="2"/>
          </rPr>
          <t>Data Entry Cell,  Loan Type described at left (column C).</t>
        </r>
      </text>
    </comment>
    <comment ref="Z102" authorId="1" shapeId="0" xr:uid="{00000000-0006-0000-0B00-0000A0070000}">
      <text>
        <r>
          <rPr>
            <b/>
            <sz val="10"/>
            <color indexed="81"/>
            <rFont val="Tahoma"/>
            <family val="2"/>
          </rPr>
          <t>Data Entry Cell,  Loan Type described at left (column C).</t>
        </r>
      </text>
    </comment>
    <comment ref="AA102" authorId="1" shapeId="0" xr:uid="{00000000-0006-0000-0B00-0000A1070000}">
      <text>
        <r>
          <rPr>
            <b/>
            <sz val="10"/>
            <color indexed="81"/>
            <rFont val="Tahoma"/>
            <family val="2"/>
          </rPr>
          <t>Data Entry Cell,  Loan Type described at left (column C).</t>
        </r>
      </text>
    </comment>
    <comment ref="AB102" authorId="1" shapeId="0" xr:uid="{00000000-0006-0000-0B00-0000A2070000}">
      <text>
        <r>
          <rPr>
            <b/>
            <sz val="10"/>
            <color indexed="81"/>
            <rFont val="Tahoma"/>
            <family val="2"/>
          </rPr>
          <t>Data Entry Cell,  Loan Type described at left (column C).</t>
        </r>
      </text>
    </comment>
    <comment ref="AC102" authorId="1" shapeId="0" xr:uid="{00000000-0006-0000-0B00-0000A3070000}">
      <text>
        <r>
          <rPr>
            <b/>
            <sz val="10"/>
            <color indexed="81"/>
            <rFont val="Tahoma"/>
            <family val="2"/>
          </rPr>
          <t>Data Entry Cell,  Loan Type described at left (column C).</t>
        </r>
      </text>
    </comment>
    <comment ref="E103" authorId="1" shapeId="0" xr:uid="{00000000-0006-0000-0B00-0000A4070000}">
      <text>
        <r>
          <rPr>
            <b/>
            <sz val="10"/>
            <color indexed="81"/>
            <rFont val="Tahoma"/>
            <family val="2"/>
          </rPr>
          <t>Data Entry Cell,  Loan Type described at left (column C).</t>
        </r>
      </text>
    </comment>
    <comment ref="F103" authorId="1" shapeId="0" xr:uid="{00000000-0006-0000-0B00-0000A5070000}">
      <text>
        <r>
          <rPr>
            <b/>
            <sz val="10"/>
            <color indexed="81"/>
            <rFont val="Tahoma"/>
            <family val="2"/>
          </rPr>
          <t>Data Entry Cell,  Loan Type described at left (column C).</t>
        </r>
      </text>
    </comment>
    <comment ref="G103" authorId="1" shapeId="0" xr:uid="{00000000-0006-0000-0B00-0000A6070000}">
      <text>
        <r>
          <rPr>
            <b/>
            <sz val="10"/>
            <color indexed="81"/>
            <rFont val="Tahoma"/>
            <family val="2"/>
          </rPr>
          <t>Data Entry Cell,  Loan Type described at left (column C).</t>
        </r>
      </text>
    </comment>
    <comment ref="H103" authorId="1" shapeId="0" xr:uid="{00000000-0006-0000-0B00-0000A7070000}">
      <text>
        <r>
          <rPr>
            <b/>
            <sz val="10"/>
            <color indexed="81"/>
            <rFont val="Tahoma"/>
            <family val="2"/>
          </rPr>
          <t>Data Entry Cell,  Loan Type described at left (column C).</t>
        </r>
      </text>
    </comment>
    <comment ref="I103" authorId="1" shapeId="0" xr:uid="{00000000-0006-0000-0B00-0000A8070000}">
      <text>
        <r>
          <rPr>
            <b/>
            <sz val="10"/>
            <color indexed="81"/>
            <rFont val="Tahoma"/>
            <family val="2"/>
          </rPr>
          <t>Data Entry Cell,  Loan Type described at left (column C).</t>
        </r>
      </text>
    </comment>
    <comment ref="J103" authorId="1" shapeId="0" xr:uid="{00000000-0006-0000-0B00-0000A9070000}">
      <text>
        <r>
          <rPr>
            <b/>
            <sz val="10"/>
            <color indexed="81"/>
            <rFont val="Tahoma"/>
            <family val="2"/>
          </rPr>
          <t>Data Entry Cell,  Loan Type described at left (column C).</t>
        </r>
      </text>
    </comment>
    <comment ref="K103" authorId="1" shapeId="0" xr:uid="{00000000-0006-0000-0B00-0000AA070000}">
      <text>
        <r>
          <rPr>
            <b/>
            <sz val="10"/>
            <color indexed="81"/>
            <rFont val="Tahoma"/>
            <family val="2"/>
          </rPr>
          <t>Data Entry Cell,  Loan Type described at left (column C).</t>
        </r>
      </text>
    </comment>
    <comment ref="L103" authorId="1" shapeId="0" xr:uid="{00000000-0006-0000-0B00-0000AB070000}">
      <text>
        <r>
          <rPr>
            <b/>
            <sz val="10"/>
            <color indexed="81"/>
            <rFont val="Tahoma"/>
            <family val="2"/>
          </rPr>
          <t>Data Entry Cell,  Loan Type described at left (column C).</t>
        </r>
      </text>
    </comment>
    <comment ref="M103" authorId="1" shapeId="0" xr:uid="{00000000-0006-0000-0B00-0000AC070000}">
      <text>
        <r>
          <rPr>
            <b/>
            <sz val="10"/>
            <color indexed="81"/>
            <rFont val="Tahoma"/>
            <family val="2"/>
          </rPr>
          <t>Data Entry Cell,  Loan Type described at left (column C).</t>
        </r>
      </text>
    </comment>
    <comment ref="N103" authorId="1" shapeId="0" xr:uid="{00000000-0006-0000-0B00-0000AD070000}">
      <text>
        <r>
          <rPr>
            <b/>
            <sz val="10"/>
            <color indexed="81"/>
            <rFont val="Tahoma"/>
            <family val="2"/>
          </rPr>
          <t>Data Entry Cell,  Loan Type described at left (column C).</t>
        </r>
      </text>
    </comment>
    <comment ref="O103" authorId="1" shapeId="0" xr:uid="{00000000-0006-0000-0B00-0000AE070000}">
      <text>
        <r>
          <rPr>
            <b/>
            <sz val="10"/>
            <color indexed="81"/>
            <rFont val="Tahoma"/>
            <family val="2"/>
          </rPr>
          <t>Data Entry Cell,  Loan Type described at left (column C).</t>
        </r>
      </text>
    </comment>
    <comment ref="P103" authorId="1" shapeId="0" xr:uid="{00000000-0006-0000-0B00-0000AF070000}">
      <text>
        <r>
          <rPr>
            <b/>
            <sz val="10"/>
            <color indexed="81"/>
            <rFont val="Tahoma"/>
            <family val="2"/>
          </rPr>
          <t>Data Entry Cell,  Loan Type described at left (column C).</t>
        </r>
      </text>
    </comment>
    <comment ref="Q103" authorId="1" shapeId="0" xr:uid="{00000000-0006-0000-0B00-0000B0070000}">
      <text>
        <r>
          <rPr>
            <b/>
            <sz val="10"/>
            <color indexed="81"/>
            <rFont val="Tahoma"/>
            <family val="2"/>
          </rPr>
          <t>Data Entry Cell,  Loan Type described at left (column C).</t>
        </r>
      </text>
    </comment>
    <comment ref="R103" authorId="1" shapeId="0" xr:uid="{00000000-0006-0000-0B00-0000B1070000}">
      <text>
        <r>
          <rPr>
            <b/>
            <sz val="10"/>
            <color indexed="81"/>
            <rFont val="Tahoma"/>
            <family val="2"/>
          </rPr>
          <t>Data Entry Cell,  Loan Type described at left (column C).</t>
        </r>
      </text>
    </comment>
    <comment ref="S103" authorId="1" shapeId="0" xr:uid="{00000000-0006-0000-0B00-0000B2070000}">
      <text>
        <r>
          <rPr>
            <b/>
            <sz val="10"/>
            <color indexed="81"/>
            <rFont val="Tahoma"/>
            <family val="2"/>
          </rPr>
          <t>Data Entry Cell,  Loan Type described at left (column C).</t>
        </r>
      </text>
    </comment>
    <comment ref="T103" authorId="1" shapeId="0" xr:uid="{00000000-0006-0000-0B00-0000B3070000}">
      <text>
        <r>
          <rPr>
            <b/>
            <sz val="10"/>
            <color indexed="81"/>
            <rFont val="Tahoma"/>
            <family val="2"/>
          </rPr>
          <t>Data Entry Cell,  Loan Type described at left (column C).</t>
        </r>
      </text>
    </comment>
    <comment ref="U103" authorId="1" shapeId="0" xr:uid="{00000000-0006-0000-0B00-0000B4070000}">
      <text>
        <r>
          <rPr>
            <b/>
            <sz val="10"/>
            <color indexed="81"/>
            <rFont val="Tahoma"/>
            <family val="2"/>
          </rPr>
          <t>Data Entry Cell,  Loan Type described at left (column C).</t>
        </r>
      </text>
    </comment>
    <comment ref="V103" authorId="1" shapeId="0" xr:uid="{00000000-0006-0000-0B00-0000B5070000}">
      <text>
        <r>
          <rPr>
            <b/>
            <sz val="10"/>
            <color indexed="81"/>
            <rFont val="Tahoma"/>
            <family val="2"/>
          </rPr>
          <t>Data Entry Cell,  Loan Type described at left (column C).</t>
        </r>
      </text>
    </comment>
    <comment ref="W103" authorId="1" shapeId="0" xr:uid="{00000000-0006-0000-0B00-0000B6070000}">
      <text>
        <r>
          <rPr>
            <b/>
            <sz val="10"/>
            <color indexed="81"/>
            <rFont val="Tahoma"/>
            <family val="2"/>
          </rPr>
          <t>Data Entry Cell,  Loan Type described at left (column C).</t>
        </r>
      </text>
    </comment>
    <comment ref="X103" authorId="1" shapeId="0" xr:uid="{00000000-0006-0000-0B00-0000B7070000}">
      <text>
        <r>
          <rPr>
            <b/>
            <sz val="10"/>
            <color indexed="81"/>
            <rFont val="Tahoma"/>
            <family val="2"/>
          </rPr>
          <t>Data Entry Cell,  Loan Type described at left (column C).</t>
        </r>
      </text>
    </comment>
    <comment ref="Y103" authorId="1" shapeId="0" xr:uid="{00000000-0006-0000-0B00-0000B8070000}">
      <text>
        <r>
          <rPr>
            <b/>
            <sz val="10"/>
            <color indexed="81"/>
            <rFont val="Tahoma"/>
            <family val="2"/>
          </rPr>
          <t>Data Entry Cell,  Loan Type described at left (column C).</t>
        </r>
      </text>
    </comment>
    <comment ref="Z103" authorId="1" shapeId="0" xr:uid="{00000000-0006-0000-0B00-0000B9070000}">
      <text>
        <r>
          <rPr>
            <b/>
            <sz val="10"/>
            <color indexed="81"/>
            <rFont val="Tahoma"/>
            <family val="2"/>
          </rPr>
          <t>Data Entry Cell,  Loan Type described at left (column C).</t>
        </r>
      </text>
    </comment>
    <comment ref="AA103" authorId="1" shapeId="0" xr:uid="{00000000-0006-0000-0B00-0000BA070000}">
      <text>
        <r>
          <rPr>
            <b/>
            <sz val="10"/>
            <color indexed="81"/>
            <rFont val="Tahoma"/>
            <family val="2"/>
          </rPr>
          <t>Data Entry Cell,  Loan Type described at left (column C).</t>
        </r>
      </text>
    </comment>
    <comment ref="AB103" authorId="1" shapeId="0" xr:uid="{00000000-0006-0000-0B00-0000BB070000}">
      <text>
        <r>
          <rPr>
            <b/>
            <sz val="10"/>
            <color indexed="81"/>
            <rFont val="Tahoma"/>
            <family val="2"/>
          </rPr>
          <t>Data Entry Cell,  Loan Type described at left (column C).</t>
        </r>
      </text>
    </comment>
    <comment ref="AC103" authorId="1" shapeId="0" xr:uid="{00000000-0006-0000-0B00-0000BC070000}">
      <text>
        <r>
          <rPr>
            <b/>
            <sz val="10"/>
            <color indexed="81"/>
            <rFont val="Tahoma"/>
            <family val="2"/>
          </rPr>
          <t>Data Entry Cell,  Loan Type described at left (column C).</t>
        </r>
      </text>
    </comment>
    <comment ref="E104" authorId="1" shapeId="0" xr:uid="{00000000-0006-0000-0B00-0000BD070000}">
      <text>
        <r>
          <rPr>
            <b/>
            <sz val="10"/>
            <color indexed="81"/>
            <rFont val="Tahoma"/>
            <family val="2"/>
          </rPr>
          <t>Data Entry Cell,  Loan Type described at left (column C).</t>
        </r>
      </text>
    </comment>
    <comment ref="F104" authorId="1" shapeId="0" xr:uid="{00000000-0006-0000-0B00-0000BE070000}">
      <text>
        <r>
          <rPr>
            <b/>
            <sz val="10"/>
            <color indexed="81"/>
            <rFont val="Tahoma"/>
            <family val="2"/>
          </rPr>
          <t>Data Entry Cell,  Loan Type described at left (column C).</t>
        </r>
      </text>
    </comment>
    <comment ref="G104" authorId="1" shapeId="0" xr:uid="{00000000-0006-0000-0B00-0000BF070000}">
      <text>
        <r>
          <rPr>
            <b/>
            <sz val="10"/>
            <color indexed="81"/>
            <rFont val="Tahoma"/>
            <family val="2"/>
          </rPr>
          <t>Data Entry Cell,  Loan Type described at left (column C).</t>
        </r>
      </text>
    </comment>
    <comment ref="H104" authorId="1" shapeId="0" xr:uid="{00000000-0006-0000-0B00-0000C0070000}">
      <text>
        <r>
          <rPr>
            <b/>
            <sz val="10"/>
            <color indexed="81"/>
            <rFont val="Tahoma"/>
            <family val="2"/>
          </rPr>
          <t>Data Entry Cell,  Loan Type described at left (column C).</t>
        </r>
      </text>
    </comment>
    <comment ref="I104" authorId="1" shapeId="0" xr:uid="{00000000-0006-0000-0B00-0000C1070000}">
      <text>
        <r>
          <rPr>
            <b/>
            <sz val="10"/>
            <color indexed="81"/>
            <rFont val="Tahoma"/>
            <family val="2"/>
          </rPr>
          <t>Data Entry Cell,  Loan Type described at left (column C).</t>
        </r>
      </text>
    </comment>
    <comment ref="J104" authorId="1" shapeId="0" xr:uid="{00000000-0006-0000-0B00-0000C2070000}">
      <text>
        <r>
          <rPr>
            <b/>
            <sz val="10"/>
            <color indexed="81"/>
            <rFont val="Tahoma"/>
            <family val="2"/>
          </rPr>
          <t>Data Entry Cell,  Loan Type described at left (column C).</t>
        </r>
      </text>
    </comment>
    <comment ref="K104" authorId="1" shapeId="0" xr:uid="{00000000-0006-0000-0B00-0000C3070000}">
      <text>
        <r>
          <rPr>
            <b/>
            <sz val="10"/>
            <color indexed="81"/>
            <rFont val="Tahoma"/>
            <family val="2"/>
          </rPr>
          <t>Data Entry Cell,  Loan Type described at left (column C).</t>
        </r>
      </text>
    </comment>
    <comment ref="L104" authorId="1" shapeId="0" xr:uid="{00000000-0006-0000-0B00-0000C4070000}">
      <text>
        <r>
          <rPr>
            <b/>
            <sz val="10"/>
            <color indexed="81"/>
            <rFont val="Tahoma"/>
            <family val="2"/>
          </rPr>
          <t>Data Entry Cell,  Loan Type described at left (column C).</t>
        </r>
      </text>
    </comment>
    <comment ref="M104" authorId="1" shapeId="0" xr:uid="{00000000-0006-0000-0B00-0000C5070000}">
      <text>
        <r>
          <rPr>
            <b/>
            <sz val="10"/>
            <color indexed="81"/>
            <rFont val="Tahoma"/>
            <family val="2"/>
          </rPr>
          <t>Data Entry Cell,  Loan Type described at left (column C).</t>
        </r>
      </text>
    </comment>
    <comment ref="N104" authorId="1" shapeId="0" xr:uid="{00000000-0006-0000-0B00-0000C6070000}">
      <text>
        <r>
          <rPr>
            <b/>
            <sz val="10"/>
            <color indexed="81"/>
            <rFont val="Tahoma"/>
            <family val="2"/>
          </rPr>
          <t>Data Entry Cell,  Loan Type described at left (column C).</t>
        </r>
      </text>
    </comment>
    <comment ref="O104" authorId="1" shapeId="0" xr:uid="{00000000-0006-0000-0B00-0000C7070000}">
      <text>
        <r>
          <rPr>
            <b/>
            <sz val="10"/>
            <color indexed="81"/>
            <rFont val="Tahoma"/>
            <family val="2"/>
          </rPr>
          <t>Data Entry Cell,  Loan Type described at left (column C).</t>
        </r>
      </text>
    </comment>
    <comment ref="P104" authorId="1" shapeId="0" xr:uid="{00000000-0006-0000-0B00-0000C8070000}">
      <text>
        <r>
          <rPr>
            <b/>
            <sz val="10"/>
            <color indexed="81"/>
            <rFont val="Tahoma"/>
            <family val="2"/>
          </rPr>
          <t>Data Entry Cell,  Loan Type described at left (column C).</t>
        </r>
      </text>
    </comment>
    <comment ref="Q104" authorId="1" shapeId="0" xr:uid="{00000000-0006-0000-0B00-0000C9070000}">
      <text>
        <r>
          <rPr>
            <b/>
            <sz val="10"/>
            <color indexed="81"/>
            <rFont val="Tahoma"/>
            <family val="2"/>
          </rPr>
          <t>Data Entry Cell,  Loan Type described at left (column C).</t>
        </r>
      </text>
    </comment>
    <comment ref="R104" authorId="1" shapeId="0" xr:uid="{00000000-0006-0000-0B00-0000CA070000}">
      <text>
        <r>
          <rPr>
            <b/>
            <sz val="10"/>
            <color indexed="81"/>
            <rFont val="Tahoma"/>
            <family val="2"/>
          </rPr>
          <t>Data Entry Cell,  Loan Type described at left (column C).</t>
        </r>
      </text>
    </comment>
    <comment ref="S104" authorId="1" shapeId="0" xr:uid="{00000000-0006-0000-0B00-0000CB070000}">
      <text>
        <r>
          <rPr>
            <b/>
            <sz val="10"/>
            <color indexed="81"/>
            <rFont val="Tahoma"/>
            <family val="2"/>
          </rPr>
          <t>Data Entry Cell,  Loan Type described at left (column C).</t>
        </r>
      </text>
    </comment>
    <comment ref="T104" authorId="1" shapeId="0" xr:uid="{00000000-0006-0000-0B00-0000CC070000}">
      <text>
        <r>
          <rPr>
            <b/>
            <sz val="10"/>
            <color indexed="81"/>
            <rFont val="Tahoma"/>
            <family val="2"/>
          </rPr>
          <t>Data Entry Cell,  Loan Type described at left (column C).</t>
        </r>
      </text>
    </comment>
    <comment ref="U104" authorId="1" shapeId="0" xr:uid="{00000000-0006-0000-0B00-0000CD070000}">
      <text>
        <r>
          <rPr>
            <b/>
            <sz val="10"/>
            <color indexed="81"/>
            <rFont val="Tahoma"/>
            <family val="2"/>
          </rPr>
          <t>Data Entry Cell,  Loan Type described at left (column C).</t>
        </r>
      </text>
    </comment>
    <comment ref="V104" authorId="1" shapeId="0" xr:uid="{00000000-0006-0000-0B00-0000CE070000}">
      <text>
        <r>
          <rPr>
            <b/>
            <sz val="10"/>
            <color indexed="81"/>
            <rFont val="Tahoma"/>
            <family val="2"/>
          </rPr>
          <t>Data Entry Cell,  Loan Type described at left (column C).</t>
        </r>
      </text>
    </comment>
    <comment ref="W104" authorId="1" shapeId="0" xr:uid="{00000000-0006-0000-0B00-0000CF070000}">
      <text>
        <r>
          <rPr>
            <b/>
            <sz val="10"/>
            <color indexed="81"/>
            <rFont val="Tahoma"/>
            <family val="2"/>
          </rPr>
          <t>Data Entry Cell,  Loan Type described at left (column C).</t>
        </r>
      </text>
    </comment>
    <comment ref="X104" authorId="1" shapeId="0" xr:uid="{00000000-0006-0000-0B00-0000D0070000}">
      <text>
        <r>
          <rPr>
            <b/>
            <sz val="10"/>
            <color indexed="81"/>
            <rFont val="Tahoma"/>
            <family val="2"/>
          </rPr>
          <t>Data Entry Cell,  Loan Type described at left (column C).</t>
        </r>
      </text>
    </comment>
    <comment ref="Y104" authorId="1" shapeId="0" xr:uid="{00000000-0006-0000-0B00-0000D1070000}">
      <text>
        <r>
          <rPr>
            <b/>
            <sz val="10"/>
            <color indexed="81"/>
            <rFont val="Tahoma"/>
            <family val="2"/>
          </rPr>
          <t>Data Entry Cell,  Loan Type described at left (column C).</t>
        </r>
      </text>
    </comment>
    <comment ref="Z104" authorId="1" shapeId="0" xr:uid="{00000000-0006-0000-0B00-0000D2070000}">
      <text>
        <r>
          <rPr>
            <b/>
            <sz val="10"/>
            <color indexed="81"/>
            <rFont val="Tahoma"/>
            <family val="2"/>
          </rPr>
          <t>Data Entry Cell,  Loan Type described at left (column C).</t>
        </r>
      </text>
    </comment>
    <comment ref="AA104" authorId="1" shapeId="0" xr:uid="{00000000-0006-0000-0B00-0000D3070000}">
      <text>
        <r>
          <rPr>
            <b/>
            <sz val="10"/>
            <color indexed="81"/>
            <rFont val="Tahoma"/>
            <family val="2"/>
          </rPr>
          <t>Data Entry Cell,  Loan Type described at left (column C).</t>
        </r>
      </text>
    </comment>
    <comment ref="AB104" authorId="1" shapeId="0" xr:uid="{00000000-0006-0000-0B00-0000D4070000}">
      <text>
        <r>
          <rPr>
            <b/>
            <sz val="10"/>
            <color indexed="81"/>
            <rFont val="Tahoma"/>
            <family val="2"/>
          </rPr>
          <t>Data Entry Cell,  Loan Type described at left (column C).</t>
        </r>
      </text>
    </comment>
    <comment ref="AC104" authorId="1" shapeId="0" xr:uid="{00000000-0006-0000-0B00-0000D5070000}">
      <text>
        <r>
          <rPr>
            <b/>
            <sz val="10"/>
            <color indexed="81"/>
            <rFont val="Tahoma"/>
            <family val="2"/>
          </rPr>
          <t>Data Entry Cell,  Loan Type described at left (column C).</t>
        </r>
      </text>
    </comment>
    <comment ref="E105" authorId="1" shapeId="0" xr:uid="{00000000-0006-0000-0B00-0000D6070000}">
      <text>
        <r>
          <rPr>
            <b/>
            <sz val="10"/>
            <color indexed="81"/>
            <rFont val="Tahoma"/>
            <family val="2"/>
          </rPr>
          <t>Data Entry Cell,  Deferred Developer Fee</t>
        </r>
      </text>
    </comment>
    <comment ref="F105" authorId="1" shapeId="0" xr:uid="{00000000-0006-0000-0B00-0000D7070000}">
      <text>
        <r>
          <rPr>
            <b/>
            <sz val="10"/>
            <color indexed="81"/>
            <rFont val="Tahoma"/>
            <family val="2"/>
          </rPr>
          <t>Data Entry Cell,  Deferred Developer Fee</t>
        </r>
      </text>
    </comment>
    <comment ref="G105" authorId="1" shapeId="0" xr:uid="{00000000-0006-0000-0B00-0000D8070000}">
      <text>
        <r>
          <rPr>
            <b/>
            <sz val="10"/>
            <color indexed="81"/>
            <rFont val="Tahoma"/>
            <family val="2"/>
          </rPr>
          <t>Data Entry Cell,  Deferred Developer Fee</t>
        </r>
      </text>
    </comment>
    <comment ref="H105" authorId="1" shapeId="0" xr:uid="{00000000-0006-0000-0B00-0000D9070000}">
      <text>
        <r>
          <rPr>
            <b/>
            <sz val="10"/>
            <color indexed="81"/>
            <rFont val="Tahoma"/>
            <family val="2"/>
          </rPr>
          <t>Data Entry Cell,  Deferred Developer Fee</t>
        </r>
      </text>
    </comment>
    <comment ref="I105" authorId="1" shapeId="0" xr:uid="{00000000-0006-0000-0B00-0000DA070000}">
      <text>
        <r>
          <rPr>
            <b/>
            <sz val="10"/>
            <color indexed="81"/>
            <rFont val="Tahoma"/>
            <family val="2"/>
          </rPr>
          <t>Data Entry Cell,  Deferred Developer Fee</t>
        </r>
      </text>
    </comment>
    <comment ref="J105" authorId="1" shapeId="0" xr:uid="{00000000-0006-0000-0B00-0000DB070000}">
      <text>
        <r>
          <rPr>
            <b/>
            <sz val="10"/>
            <color indexed="81"/>
            <rFont val="Tahoma"/>
            <family val="2"/>
          </rPr>
          <t>Data Entry Cell,  Deferred Developer Fee</t>
        </r>
      </text>
    </comment>
    <comment ref="K105" authorId="1" shapeId="0" xr:uid="{00000000-0006-0000-0B00-0000DC070000}">
      <text>
        <r>
          <rPr>
            <b/>
            <sz val="10"/>
            <color indexed="81"/>
            <rFont val="Tahoma"/>
            <family val="2"/>
          </rPr>
          <t>Data Entry Cell,  Deferred Developer Fee</t>
        </r>
      </text>
    </comment>
    <comment ref="L105" authorId="1" shapeId="0" xr:uid="{00000000-0006-0000-0B00-0000DD070000}">
      <text>
        <r>
          <rPr>
            <b/>
            <sz val="10"/>
            <color indexed="81"/>
            <rFont val="Tahoma"/>
            <family val="2"/>
          </rPr>
          <t>Data Entry Cell,  Deferred Developer Fee</t>
        </r>
      </text>
    </comment>
    <comment ref="M105" authorId="1" shapeId="0" xr:uid="{00000000-0006-0000-0B00-0000DE070000}">
      <text>
        <r>
          <rPr>
            <b/>
            <sz val="10"/>
            <color indexed="81"/>
            <rFont val="Tahoma"/>
            <family val="2"/>
          </rPr>
          <t>Data Entry Cell,  Deferred Developer Fee</t>
        </r>
      </text>
    </comment>
    <comment ref="N105" authorId="1" shapeId="0" xr:uid="{00000000-0006-0000-0B00-0000DF070000}">
      <text>
        <r>
          <rPr>
            <b/>
            <sz val="10"/>
            <color indexed="81"/>
            <rFont val="Tahoma"/>
            <family val="2"/>
          </rPr>
          <t>Data Entry Cell,  Deferred Developer Fee</t>
        </r>
      </text>
    </comment>
    <comment ref="O105" authorId="1" shapeId="0" xr:uid="{00000000-0006-0000-0B00-0000E0070000}">
      <text>
        <r>
          <rPr>
            <b/>
            <sz val="10"/>
            <color indexed="81"/>
            <rFont val="Tahoma"/>
            <family val="2"/>
          </rPr>
          <t>Data Entry Cell,  Deferred Developer Fee</t>
        </r>
      </text>
    </comment>
    <comment ref="P105" authorId="1" shapeId="0" xr:uid="{00000000-0006-0000-0B00-0000E1070000}">
      <text>
        <r>
          <rPr>
            <b/>
            <sz val="10"/>
            <color indexed="81"/>
            <rFont val="Tahoma"/>
            <family val="2"/>
          </rPr>
          <t>Data Entry Cell,  Deferred Developer Fee</t>
        </r>
      </text>
    </comment>
    <comment ref="Q105" authorId="1" shapeId="0" xr:uid="{00000000-0006-0000-0B00-0000E2070000}">
      <text>
        <r>
          <rPr>
            <b/>
            <sz val="10"/>
            <color indexed="81"/>
            <rFont val="Tahoma"/>
            <family val="2"/>
          </rPr>
          <t>Data Entry Cell,  Deferred Developer Fee</t>
        </r>
      </text>
    </comment>
    <comment ref="R105" authorId="1" shapeId="0" xr:uid="{00000000-0006-0000-0B00-0000E3070000}">
      <text>
        <r>
          <rPr>
            <b/>
            <sz val="10"/>
            <color indexed="81"/>
            <rFont val="Tahoma"/>
            <family val="2"/>
          </rPr>
          <t>Data Entry Cell,  Deferred Developer Fee</t>
        </r>
      </text>
    </comment>
    <comment ref="S105" authorId="1" shapeId="0" xr:uid="{00000000-0006-0000-0B00-0000E4070000}">
      <text>
        <r>
          <rPr>
            <b/>
            <sz val="10"/>
            <color indexed="81"/>
            <rFont val="Tahoma"/>
            <family val="2"/>
          </rPr>
          <t>Data Entry Cell,  Deferred Developer Fee</t>
        </r>
      </text>
    </comment>
    <comment ref="T105" authorId="1" shapeId="0" xr:uid="{00000000-0006-0000-0B00-0000E5070000}">
      <text>
        <r>
          <rPr>
            <b/>
            <sz val="10"/>
            <color indexed="81"/>
            <rFont val="Tahoma"/>
            <family val="2"/>
          </rPr>
          <t>Data Entry Cell,  Deferred Developer Fee</t>
        </r>
      </text>
    </comment>
    <comment ref="U105" authorId="1" shapeId="0" xr:uid="{00000000-0006-0000-0B00-0000E6070000}">
      <text>
        <r>
          <rPr>
            <b/>
            <sz val="10"/>
            <color indexed="81"/>
            <rFont val="Tahoma"/>
            <family val="2"/>
          </rPr>
          <t>Data Entry Cell,  Deferred Developer Fee</t>
        </r>
      </text>
    </comment>
    <comment ref="V105" authorId="1" shapeId="0" xr:uid="{00000000-0006-0000-0B00-0000E7070000}">
      <text>
        <r>
          <rPr>
            <b/>
            <sz val="10"/>
            <color indexed="81"/>
            <rFont val="Tahoma"/>
            <family val="2"/>
          </rPr>
          <t>Data Entry Cell,  Deferred Developer Fee</t>
        </r>
      </text>
    </comment>
    <comment ref="W105" authorId="1" shapeId="0" xr:uid="{00000000-0006-0000-0B00-0000E8070000}">
      <text>
        <r>
          <rPr>
            <b/>
            <sz val="10"/>
            <color indexed="81"/>
            <rFont val="Tahoma"/>
            <family val="2"/>
          </rPr>
          <t>Data Entry Cell,  Deferred Developer Fee</t>
        </r>
      </text>
    </comment>
    <comment ref="X105" authorId="1" shapeId="0" xr:uid="{00000000-0006-0000-0B00-0000E9070000}">
      <text>
        <r>
          <rPr>
            <b/>
            <sz val="10"/>
            <color indexed="81"/>
            <rFont val="Tahoma"/>
            <family val="2"/>
          </rPr>
          <t>Data Entry Cell,  Deferred Developer Fee</t>
        </r>
      </text>
    </comment>
    <comment ref="Y105" authorId="1" shapeId="0" xr:uid="{00000000-0006-0000-0B00-0000EA070000}">
      <text>
        <r>
          <rPr>
            <b/>
            <sz val="10"/>
            <color indexed="81"/>
            <rFont val="Tahoma"/>
            <family val="2"/>
          </rPr>
          <t>Data Entry Cell,  Deferred Developer Fee</t>
        </r>
      </text>
    </comment>
    <comment ref="Z105" authorId="1" shapeId="0" xr:uid="{00000000-0006-0000-0B00-0000EB070000}">
      <text>
        <r>
          <rPr>
            <b/>
            <sz val="10"/>
            <color indexed="81"/>
            <rFont val="Tahoma"/>
            <family val="2"/>
          </rPr>
          <t>Data Entry Cell,  Deferred Developer Fee</t>
        </r>
      </text>
    </comment>
    <comment ref="AA105" authorId="1" shapeId="0" xr:uid="{00000000-0006-0000-0B00-0000EC070000}">
      <text>
        <r>
          <rPr>
            <b/>
            <sz val="10"/>
            <color indexed="81"/>
            <rFont val="Tahoma"/>
            <family val="2"/>
          </rPr>
          <t>Data Entry Cell,  Deferred Developer Fee</t>
        </r>
      </text>
    </comment>
    <comment ref="AB105" authorId="1" shapeId="0" xr:uid="{00000000-0006-0000-0B00-0000ED070000}">
      <text>
        <r>
          <rPr>
            <b/>
            <sz val="10"/>
            <color indexed="81"/>
            <rFont val="Tahoma"/>
            <family val="2"/>
          </rPr>
          <t>Data Entry Cell,  Deferred Developer Fee</t>
        </r>
      </text>
    </comment>
    <comment ref="AC105" authorId="1" shapeId="0" xr:uid="{00000000-0006-0000-0B00-0000EE070000}">
      <text>
        <r>
          <rPr>
            <b/>
            <sz val="10"/>
            <color indexed="81"/>
            <rFont val="Tahoma"/>
            <family val="2"/>
          </rPr>
          <t>Data Entry Cell,  Deferred Developer Fee</t>
        </r>
      </text>
    </comment>
    <comment ref="E106" authorId="1" shapeId="0" xr:uid="{00000000-0006-0000-0B00-0000EF070000}">
      <text>
        <r>
          <rPr>
            <b/>
            <sz val="10"/>
            <color indexed="81"/>
            <rFont val="Tahoma"/>
            <family val="2"/>
          </rPr>
          <t>Data Entry Cell,  Developer Cash Investment</t>
        </r>
      </text>
    </comment>
    <comment ref="F106" authorId="1" shapeId="0" xr:uid="{00000000-0006-0000-0B00-0000F0070000}">
      <text>
        <r>
          <rPr>
            <b/>
            <sz val="10"/>
            <color indexed="81"/>
            <rFont val="Tahoma"/>
            <family val="2"/>
          </rPr>
          <t>Data Entry Cell,  Developer Cash Investment</t>
        </r>
      </text>
    </comment>
    <comment ref="G106" authorId="1" shapeId="0" xr:uid="{00000000-0006-0000-0B00-0000F1070000}">
      <text>
        <r>
          <rPr>
            <b/>
            <sz val="10"/>
            <color indexed="81"/>
            <rFont val="Tahoma"/>
            <family val="2"/>
          </rPr>
          <t>Data Entry Cell,  Developer Cash Investment</t>
        </r>
      </text>
    </comment>
    <comment ref="H106" authorId="1" shapeId="0" xr:uid="{00000000-0006-0000-0B00-0000F2070000}">
      <text>
        <r>
          <rPr>
            <b/>
            <sz val="10"/>
            <color indexed="81"/>
            <rFont val="Tahoma"/>
            <family val="2"/>
          </rPr>
          <t>Data Entry Cell,  Developer Cash Investment</t>
        </r>
      </text>
    </comment>
    <comment ref="I106" authorId="1" shapeId="0" xr:uid="{00000000-0006-0000-0B00-0000F3070000}">
      <text>
        <r>
          <rPr>
            <b/>
            <sz val="10"/>
            <color indexed="81"/>
            <rFont val="Tahoma"/>
            <family val="2"/>
          </rPr>
          <t>Data Entry Cell,  Developer Cash Investment</t>
        </r>
      </text>
    </comment>
    <comment ref="J106" authorId="1" shapeId="0" xr:uid="{00000000-0006-0000-0B00-0000F4070000}">
      <text>
        <r>
          <rPr>
            <b/>
            <sz val="10"/>
            <color indexed="81"/>
            <rFont val="Tahoma"/>
            <family val="2"/>
          </rPr>
          <t>Data Entry Cell,  Developer Cash Investment</t>
        </r>
      </text>
    </comment>
    <comment ref="K106" authorId="1" shapeId="0" xr:uid="{00000000-0006-0000-0B00-0000F5070000}">
      <text>
        <r>
          <rPr>
            <b/>
            <sz val="10"/>
            <color indexed="81"/>
            <rFont val="Tahoma"/>
            <family val="2"/>
          </rPr>
          <t>Data Entry Cell,  Developer Cash Investment</t>
        </r>
      </text>
    </comment>
    <comment ref="L106" authorId="1" shapeId="0" xr:uid="{00000000-0006-0000-0B00-0000F6070000}">
      <text>
        <r>
          <rPr>
            <b/>
            <sz val="10"/>
            <color indexed="81"/>
            <rFont val="Tahoma"/>
            <family val="2"/>
          </rPr>
          <t>Data Entry Cell,  Developer Cash Investment</t>
        </r>
      </text>
    </comment>
    <comment ref="M106" authorId="1" shapeId="0" xr:uid="{00000000-0006-0000-0B00-0000F7070000}">
      <text>
        <r>
          <rPr>
            <b/>
            <sz val="10"/>
            <color indexed="81"/>
            <rFont val="Tahoma"/>
            <family val="2"/>
          </rPr>
          <t>Data Entry Cell,  Developer Cash Investment</t>
        </r>
      </text>
    </comment>
    <comment ref="N106" authorId="1" shapeId="0" xr:uid="{00000000-0006-0000-0B00-0000F8070000}">
      <text>
        <r>
          <rPr>
            <b/>
            <sz val="10"/>
            <color indexed="81"/>
            <rFont val="Tahoma"/>
            <family val="2"/>
          </rPr>
          <t>Data Entry Cell,  Developer Cash Investment</t>
        </r>
      </text>
    </comment>
    <comment ref="O106" authorId="1" shapeId="0" xr:uid="{00000000-0006-0000-0B00-0000F9070000}">
      <text>
        <r>
          <rPr>
            <b/>
            <sz val="10"/>
            <color indexed="81"/>
            <rFont val="Tahoma"/>
            <family val="2"/>
          </rPr>
          <t>Data Entry Cell,  Developer Cash Investment</t>
        </r>
      </text>
    </comment>
    <comment ref="P106" authorId="1" shapeId="0" xr:uid="{00000000-0006-0000-0B00-0000FA070000}">
      <text>
        <r>
          <rPr>
            <b/>
            <sz val="10"/>
            <color indexed="81"/>
            <rFont val="Tahoma"/>
            <family val="2"/>
          </rPr>
          <t>Data Entry Cell,  Developer Cash Investment</t>
        </r>
      </text>
    </comment>
    <comment ref="Q106" authorId="1" shapeId="0" xr:uid="{00000000-0006-0000-0B00-0000FB070000}">
      <text>
        <r>
          <rPr>
            <b/>
            <sz val="10"/>
            <color indexed="81"/>
            <rFont val="Tahoma"/>
            <family val="2"/>
          </rPr>
          <t>Data Entry Cell,  Developer Cash Investment</t>
        </r>
      </text>
    </comment>
    <comment ref="R106" authorId="1" shapeId="0" xr:uid="{00000000-0006-0000-0B00-0000FC070000}">
      <text>
        <r>
          <rPr>
            <b/>
            <sz val="10"/>
            <color indexed="81"/>
            <rFont val="Tahoma"/>
            <family val="2"/>
          </rPr>
          <t>Data Entry Cell,  Developer Cash Investment</t>
        </r>
      </text>
    </comment>
    <comment ref="S106" authorId="1" shapeId="0" xr:uid="{00000000-0006-0000-0B00-0000FD070000}">
      <text>
        <r>
          <rPr>
            <b/>
            <sz val="10"/>
            <color indexed="81"/>
            <rFont val="Tahoma"/>
            <family val="2"/>
          </rPr>
          <t>Data Entry Cell,  Developer Cash Investment</t>
        </r>
      </text>
    </comment>
    <comment ref="T106" authorId="1" shapeId="0" xr:uid="{00000000-0006-0000-0B00-0000FE070000}">
      <text>
        <r>
          <rPr>
            <b/>
            <sz val="10"/>
            <color indexed="81"/>
            <rFont val="Tahoma"/>
            <family val="2"/>
          </rPr>
          <t>Data Entry Cell,  Developer Cash Investment</t>
        </r>
      </text>
    </comment>
    <comment ref="U106" authorId="1" shapeId="0" xr:uid="{00000000-0006-0000-0B00-0000FF070000}">
      <text>
        <r>
          <rPr>
            <b/>
            <sz val="10"/>
            <color indexed="81"/>
            <rFont val="Tahoma"/>
            <family val="2"/>
          </rPr>
          <t>Data Entry Cell,  Developer Cash Investment</t>
        </r>
      </text>
    </comment>
    <comment ref="V106" authorId="1" shapeId="0" xr:uid="{00000000-0006-0000-0B00-000000080000}">
      <text>
        <r>
          <rPr>
            <b/>
            <sz val="10"/>
            <color indexed="81"/>
            <rFont val="Tahoma"/>
            <family val="2"/>
          </rPr>
          <t>Data Entry Cell,  Developer Cash Investment</t>
        </r>
      </text>
    </comment>
    <comment ref="W106" authorId="1" shapeId="0" xr:uid="{00000000-0006-0000-0B00-000001080000}">
      <text>
        <r>
          <rPr>
            <b/>
            <sz val="10"/>
            <color indexed="81"/>
            <rFont val="Tahoma"/>
            <family val="2"/>
          </rPr>
          <t>Data Entry Cell,  Developer Cash Investment</t>
        </r>
      </text>
    </comment>
    <comment ref="X106" authorId="1" shapeId="0" xr:uid="{00000000-0006-0000-0B00-000002080000}">
      <text>
        <r>
          <rPr>
            <b/>
            <sz val="10"/>
            <color indexed="81"/>
            <rFont val="Tahoma"/>
            <family val="2"/>
          </rPr>
          <t>Data Entry Cell,  Developer Cash Investment</t>
        </r>
      </text>
    </comment>
    <comment ref="Y106" authorId="1" shapeId="0" xr:uid="{00000000-0006-0000-0B00-000003080000}">
      <text>
        <r>
          <rPr>
            <b/>
            <sz val="10"/>
            <color indexed="81"/>
            <rFont val="Tahoma"/>
            <family val="2"/>
          </rPr>
          <t>Data Entry Cell,  Developer Cash Investment</t>
        </r>
      </text>
    </comment>
    <comment ref="Z106" authorId="1" shapeId="0" xr:uid="{00000000-0006-0000-0B00-000004080000}">
      <text>
        <r>
          <rPr>
            <b/>
            <sz val="10"/>
            <color indexed="81"/>
            <rFont val="Tahoma"/>
            <family val="2"/>
          </rPr>
          <t>Data Entry Cell,  Developer Cash Investment</t>
        </r>
      </text>
    </comment>
    <comment ref="AA106" authorId="1" shapeId="0" xr:uid="{00000000-0006-0000-0B00-000005080000}">
      <text>
        <r>
          <rPr>
            <b/>
            <sz val="10"/>
            <color indexed="81"/>
            <rFont val="Tahoma"/>
            <family val="2"/>
          </rPr>
          <t>Data Entry Cell,  Developer Cash Investment</t>
        </r>
      </text>
    </comment>
    <comment ref="AB106" authorId="1" shapeId="0" xr:uid="{00000000-0006-0000-0B00-000006080000}">
      <text>
        <r>
          <rPr>
            <b/>
            <sz val="10"/>
            <color indexed="81"/>
            <rFont val="Tahoma"/>
            <family val="2"/>
          </rPr>
          <t>Data Entry Cell,  Developer Cash Investment</t>
        </r>
      </text>
    </comment>
    <comment ref="AC106" authorId="1" shapeId="0" xr:uid="{00000000-0006-0000-0B00-000007080000}">
      <text>
        <r>
          <rPr>
            <b/>
            <sz val="10"/>
            <color indexed="81"/>
            <rFont val="Tahoma"/>
            <family val="2"/>
          </rPr>
          <t>Data Entry Cell,  Developer Cash Investment</t>
        </r>
      </text>
    </comment>
    <comment ref="E107" authorId="1" shapeId="0" xr:uid="{00000000-0006-0000-0B00-000008080000}">
      <text>
        <r>
          <rPr>
            <b/>
            <sz val="10"/>
            <color indexed="81"/>
            <rFont val="Tahoma"/>
            <family val="2"/>
          </rPr>
          <t>Data Entry Cell, Tax Credit Equity</t>
        </r>
      </text>
    </comment>
    <comment ref="F107" authorId="1" shapeId="0" xr:uid="{00000000-0006-0000-0B00-000009080000}">
      <text>
        <r>
          <rPr>
            <b/>
            <sz val="10"/>
            <color indexed="81"/>
            <rFont val="Tahoma"/>
            <family val="2"/>
          </rPr>
          <t>Data Entry Cell, Tax Credit Equity</t>
        </r>
      </text>
    </comment>
    <comment ref="G107" authorId="1" shapeId="0" xr:uid="{00000000-0006-0000-0B00-00000A080000}">
      <text>
        <r>
          <rPr>
            <b/>
            <sz val="10"/>
            <color indexed="81"/>
            <rFont val="Tahoma"/>
            <family val="2"/>
          </rPr>
          <t>Data Entry Cell, Tax Credit Equity</t>
        </r>
      </text>
    </comment>
    <comment ref="H107" authorId="1" shapeId="0" xr:uid="{00000000-0006-0000-0B00-00000B080000}">
      <text>
        <r>
          <rPr>
            <b/>
            <sz val="10"/>
            <color indexed="81"/>
            <rFont val="Tahoma"/>
            <family val="2"/>
          </rPr>
          <t>Data Entry Cell, Tax Credit Equity</t>
        </r>
      </text>
    </comment>
    <comment ref="I107" authorId="1" shapeId="0" xr:uid="{00000000-0006-0000-0B00-00000C080000}">
      <text>
        <r>
          <rPr>
            <b/>
            <sz val="10"/>
            <color indexed="81"/>
            <rFont val="Tahoma"/>
            <family val="2"/>
          </rPr>
          <t>Data Entry Cell, Tax Credit Equity</t>
        </r>
      </text>
    </comment>
    <comment ref="J107" authorId="1" shapeId="0" xr:uid="{00000000-0006-0000-0B00-00000D080000}">
      <text>
        <r>
          <rPr>
            <b/>
            <sz val="10"/>
            <color indexed="81"/>
            <rFont val="Tahoma"/>
            <family val="2"/>
          </rPr>
          <t>Data Entry Cell, Tax Credit Equity</t>
        </r>
      </text>
    </comment>
    <comment ref="K107" authorId="1" shapeId="0" xr:uid="{00000000-0006-0000-0B00-00000E080000}">
      <text>
        <r>
          <rPr>
            <b/>
            <sz val="10"/>
            <color indexed="81"/>
            <rFont val="Tahoma"/>
            <family val="2"/>
          </rPr>
          <t>Data Entry Cell, Tax Credit Equity</t>
        </r>
      </text>
    </comment>
    <comment ref="L107" authorId="1" shapeId="0" xr:uid="{00000000-0006-0000-0B00-00000F080000}">
      <text>
        <r>
          <rPr>
            <b/>
            <sz val="10"/>
            <color indexed="81"/>
            <rFont val="Tahoma"/>
            <family val="2"/>
          </rPr>
          <t>Data Entry Cell, Tax Credit Equity</t>
        </r>
      </text>
    </comment>
    <comment ref="M107" authorId="1" shapeId="0" xr:uid="{00000000-0006-0000-0B00-000010080000}">
      <text>
        <r>
          <rPr>
            <b/>
            <sz val="10"/>
            <color indexed="81"/>
            <rFont val="Tahoma"/>
            <family val="2"/>
          </rPr>
          <t>Data Entry Cell, Tax Credit Equity</t>
        </r>
      </text>
    </comment>
    <comment ref="N107" authorId="1" shapeId="0" xr:uid="{00000000-0006-0000-0B00-000011080000}">
      <text>
        <r>
          <rPr>
            <b/>
            <sz val="10"/>
            <color indexed="81"/>
            <rFont val="Tahoma"/>
            <family val="2"/>
          </rPr>
          <t>Data Entry Cell, Tax Credit Equity</t>
        </r>
      </text>
    </comment>
    <comment ref="O107" authorId="1" shapeId="0" xr:uid="{00000000-0006-0000-0B00-000012080000}">
      <text>
        <r>
          <rPr>
            <b/>
            <sz val="10"/>
            <color indexed="81"/>
            <rFont val="Tahoma"/>
            <family val="2"/>
          </rPr>
          <t>Data Entry Cell, Tax Credit Equity</t>
        </r>
      </text>
    </comment>
    <comment ref="P107" authorId="1" shapeId="0" xr:uid="{00000000-0006-0000-0B00-000013080000}">
      <text>
        <r>
          <rPr>
            <b/>
            <sz val="10"/>
            <color indexed="81"/>
            <rFont val="Tahoma"/>
            <family val="2"/>
          </rPr>
          <t>Data Entry Cell, Tax Credit Equity</t>
        </r>
      </text>
    </comment>
    <comment ref="Q107" authorId="1" shapeId="0" xr:uid="{00000000-0006-0000-0B00-000014080000}">
      <text>
        <r>
          <rPr>
            <b/>
            <sz val="10"/>
            <color indexed="81"/>
            <rFont val="Tahoma"/>
            <family val="2"/>
          </rPr>
          <t>Data Entry Cell, Tax Credit Equity</t>
        </r>
      </text>
    </comment>
    <comment ref="R107" authorId="1" shapeId="0" xr:uid="{00000000-0006-0000-0B00-000015080000}">
      <text>
        <r>
          <rPr>
            <b/>
            <sz val="10"/>
            <color indexed="81"/>
            <rFont val="Tahoma"/>
            <family val="2"/>
          </rPr>
          <t>Data Entry Cell, Tax Credit Equity</t>
        </r>
      </text>
    </comment>
    <comment ref="S107" authorId="1" shapeId="0" xr:uid="{00000000-0006-0000-0B00-000016080000}">
      <text>
        <r>
          <rPr>
            <b/>
            <sz val="10"/>
            <color indexed="81"/>
            <rFont val="Tahoma"/>
            <family val="2"/>
          </rPr>
          <t>Data Entry Cell, Tax Credit Equity</t>
        </r>
      </text>
    </comment>
    <comment ref="T107" authorId="1" shapeId="0" xr:uid="{00000000-0006-0000-0B00-000017080000}">
      <text>
        <r>
          <rPr>
            <b/>
            <sz val="10"/>
            <color indexed="81"/>
            <rFont val="Tahoma"/>
            <family val="2"/>
          </rPr>
          <t>Data Entry Cell, Tax Credit Equity</t>
        </r>
      </text>
    </comment>
    <comment ref="U107" authorId="1" shapeId="0" xr:uid="{00000000-0006-0000-0B00-000018080000}">
      <text>
        <r>
          <rPr>
            <b/>
            <sz val="10"/>
            <color indexed="81"/>
            <rFont val="Tahoma"/>
            <family val="2"/>
          </rPr>
          <t>Data Entry Cell, Tax Credit Equity</t>
        </r>
      </text>
    </comment>
    <comment ref="V107" authorId="1" shapeId="0" xr:uid="{00000000-0006-0000-0B00-000019080000}">
      <text>
        <r>
          <rPr>
            <b/>
            <sz val="10"/>
            <color indexed="81"/>
            <rFont val="Tahoma"/>
            <family val="2"/>
          </rPr>
          <t>Data Entry Cell, Tax Credit Equity</t>
        </r>
      </text>
    </comment>
    <comment ref="W107" authorId="1" shapeId="0" xr:uid="{00000000-0006-0000-0B00-00001A080000}">
      <text>
        <r>
          <rPr>
            <b/>
            <sz val="10"/>
            <color indexed="81"/>
            <rFont val="Tahoma"/>
            <family val="2"/>
          </rPr>
          <t>Data Entry Cell, Tax Credit Equity</t>
        </r>
      </text>
    </comment>
    <comment ref="X107" authorId="1" shapeId="0" xr:uid="{00000000-0006-0000-0B00-00001B080000}">
      <text>
        <r>
          <rPr>
            <b/>
            <sz val="10"/>
            <color indexed="81"/>
            <rFont val="Tahoma"/>
            <family val="2"/>
          </rPr>
          <t>Data Entry Cell, Tax Credit Equity</t>
        </r>
      </text>
    </comment>
    <comment ref="Y107" authorId="1" shapeId="0" xr:uid="{00000000-0006-0000-0B00-00001C080000}">
      <text>
        <r>
          <rPr>
            <b/>
            <sz val="10"/>
            <color indexed="81"/>
            <rFont val="Tahoma"/>
            <family val="2"/>
          </rPr>
          <t>Data Entry Cell, Tax Credit Equity</t>
        </r>
      </text>
    </comment>
    <comment ref="Z107" authorId="1" shapeId="0" xr:uid="{00000000-0006-0000-0B00-00001D080000}">
      <text>
        <r>
          <rPr>
            <b/>
            <sz val="10"/>
            <color indexed="81"/>
            <rFont val="Tahoma"/>
            <family val="2"/>
          </rPr>
          <t>Data Entry Cell, Tax Credit Equity</t>
        </r>
      </text>
    </comment>
    <comment ref="AA107" authorId="1" shapeId="0" xr:uid="{00000000-0006-0000-0B00-00001E080000}">
      <text>
        <r>
          <rPr>
            <b/>
            <sz val="10"/>
            <color indexed="81"/>
            <rFont val="Tahoma"/>
            <family val="2"/>
          </rPr>
          <t>Data Entry Cell, Tax Credit Equity</t>
        </r>
      </text>
    </comment>
    <comment ref="AB107" authorId="1" shapeId="0" xr:uid="{00000000-0006-0000-0B00-00001F080000}">
      <text>
        <r>
          <rPr>
            <b/>
            <sz val="10"/>
            <color indexed="81"/>
            <rFont val="Tahoma"/>
            <family val="2"/>
          </rPr>
          <t>Data Entry Cell, Tax Credit Equity</t>
        </r>
      </text>
    </comment>
    <comment ref="AC107" authorId="1" shapeId="0" xr:uid="{00000000-0006-0000-0B00-000020080000}">
      <text>
        <r>
          <rPr>
            <b/>
            <sz val="10"/>
            <color indexed="81"/>
            <rFont val="Tahoma"/>
            <family val="2"/>
          </rPr>
          <t>Data Entry Cell, Tax Credit Equity</t>
        </r>
      </text>
    </comment>
    <comment ref="E108" authorId="1" shapeId="0" xr:uid="{00000000-0006-0000-0B00-000021080000}">
      <text>
        <r>
          <rPr>
            <b/>
            <sz val="10"/>
            <color indexed="81"/>
            <rFont val="Tahoma"/>
            <family val="2"/>
          </rPr>
          <t>Data Entry Cell,  Source Type described at left (column C).</t>
        </r>
      </text>
    </comment>
    <comment ref="F108" authorId="1" shapeId="0" xr:uid="{00000000-0006-0000-0B00-000022080000}">
      <text>
        <r>
          <rPr>
            <b/>
            <sz val="10"/>
            <color indexed="81"/>
            <rFont val="Tahoma"/>
            <family val="2"/>
          </rPr>
          <t>Data Entry Cell,  Source Type described at left (column C).</t>
        </r>
      </text>
    </comment>
    <comment ref="G108" authorId="1" shapeId="0" xr:uid="{00000000-0006-0000-0B00-000023080000}">
      <text>
        <r>
          <rPr>
            <b/>
            <sz val="10"/>
            <color indexed="81"/>
            <rFont val="Tahoma"/>
            <family val="2"/>
          </rPr>
          <t>Data Entry Cell,  Source Type described at left (column C).</t>
        </r>
      </text>
    </comment>
    <comment ref="H108" authorId="1" shapeId="0" xr:uid="{00000000-0006-0000-0B00-000024080000}">
      <text>
        <r>
          <rPr>
            <b/>
            <sz val="10"/>
            <color indexed="81"/>
            <rFont val="Tahoma"/>
            <family val="2"/>
          </rPr>
          <t>Data Entry Cell,  Source Type described at left (column C).</t>
        </r>
      </text>
    </comment>
    <comment ref="I108" authorId="1" shapeId="0" xr:uid="{00000000-0006-0000-0B00-000025080000}">
      <text>
        <r>
          <rPr>
            <b/>
            <sz val="10"/>
            <color indexed="81"/>
            <rFont val="Tahoma"/>
            <family val="2"/>
          </rPr>
          <t>Data Entry Cell,  Source Type described at left (column C).</t>
        </r>
      </text>
    </comment>
    <comment ref="J108" authorId="1" shapeId="0" xr:uid="{00000000-0006-0000-0B00-000026080000}">
      <text>
        <r>
          <rPr>
            <b/>
            <sz val="10"/>
            <color indexed="81"/>
            <rFont val="Tahoma"/>
            <family val="2"/>
          </rPr>
          <t>Data Entry Cell,  Source Type described at left (column C).</t>
        </r>
      </text>
    </comment>
    <comment ref="K108" authorId="1" shapeId="0" xr:uid="{00000000-0006-0000-0B00-000027080000}">
      <text>
        <r>
          <rPr>
            <b/>
            <sz val="10"/>
            <color indexed="81"/>
            <rFont val="Tahoma"/>
            <family val="2"/>
          </rPr>
          <t>Data Entry Cell,  Source Type described at left (column C).</t>
        </r>
      </text>
    </comment>
    <comment ref="L108" authorId="1" shapeId="0" xr:uid="{00000000-0006-0000-0B00-000028080000}">
      <text>
        <r>
          <rPr>
            <b/>
            <sz val="10"/>
            <color indexed="81"/>
            <rFont val="Tahoma"/>
            <family val="2"/>
          </rPr>
          <t>Data Entry Cell,  Source Type described at left (column C).</t>
        </r>
      </text>
    </comment>
    <comment ref="M108" authorId="1" shapeId="0" xr:uid="{00000000-0006-0000-0B00-000029080000}">
      <text>
        <r>
          <rPr>
            <b/>
            <sz val="10"/>
            <color indexed="81"/>
            <rFont val="Tahoma"/>
            <family val="2"/>
          </rPr>
          <t>Data Entry Cell,  Source Type described at left (column C).</t>
        </r>
      </text>
    </comment>
    <comment ref="N108" authorId="1" shapeId="0" xr:uid="{00000000-0006-0000-0B00-00002A080000}">
      <text>
        <r>
          <rPr>
            <b/>
            <sz val="10"/>
            <color indexed="81"/>
            <rFont val="Tahoma"/>
            <family val="2"/>
          </rPr>
          <t>Data Entry Cell,  Source Type described at left (column C).</t>
        </r>
      </text>
    </comment>
    <comment ref="O108" authorId="1" shapeId="0" xr:uid="{00000000-0006-0000-0B00-00002B080000}">
      <text>
        <r>
          <rPr>
            <b/>
            <sz val="10"/>
            <color indexed="81"/>
            <rFont val="Tahoma"/>
            <family val="2"/>
          </rPr>
          <t>Data Entry Cell,  Source Type described at left (column C).</t>
        </r>
      </text>
    </comment>
    <comment ref="P108" authorId="1" shapeId="0" xr:uid="{00000000-0006-0000-0B00-00002C080000}">
      <text>
        <r>
          <rPr>
            <b/>
            <sz val="10"/>
            <color indexed="81"/>
            <rFont val="Tahoma"/>
            <family val="2"/>
          </rPr>
          <t>Data Entry Cell,  Source Type described at left (column C).</t>
        </r>
      </text>
    </comment>
    <comment ref="Q108" authorId="1" shapeId="0" xr:uid="{00000000-0006-0000-0B00-00002D080000}">
      <text>
        <r>
          <rPr>
            <b/>
            <sz val="10"/>
            <color indexed="81"/>
            <rFont val="Tahoma"/>
            <family val="2"/>
          </rPr>
          <t>Data Entry Cell,  Source Type described at left (column C).</t>
        </r>
      </text>
    </comment>
    <comment ref="R108" authorId="1" shapeId="0" xr:uid="{00000000-0006-0000-0B00-00002E080000}">
      <text>
        <r>
          <rPr>
            <b/>
            <sz val="10"/>
            <color indexed="81"/>
            <rFont val="Tahoma"/>
            <family val="2"/>
          </rPr>
          <t>Data Entry Cell,  Source Type described at left (column C).</t>
        </r>
      </text>
    </comment>
    <comment ref="S108" authorId="1" shapeId="0" xr:uid="{00000000-0006-0000-0B00-00002F080000}">
      <text>
        <r>
          <rPr>
            <b/>
            <sz val="10"/>
            <color indexed="81"/>
            <rFont val="Tahoma"/>
            <family val="2"/>
          </rPr>
          <t>Data Entry Cell,  Source Type described at left (column C).</t>
        </r>
      </text>
    </comment>
    <comment ref="T108" authorId="1" shapeId="0" xr:uid="{00000000-0006-0000-0B00-000030080000}">
      <text>
        <r>
          <rPr>
            <b/>
            <sz val="10"/>
            <color indexed="81"/>
            <rFont val="Tahoma"/>
            <family val="2"/>
          </rPr>
          <t>Data Entry Cell,  Source Type described at left (column C).</t>
        </r>
      </text>
    </comment>
    <comment ref="U108" authorId="1" shapeId="0" xr:uid="{00000000-0006-0000-0B00-000031080000}">
      <text>
        <r>
          <rPr>
            <b/>
            <sz val="10"/>
            <color indexed="81"/>
            <rFont val="Tahoma"/>
            <family val="2"/>
          </rPr>
          <t>Data Entry Cell,  Source Type described at left (column C).</t>
        </r>
      </text>
    </comment>
    <comment ref="V108" authorId="1" shapeId="0" xr:uid="{00000000-0006-0000-0B00-000032080000}">
      <text>
        <r>
          <rPr>
            <b/>
            <sz val="10"/>
            <color indexed="81"/>
            <rFont val="Tahoma"/>
            <family val="2"/>
          </rPr>
          <t>Data Entry Cell,  Source Type described at left (column C).</t>
        </r>
      </text>
    </comment>
    <comment ref="W108" authorId="1" shapeId="0" xr:uid="{00000000-0006-0000-0B00-000033080000}">
      <text>
        <r>
          <rPr>
            <b/>
            <sz val="10"/>
            <color indexed="81"/>
            <rFont val="Tahoma"/>
            <family val="2"/>
          </rPr>
          <t>Data Entry Cell,  Source Type described at left (column C).</t>
        </r>
      </text>
    </comment>
    <comment ref="X108" authorId="1" shapeId="0" xr:uid="{00000000-0006-0000-0B00-000034080000}">
      <text>
        <r>
          <rPr>
            <b/>
            <sz val="10"/>
            <color indexed="81"/>
            <rFont val="Tahoma"/>
            <family val="2"/>
          </rPr>
          <t>Data Entry Cell,  Source Type described at left (column C).</t>
        </r>
      </text>
    </comment>
    <comment ref="Y108" authorId="1" shapeId="0" xr:uid="{00000000-0006-0000-0B00-000035080000}">
      <text>
        <r>
          <rPr>
            <b/>
            <sz val="10"/>
            <color indexed="81"/>
            <rFont val="Tahoma"/>
            <family val="2"/>
          </rPr>
          <t>Data Entry Cell,  Source Type described at left (column C).</t>
        </r>
      </text>
    </comment>
    <comment ref="Z108" authorId="1" shapeId="0" xr:uid="{00000000-0006-0000-0B00-000036080000}">
      <text>
        <r>
          <rPr>
            <b/>
            <sz val="10"/>
            <color indexed="81"/>
            <rFont val="Tahoma"/>
            <family val="2"/>
          </rPr>
          <t>Data Entry Cell,  Source Type described at left (column C).</t>
        </r>
      </text>
    </comment>
    <comment ref="AA108" authorId="1" shapeId="0" xr:uid="{00000000-0006-0000-0B00-000037080000}">
      <text>
        <r>
          <rPr>
            <b/>
            <sz val="10"/>
            <color indexed="81"/>
            <rFont val="Tahoma"/>
            <family val="2"/>
          </rPr>
          <t>Data Entry Cell,  Source Type described at left (column C).</t>
        </r>
      </text>
    </comment>
    <comment ref="AB108" authorId="1" shapeId="0" xr:uid="{00000000-0006-0000-0B00-000038080000}">
      <text>
        <r>
          <rPr>
            <b/>
            <sz val="10"/>
            <color indexed="81"/>
            <rFont val="Tahoma"/>
            <family val="2"/>
          </rPr>
          <t>Data Entry Cell,  Source Type described at left (column C).</t>
        </r>
      </text>
    </comment>
    <comment ref="AC108" authorId="1" shapeId="0" xr:uid="{00000000-0006-0000-0B00-000039080000}">
      <text>
        <r>
          <rPr>
            <b/>
            <sz val="10"/>
            <color indexed="81"/>
            <rFont val="Tahoma"/>
            <family val="2"/>
          </rPr>
          <t>Data Entry Cell,  Source Type described at left (column C).</t>
        </r>
      </text>
    </comment>
    <comment ref="E109" authorId="1" shapeId="0" xr:uid="{00000000-0006-0000-0B00-00003A080000}">
      <text>
        <r>
          <rPr>
            <b/>
            <sz val="10"/>
            <color indexed="81"/>
            <rFont val="Tahoma"/>
            <family val="2"/>
          </rPr>
          <t>Data Entry Cell,  Source Type described at left (column C).</t>
        </r>
      </text>
    </comment>
    <comment ref="F109" authorId="1" shapeId="0" xr:uid="{00000000-0006-0000-0B00-00003B080000}">
      <text>
        <r>
          <rPr>
            <b/>
            <sz val="10"/>
            <color indexed="81"/>
            <rFont val="Tahoma"/>
            <family val="2"/>
          </rPr>
          <t>Data Entry Cell,  Source Type described at left (column C).</t>
        </r>
      </text>
    </comment>
    <comment ref="G109" authorId="1" shapeId="0" xr:uid="{00000000-0006-0000-0B00-00003C080000}">
      <text>
        <r>
          <rPr>
            <b/>
            <sz val="10"/>
            <color indexed="81"/>
            <rFont val="Tahoma"/>
            <family val="2"/>
          </rPr>
          <t>Data Entry Cell,  Source Type described at left (column C).</t>
        </r>
      </text>
    </comment>
    <comment ref="H109" authorId="1" shapeId="0" xr:uid="{00000000-0006-0000-0B00-00003D080000}">
      <text>
        <r>
          <rPr>
            <b/>
            <sz val="10"/>
            <color indexed="81"/>
            <rFont val="Tahoma"/>
            <family val="2"/>
          </rPr>
          <t>Data Entry Cell,  Source Type described at left (column C).</t>
        </r>
      </text>
    </comment>
    <comment ref="I109" authorId="1" shapeId="0" xr:uid="{00000000-0006-0000-0B00-00003E080000}">
      <text>
        <r>
          <rPr>
            <b/>
            <sz val="10"/>
            <color indexed="81"/>
            <rFont val="Tahoma"/>
            <family val="2"/>
          </rPr>
          <t>Data Entry Cell,  Source Type described at left (column C).</t>
        </r>
      </text>
    </comment>
    <comment ref="J109" authorId="1" shapeId="0" xr:uid="{00000000-0006-0000-0B00-00003F080000}">
      <text>
        <r>
          <rPr>
            <b/>
            <sz val="10"/>
            <color indexed="81"/>
            <rFont val="Tahoma"/>
            <family val="2"/>
          </rPr>
          <t>Data Entry Cell,  Source Type described at left (column C).</t>
        </r>
      </text>
    </comment>
    <comment ref="K109" authorId="1" shapeId="0" xr:uid="{00000000-0006-0000-0B00-000040080000}">
      <text>
        <r>
          <rPr>
            <b/>
            <sz val="10"/>
            <color indexed="81"/>
            <rFont val="Tahoma"/>
            <family val="2"/>
          </rPr>
          <t>Data Entry Cell,  Source Type described at left (column C).</t>
        </r>
      </text>
    </comment>
    <comment ref="L109" authorId="1" shapeId="0" xr:uid="{00000000-0006-0000-0B00-000041080000}">
      <text>
        <r>
          <rPr>
            <b/>
            <sz val="10"/>
            <color indexed="81"/>
            <rFont val="Tahoma"/>
            <family val="2"/>
          </rPr>
          <t>Data Entry Cell,  Source Type described at left (column C).</t>
        </r>
      </text>
    </comment>
    <comment ref="M109" authorId="1" shapeId="0" xr:uid="{00000000-0006-0000-0B00-000042080000}">
      <text>
        <r>
          <rPr>
            <b/>
            <sz val="10"/>
            <color indexed="81"/>
            <rFont val="Tahoma"/>
            <family val="2"/>
          </rPr>
          <t>Data Entry Cell,  Source Type described at left (column C).</t>
        </r>
      </text>
    </comment>
    <comment ref="N109" authorId="1" shapeId="0" xr:uid="{00000000-0006-0000-0B00-000043080000}">
      <text>
        <r>
          <rPr>
            <b/>
            <sz val="10"/>
            <color indexed="81"/>
            <rFont val="Tahoma"/>
            <family val="2"/>
          </rPr>
          <t>Data Entry Cell,  Source Type described at left (column C).</t>
        </r>
      </text>
    </comment>
    <comment ref="O109" authorId="1" shapeId="0" xr:uid="{00000000-0006-0000-0B00-000044080000}">
      <text>
        <r>
          <rPr>
            <b/>
            <sz val="10"/>
            <color indexed="81"/>
            <rFont val="Tahoma"/>
            <family val="2"/>
          </rPr>
          <t>Data Entry Cell,  Source Type described at left (column C).</t>
        </r>
      </text>
    </comment>
    <comment ref="P109" authorId="1" shapeId="0" xr:uid="{00000000-0006-0000-0B00-000045080000}">
      <text>
        <r>
          <rPr>
            <b/>
            <sz val="10"/>
            <color indexed="81"/>
            <rFont val="Tahoma"/>
            <family val="2"/>
          </rPr>
          <t>Data Entry Cell,  Source Type described at left (column C).</t>
        </r>
      </text>
    </comment>
    <comment ref="Q109" authorId="1" shapeId="0" xr:uid="{00000000-0006-0000-0B00-000046080000}">
      <text>
        <r>
          <rPr>
            <b/>
            <sz val="10"/>
            <color indexed="81"/>
            <rFont val="Tahoma"/>
            <family val="2"/>
          </rPr>
          <t>Data Entry Cell,  Source Type described at left (column C).</t>
        </r>
      </text>
    </comment>
    <comment ref="R109" authorId="1" shapeId="0" xr:uid="{00000000-0006-0000-0B00-000047080000}">
      <text>
        <r>
          <rPr>
            <b/>
            <sz val="10"/>
            <color indexed="81"/>
            <rFont val="Tahoma"/>
            <family val="2"/>
          </rPr>
          <t>Data Entry Cell,  Source Type described at left (column C).</t>
        </r>
      </text>
    </comment>
    <comment ref="S109" authorId="1" shapeId="0" xr:uid="{00000000-0006-0000-0B00-000048080000}">
      <text>
        <r>
          <rPr>
            <b/>
            <sz val="10"/>
            <color indexed="81"/>
            <rFont val="Tahoma"/>
            <family val="2"/>
          </rPr>
          <t>Data Entry Cell,  Source Type described at left (column C).</t>
        </r>
      </text>
    </comment>
    <comment ref="T109" authorId="1" shapeId="0" xr:uid="{00000000-0006-0000-0B00-000049080000}">
      <text>
        <r>
          <rPr>
            <b/>
            <sz val="10"/>
            <color indexed="81"/>
            <rFont val="Tahoma"/>
            <family val="2"/>
          </rPr>
          <t>Data Entry Cell,  Source Type described at left (column C).</t>
        </r>
      </text>
    </comment>
    <comment ref="U109" authorId="1" shapeId="0" xr:uid="{00000000-0006-0000-0B00-00004A080000}">
      <text>
        <r>
          <rPr>
            <b/>
            <sz val="10"/>
            <color indexed="81"/>
            <rFont val="Tahoma"/>
            <family val="2"/>
          </rPr>
          <t>Data Entry Cell,  Source Type described at left (column C).</t>
        </r>
      </text>
    </comment>
    <comment ref="V109" authorId="1" shapeId="0" xr:uid="{00000000-0006-0000-0B00-00004B080000}">
      <text>
        <r>
          <rPr>
            <b/>
            <sz val="10"/>
            <color indexed="81"/>
            <rFont val="Tahoma"/>
            <family val="2"/>
          </rPr>
          <t>Data Entry Cell,  Source Type described at left (column C).</t>
        </r>
      </text>
    </comment>
    <comment ref="W109" authorId="1" shapeId="0" xr:uid="{00000000-0006-0000-0B00-00004C080000}">
      <text>
        <r>
          <rPr>
            <b/>
            <sz val="10"/>
            <color indexed="81"/>
            <rFont val="Tahoma"/>
            <family val="2"/>
          </rPr>
          <t>Data Entry Cell,  Source Type described at left (column C).</t>
        </r>
      </text>
    </comment>
    <comment ref="X109" authorId="1" shapeId="0" xr:uid="{00000000-0006-0000-0B00-00004D080000}">
      <text>
        <r>
          <rPr>
            <b/>
            <sz val="10"/>
            <color indexed="81"/>
            <rFont val="Tahoma"/>
            <family val="2"/>
          </rPr>
          <t>Data Entry Cell,  Source Type described at left (column C).</t>
        </r>
      </text>
    </comment>
    <comment ref="Y109" authorId="1" shapeId="0" xr:uid="{00000000-0006-0000-0B00-00004E080000}">
      <text>
        <r>
          <rPr>
            <b/>
            <sz val="10"/>
            <color indexed="81"/>
            <rFont val="Tahoma"/>
            <family val="2"/>
          </rPr>
          <t>Data Entry Cell,  Source Type described at left (column C).</t>
        </r>
      </text>
    </comment>
    <comment ref="Z109" authorId="1" shapeId="0" xr:uid="{00000000-0006-0000-0B00-00004F080000}">
      <text>
        <r>
          <rPr>
            <b/>
            <sz val="10"/>
            <color indexed="81"/>
            <rFont val="Tahoma"/>
            <family val="2"/>
          </rPr>
          <t>Data Entry Cell,  Source Type described at left (column C).</t>
        </r>
      </text>
    </comment>
    <comment ref="AA109" authorId="1" shapeId="0" xr:uid="{00000000-0006-0000-0B00-000050080000}">
      <text>
        <r>
          <rPr>
            <b/>
            <sz val="10"/>
            <color indexed="81"/>
            <rFont val="Tahoma"/>
            <family val="2"/>
          </rPr>
          <t>Data Entry Cell,  Source Type described at left (column C).</t>
        </r>
      </text>
    </comment>
    <comment ref="AB109" authorId="1" shapeId="0" xr:uid="{00000000-0006-0000-0B00-000051080000}">
      <text>
        <r>
          <rPr>
            <b/>
            <sz val="10"/>
            <color indexed="81"/>
            <rFont val="Tahoma"/>
            <family val="2"/>
          </rPr>
          <t>Data Entry Cell,  Source Type described at left (column C).</t>
        </r>
      </text>
    </comment>
    <comment ref="AC109" authorId="1" shapeId="0" xr:uid="{00000000-0006-0000-0B00-000052080000}">
      <text>
        <r>
          <rPr>
            <b/>
            <sz val="10"/>
            <color indexed="81"/>
            <rFont val="Tahoma"/>
            <family val="2"/>
          </rPr>
          <t>Data Entry Cell,  Source Type described at left (column C).</t>
        </r>
      </text>
    </comment>
    <comment ref="E110" authorId="1" shapeId="0" xr:uid="{00000000-0006-0000-0B00-000053080000}">
      <text>
        <r>
          <rPr>
            <b/>
            <sz val="10"/>
            <color indexed="81"/>
            <rFont val="Tahoma"/>
            <family val="2"/>
          </rPr>
          <t>Data Entry Cell,  Source Type described at left (column C).</t>
        </r>
      </text>
    </comment>
    <comment ref="F110" authorId="1" shapeId="0" xr:uid="{00000000-0006-0000-0B00-000054080000}">
      <text>
        <r>
          <rPr>
            <b/>
            <sz val="10"/>
            <color indexed="81"/>
            <rFont val="Tahoma"/>
            <family val="2"/>
          </rPr>
          <t>Data Entry Cell,  Source Type described at left (column C).</t>
        </r>
      </text>
    </comment>
    <comment ref="G110" authorId="1" shapeId="0" xr:uid="{00000000-0006-0000-0B00-000055080000}">
      <text>
        <r>
          <rPr>
            <b/>
            <sz val="10"/>
            <color indexed="81"/>
            <rFont val="Tahoma"/>
            <family val="2"/>
          </rPr>
          <t>Data Entry Cell,  Source Type described at left (column C).</t>
        </r>
      </text>
    </comment>
    <comment ref="H110" authorId="1" shapeId="0" xr:uid="{00000000-0006-0000-0B00-000056080000}">
      <text>
        <r>
          <rPr>
            <b/>
            <sz val="10"/>
            <color indexed="81"/>
            <rFont val="Tahoma"/>
            <family val="2"/>
          </rPr>
          <t>Data Entry Cell,  Source Type described at left (column C).</t>
        </r>
      </text>
    </comment>
    <comment ref="I110" authorId="1" shapeId="0" xr:uid="{00000000-0006-0000-0B00-000057080000}">
      <text>
        <r>
          <rPr>
            <b/>
            <sz val="10"/>
            <color indexed="81"/>
            <rFont val="Tahoma"/>
            <family val="2"/>
          </rPr>
          <t>Data Entry Cell,  Source Type described at left (column C).</t>
        </r>
      </text>
    </comment>
    <comment ref="J110" authorId="1" shapeId="0" xr:uid="{00000000-0006-0000-0B00-000058080000}">
      <text>
        <r>
          <rPr>
            <b/>
            <sz val="10"/>
            <color indexed="81"/>
            <rFont val="Tahoma"/>
            <family val="2"/>
          </rPr>
          <t>Data Entry Cell,  Source Type described at left (column C).</t>
        </r>
      </text>
    </comment>
    <comment ref="K110" authorId="1" shapeId="0" xr:uid="{00000000-0006-0000-0B00-000059080000}">
      <text>
        <r>
          <rPr>
            <b/>
            <sz val="10"/>
            <color indexed="81"/>
            <rFont val="Tahoma"/>
            <family val="2"/>
          </rPr>
          <t>Data Entry Cell,  Source Type described at left (column C).</t>
        </r>
      </text>
    </comment>
    <comment ref="L110" authorId="1" shapeId="0" xr:uid="{00000000-0006-0000-0B00-00005A080000}">
      <text>
        <r>
          <rPr>
            <b/>
            <sz val="10"/>
            <color indexed="81"/>
            <rFont val="Tahoma"/>
            <family val="2"/>
          </rPr>
          <t>Data Entry Cell,  Source Type described at left (column C).</t>
        </r>
      </text>
    </comment>
    <comment ref="M110" authorId="1" shapeId="0" xr:uid="{00000000-0006-0000-0B00-00005B080000}">
      <text>
        <r>
          <rPr>
            <b/>
            <sz val="10"/>
            <color indexed="81"/>
            <rFont val="Tahoma"/>
            <family val="2"/>
          </rPr>
          <t>Data Entry Cell,  Source Type described at left (column C).</t>
        </r>
      </text>
    </comment>
    <comment ref="N110" authorId="1" shapeId="0" xr:uid="{00000000-0006-0000-0B00-00005C080000}">
      <text>
        <r>
          <rPr>
            <b/>
            <sz val="10"/>
            <color indexed="81"/>
            <rFont val="Tahoma"/>
            <family val="2"/>
          </rPr>
          <t>Data Entry Cell,  Source Type described at left (column C).</t>
        </r>
      </text>
    </comment>
    <comment ref="O110" authorId="1" shapeId="0" xr:uid="{00000000-0006-0000-0B00-00005D080000}">
      <text>
        <r>
          <rPr>
            <b/>
            <sz val="10"/>
            <color indexed="81"/>
            <rFont val="Tahoma"/>
            <family val="2"/>
          </rPr>
          <t>Data Entry Cell,  Source Type described at left (column C).</t>
        </r>
      </text>
    </comment>
    <comment ref="P110" authorId="1" shapeId="0" xr:uid="{00000000-0006-0000-0B00-00005E080000}">
      <text>
        <r>
          <rPr>
            <b/>
            <sz val="10"/>
            <color indexed="81"/>
            <rFont val="Tahoma"/>
            <family val="2"/>
          </rPr>
          <t>Data Entry Cell,  Source Type described at left (column C).</t>
        </r>
      </text>
    </comment>
    <comment ref="Q110" authorId="1" shapeId="0" xr:uid="{00000000-0006-0000-0B00-00005F080000}">
      <text>
        <r>
          <rPr>
            <b/>
            <sz val="10"/>
            <color indexed="81"/>
            <rFont val="Tahoma"/>
            <family val="2"/>
          </rPr>
          <t>Data Entry Cell,  Source Type described at left (column C).</t>
        </r>
      </text>
    </comment>
    <comment ref="R110" authorId="1" shapeId="0" xr:uid="{00000000-0006-0000-0B00-000060080000}">
      <text>
        <r>
          <rPr>
            <b/>
            <sz val="10"/>
            <color indexed="81"/>
            <rFont val="Tahoma"/>
            <family val="2"/>
          </rPr>
          <t>Data Entry Cell,  Source Type described at left (column C).</t>
        </r>
      </text>
    </comment>
    <comment ref="S110" authorId="1" shapeId="0" xr:uid="{00000000-0006-0000-0B00-000061080000}">
      <text>
        <r>
          <rPr>
            <b/>
            <sz val="10"/>
            <color indexed="81"/>
            <rFont val="Tahoma"/>
            <family val="2"/>
          </rPr>
          <t>Data Entry Cell,  Source Type described at left (column C).</t>
        </r>
      </text>
    </comment>
    <comment ref="T110" authorId="1" shapeId="0" xr:uid="{00000000-0006-0000-0B00-000062080000}">
      <text>
        <r>
          <rPr>
            <b/>
            <sz val="10"/>
            <color indexed="81"/>
            <rFont val="Tahoma"/>
            <family val="2"/>
          </rPr>
          <t>Data Entry Cell,  Source Type described at left (column C).</t>
        </r>
      </text>
    </comment>
    <comment ref="U110" authorId="1" shapeId="0" xr:uid="{00000000-0006-0000-0B00-000063080000}">
      <text>
        <r>
          <rPr>
            <b/>
            <sz val="10"/>
            <color indexed="81"/>
            <rFont val="Tahoma"/>
            <family val="2"/>
          </rPr>
          <t>Data Entry Cell,  Source Type described at left (column C).</t>
        </r>
      </text>
    </comment>
    <comment ref="V110" authorId="1" shapeId="0" xr:uid="{00000000-0006-0000-0B00-000064080000}">
      <text>
        <r>
          <rPr>
            <b/>
            <sz val="10"/>
            <color indexed="81"/>
            <rFont val="Tahoma"/>
            <family val="2"/>
          </rPr>
          <t>Data Entry Cell,  Source Type described at left (column C).</t>
        </r>
      </text>
    </comment>
    <comment ref="W110" authorId="1" shapeId="0" xr:uid="{00000000-0006-0000-0B00-000065080000}">
      <text>
        <r>
          <rPr>
            <b/>
            <sz val="10"/>
            <color indexed="81"/>
            <rFont val="Tahoma"/>
            <family val="2"/>
          </rPr>
          <t>Data Entry Cell,  Source Type described at left (column C).</t>
        </r>
      </text>
    </comment>
    <comment ref="X110" authorId="1" shapeId="0" xr:uid="{00000000-0006-0000-0B00-000066080000}">
      <text>
        <r>
          <rPr>
            <b/>
            <sz val="10"/>
            <color indexed="81"/>
            <rFont val="Tahoma"/>
            <family val="2"/>
          </rPr>
          <t>Data Entry Cell,  Source Type described at left (column C).</t>
        </r>
      </text>
    </comment>
    <comment ref="Y110" authorId="1" shapeId="0" xr:uid="{00000000-0006-0000-0B00-000067080000}">
      <text>
        <r>
          <rPr>
            <b/>
            <sz val="10"/>
            <color indexed="81"/>
            <rFont val="Tahoma"/>
            <family val="2"/>
          </rPr>
          <t>Data Entry Cell,  Source Type described at left (column C).</t>
        </r>
      </text>
    </comment>
    <comment ref="Z110" authorId="1" shapeId="0" xr:uid="{00000000-0006-0000-0B00-000068080000}">
      <text>
        <r>
          <rPr>
            <b/>
            <sz val="10"/>
            <color indexed="81"/>
            <rFont val="Tahoma"/>
            <family val="2"/>
          </rPr>
          <t>Data Entry Cell,  Source Type described at left (column C).</t>
        </r>
      </text>
    </comment>
    <comment ref="AA110" authorId="1" shapeId="0" xr:uid="{00000000-0006-0000-0B00-000069080000}">
      <text>
        <r>
          <rPr>
            <b/>
            <sz val="10"/>
            <color indexed="81"/>
            <rFont val="Tahoma"/>
            <family val="2"/>
          </rPr>
          <t>Data Entry Cell,  Source Type described at left (column C).</t>
        </r>
      </text>
    </comment>
    <comment ref="AB110" authorId="1" shapeId="0" xr:uid="{00000000-0006-0000-0B00-00006A080000}">
      <text>
        <r>
          <rPr>
            <b/>
            <sz val="10"/>
            <color indexed="81"/>
            <rFont val="Tahoma"/>
            <family val="2"/>
          </rPr>
          <t>Data Entry Cell,  Source Type described at left (column C).</t>
        </r>
      </text>
    </comment>
    <comment ref="AC110" authorId="1" shapeId="0" xr:uid="{00000000-0006-0000-0B00-00006B080000}">
      <text>
        <r>
          <rPr>
            <b/>
            <sz val="10"/>
            <color indexed="81"/>
            <rFont val="Tahoma"/>
            <family val="2"/>
          </rPr>
          <t>Data Entry Cell,  Source Type described at left (column C).</t>
        </r>
      </text>
    </comment>
    <comment ref="E111" authorId="1" shapeId="0" xr:uid="{00000000-0006-0000-0B00-00006C080000}">
      <text>
        <r>
          <rPr>
            <b/>
            <sz val="10"/>
            <color indexed="81"/>
            <rFont val="Tahoma"/>
            <family val="2"/>
          </rPr>
          <t>Data Entry Cell,  Source Type described at left (column C).</t>
        </r>
      </text>
    </comment>
    <comment ref="F111" authorId="1" shapeId="0" xr:uid="{00000000-0006-0000-0B00-00006D080000}">
      <text>
        <r>
          <rPr>
            <b/>
            <sz val="10"/>
            <color indexed="81"/>
            <rFont val="Tahoma"/>
            <family val="2"/>
          </rPr>
          <t>Data Entry Cell,  Source Type described at left (column C).</t>
        </r>
      </text>
    </comment>
    <comment ref="G111" authorId="1" shapeId="0" xr:uid="{00000000-0006-0000-0B00-00006E080000}">
      <text>
        <r>
          <rPr>
            <b/>
            <sz val="10"/>
            <color indexed="81"/>
            <rFont val="Tahoma"/>
            <family val="2"/>
          </rPr>
          <t>Data Entry Cell,  Source Type described at left (column C).</t>
        </r>
      </text>
    </comment>
    <comment ref="H111" authorId="1" shapeId="0" xr:uid="{00000000-0006-0000-0B00-00006F080000}">
      <text>
        <r>
          <rPr>
            <b/>
            <sz val="10"/>
            <color indexed="81"/>
            <rFont val="Tahoma"/>
            <family val="2"/>
          </rPr>
          <t>Data Entry Cell,  Source Type described at left (column C).</t>
        </r>
      </text>
    </comment>
    <comment ref="I111" authorId="1" shapeId="0" xr:uid="{00000000-0006-0000-0B00-000070080000}">
      <text>
        <r>
          <rPr>
            <b/>
            <sz val="10"/>
            <color indexed="81"/>
            <rFont val="Tahoma"/>
            <family val="2"/>
          </rPr>
          <t>Data Entry Cell,  Source Type described at left (column C).</t>
        </r>
      </text>
    </comment>
    <comment ref="J111" authorId="1" shapeId="0" xr:uid="{00000000-0006-0000-0B00-000071080000}">
      <text>
        <r>
          <rPr>
            <b/>
            <sz val="10"/>
            <color indexed="81"/>
            <rFont val="Tahoma"/>
            <family val="2"/>
          </rPr>
          <t>Data Entry Cell,  Source Type described at left (column C).</t>
        </r>
      </text>
    </comment>
    <comment ref="K111" authorId="1" shapeId="0" xr:uid="{00000000-0006-0000-0B00-000072080000}">
      <text>
        <r>
          <rPr>
            <b/>
            <sz val="10"/>
            <color indexed="81"/>
            <rFont val="Tahoma"/>
            <family val="2"/>
          </rPr>
          <t>Data Entry Cell,  Source Type described at left (column C).</t>
        </r>
      </text>
    </comment>
    <comment ref="L111" authorId="1" shapeId="0" xr:uid="{00000000-0006-0000-0B00-000073080000}">
      <text>
        <r>
          <rPr>
            <b/>
            <sz val="10"/>
            <color indexed="81"/>
            <rFont val="Tahoma"/>
            <family val="2"/>
          </rPr>
          <t>Data Entry Cell,  Source Type described at left (column C).</t>
        </r>
      </text>
    </comment>
    <comment ref="M111" authorId="1" shapeId="0" xr:uid="{00000000-0006-0000-0B00-000074080000}">
      <text>
        <r>
          <rPr>
            <b/>
            <sz val="10"/>
            <color indexed="81"/>
            <rFont val="Tahoma"/>
            <family val="2"/>
          </rPr>
          <t>Data Entry Cell,  Source Type described at left (column C).</t>
        </r>
      </text>
    </comment>
    <comment ref="N111" authorId="1" shapeId="0" xr:uid="{00000000-0006-0000-0B00-000075080000}">
      <text>
        <r>
          <rPr>
            <b/>
            <sz val="10"/>
            <color indexed="81"/>
            <rFont val="Tahoma"/>
            <family val="2"/>
          </rPr>
          <t>Data Entry Cell,  Source Type described at left (column C).</t>
        </r>
      </text>
    </comment>
    <comment ref="O111" authorId="1" shapeId="0" xr:uid="{00000000-0006-0000-0B00-000076080000}">
      <text>
        <r>
          <rPr>
            <b/>
            <sz val="10"/>
            <color indexed="81"/>
            <rFont val="Tahoma"/>
            <family val="2"/>
          </rPr>
          <t>Data Entry Cell,  Source Type described at left (column C).</t>
        </r>
      </text>
    </comment>
    <comment ref="P111" authorId="1" shapeId="0" xr:uid="{00000000-0006-0000-0B00-000077080000}">
      <text>
        <r>
          <rPr>
            <b/>
            <sz val="10"/>
            <color indexed="81"/>
            <rFont val="Tahoma"/>
            <family val="2"/>
          </rPr>
          <t>Data Entry Cell,  Source Type described at left (column C).</t>
        </r>
      </text>
    </comment>
    <comment ref="Q111" authorId="1" shapeId="0" xr:uid="{00000000-0006-0000-0B00-000078080000}">
      <text>
        <r>
          <rPr>
            <b/>
            <sz val="10"/>
            <color indexed="81"/>
            <rFont val="Tahoma"/>
            <family val="2"/>
          </rPr>
          <t>Data Entry Cell,  Source Type described at left (column C).</t>
        </r>
      </text>
    </comment>
    <comment ref="R111" authorId="1" shapeId="0" xr:uid="{00000000-0006-0000-0B00-000079080000}">
      <text>
        <r>
          <rPr>
            <b/>
            <sz val="10"/>
            <color indexed="81"/>
            <rFont val="Tahoma"/>
            <family val="2"/>
          </rPr>
          <t>Data Entry Cell,  Source Type described at left (column C).</t>
        </r>
      </text>
    </comment>
    <comment ref="S111" authorId="1" shapeId="0" xr:uid="{00000000-0006-0000-0B00-00007A080000}">
      <text>
        <r>
          <rPr>
            <b/>
            <sz val="10"/>
            <color indexed="81"/>
            <rFont val="Tahoma"/>
            <family val="2"/>
          </rPr>
          <t>Data Entry Cell,  Source Type described at left (column C).</t>
        </r>
      </text>
    </comment>
    <comment ref="T111" authorId="1" shapeId="0" xr:uid="{00000000-0006-0000-0B00-00007B080000}">
      <text>
        <r>
          <rPr>
            <b/>
            <sz val="10"/>
            <color indexed="81"/>
            <rFont val="Tahoma"/>
            <family val="2"/>
          </rPr>
          <t>Data Entry Cell,  Source Type described at left (column C).</t>
        </r>
      </text>
    </comment>
    <comment ref="U111" authorId="1" shapeId="0" xr:uid="{00000000-0006-0000-0B00-00007C080000}">
      <text>
        <r>
          <rPr>
            <b/>
            <sz val="10"/>
            <color indexed="81"/>
            <rFont val="Tahoma"/>
            <family val="2"/>
          </rPr>
          <t>Data Entry Cell,  Source Type described at left (column C).</t>
        </r>
      </text>
    </comment>
    <comment ref="V111" authorId="1" shapeId="0" xr:uid="{00000000-0006-0000-0B00-00007D080000}">
      <text>
        <r>
          <rPr>
            <b/>
            <sz val="10"/>
            <color indexed="81"/>
            <rFont val="Tahoma"/>
            <family val="2"/>
          </rPr>
          <t>Data Entry Cell,  Source Type described at left (column C).</t>
        </r>
      </text>
    </comment>
    <comment ref="W111" authorId="1" shapeId="0" xr:uid="{00000000-0006-0000-0B00-00007E080000}">
      <text>
        <r>
          <rPr>
            <b/>
            <sz val="10"/>
            <color indexed="81"/>
            <rFont val="Tahoma"/>
            <family val="2"/>
          </rPr>
          <t>Data Entry Cell,  Source Type described at left (column C).</t>
        </r>
      </text>
    </comment>
    <comment ref="X111" authorId="1" shapeId="0" xr:uid="{00000000-0006-0000-0B00-00007F080000}">
      <text>
        <r>
          <rPr>
            <b/>
            <sz val="10"/>
            <color indexed="81"/>
            <rFont val="Tahoma"/>
            <family val="2"/>
          </rPr>
          <t>Data Entry Cell,  Source Type described at left (column C).</t>
        </r>
      </text>
    </comment>
    <comment ref="Y111" authorId="1" shapeId="0" xr:uid="{00000000-0006-0000-0B00-000080080000}">
      <text>
        <r>
          <rPr>
            <b/>
            <sz val="10"/>
            <color indexed="81"/>
            <rFont val="Tahoma"/>
            <family val="2"/>
          </rPr>
          <t>Data Entry Cell,  Source Type described at left (column C).</t>
        </r>
      </text>
    </comment>
    <comment ref="Z111" authorId="1" shapeId="0" xr:uid="{00000000-0006-0000-0B00-000081080000}">
      <text>
        <r>
          <rPr>
            <b/>
            <sz val="10"/>
            <color indexed="81"/>
            <rFont val="Tahoma"/>
            <family val="2"/>
          </rPr>
          <t>Data Entry Cell,  Source Type described at left (column C).</t>
        </r>
      </text>
    </comment>
    <comment ref="AA111" authorId="1" shapeId="0" xr:uid="{00000000-0006-0000-0B00-000082080000}">
      <text>
        <r>
          <rPr>
            <b/>
            <sz val="10"/>
            <color indexed="81"/>
            <rFont val="Tahoma"/>
            <family val="2"/>
          </rPr>
          <t>Data Entry Cell,  Source Type described at left (column C).</t>
        </r>
      </text>
    </comment>
    <comment ref="AB111" authorId="1" shapeId="0" xr:uid="{00000000-0006-0000-0B00-000083080000}">
      <text>
        <r>
          <rPr>
            <b/>
            <sz val="10"/>
            <color indexed="81"/>
            <rFont val="Tahoma"/>
            <family val="2"/>
          </rPr>
          <t>Data Entry Cell,  Source Type described at left (column C).</t>
        </r>
      </text>
    </comment>
    <comment ref="AC111" authorId="1" shapeId="0" xr:uid="{00000000-0006-0000-0B00-000084080000}">
      <text>
        <r>
          <rPr>
            <b/>
            <sz val="10"/>
            <color indexed="81"/>
            <rFont val="Tahoma"/>
            <family val="2"/>
          </rPr>
          <t>Data Entry Cell,  Source Type described at left (column C).</t>
        </r>
      </text>
    </comment>
    <comment ref="E112" authorId="1" shapeId="0" xr:uid="{00000000-0006-0000-0B00-000085080000}">
      <text>
        <r>
          <rPr>
            <b/>
            <sz val="10"/>
            <color indexed="81"/>
            <rFont val="Tahoma"/>
            <family val="2"/>
          </rPr>
          <t>Data Entry Cell,  Source Type described at left (column C).</t>
        </r>
      </text>
    </comment>
    <comment ref="F112" authorId="1" shapeId="0" xr:uid="{00000000-0006-0000-0B00-000086080000}">
      <text>
        <r>
          <rPr>
            <b/>
            <sz val="10"/>
            <color indexed="81"/>
            <rFont val="Tahoma"/>
            <family val="2"/>
          </rPr>
          <t>Data Entry Cell,  Source Type described at left (column C).</t>
        </r>
      </text>
    </comment>
    <comment ref="G112" authorId="1" shapeId="0" xr:uid="{00000000-0006-0000-0B00-000087080000}">
      <text>
        <r>
          <rPr>
            <b/>
            <sz val="10"/>
            <color indexed="81"/>
            <rFont val="Tahoma"/>
            <family val="2"/>
          </rPr>
          <t>Data Entry Cell,  Source Type described at left (column C).</t>
        </r>
      </text>
    </comment>
    <comment ref="H112" authorId="1" shapeId="0" xr:uid="{00000000-0006-0000-0B00-000088080000}">
      <text>
        <r>
          <rPr>
            <b/>
            <sz val="10"/>
            <color indexed="81"/>
            <rFont val="Tahoma"/>
            <family val="2"/>
          </rPr>
          <t>Data Entry Cell,  Source Type described at left (column C).</t>
        </r>
      </text>
    </comment>
    <comment ref="I112" authorId="1" shapeId="0" xr:uid="{00000000-0006-0000-0B00-000089080000}">
      <text>
        <r>
          <rPr>
            <b/>
            <sz val="10"/>
            <color indexed="81"/>
            <rFont val="Tahoma"/>
            <family val="2"/>
          </rPr>
          <t>Data Entry Cell,  Source Type described at left (column C).</t>
        </r>
      </text>
    </comment>
    <comment ref="J112" authorId="1" shapeId="0" xr:uid="{00000000-0006-0000-0B00-00008A080000}">
      <text>
        <r>
          <rPr>
            <b/>
            <sz val="10"/>
            <color indexed="81"/>
            <rFont val="Tahoma"/>
            <family val="2"/>
          </rPr>
          <t>Data Entry Cell,  Source Type described at left (column C).</t>
        </r>
      </text>
    </comment>
    <comment ref="K112" authorId="1" shapeId="0" xr:uid="{00000000-0006-0000-0B00-00008B080000}">
      <text>
        <r>
          <rPr>
            <b/>
            <sz val="10"/>
            <color indexed="81"/>
            <rFont val="Tahoma"/>
            <family val="2"/>
          </rPr>
          <t>Data Entry Cell,  Source Type described at left (column C).</t>
        </r>
      </text>
    </comment>
    <comment ref="L112" authorId="1" shapeId="0" xr:uid="{00000000-0006-0000-0B00-00008C080000}">
      <text>
        <r>
          <rPr>
            <b/>
            <sz val="10"/>
            <color indexed="81"/>
            <rFont val="Tahoma"/>
            <family val="2"/>
          </rPr>
          <t>Data Entry Cell,  Source Type described at left (column C).</t>
        </r>
      </text>
    </comment>
    <comment ref="M112" authorId="1" shapeId="0" xr:uid="{00000000-0006-0000-0B00-00008D080000}">
      <text>
        <r>
          <rPr>
            <b/>
            <sz val="10"/>
            <color indexed="81"/>
            <rFont val="Tahoma"/>
            <family val="2"/>
          </rPr>
          <t>Data Entry Cell,  Source Type described at left (column C).</t>
        </r>
      </text>
    </comment>
    <comment ref="N112" authorId="1" shapeId="0" xr:uid="{00000000-0006-0000-0B00-00008E080000}">
      <text>
        <r>
          <rPr>
            <b/>
            <sz val="10"/>
            <color indexed="81"/>
            <rFont val="Tahoma"/>
            <family val="2"/>
          </rPr>
          <t>Data Entry Cell,  Source Type described at left (column C).</t>
        </r>
      </text>
    </comment>
    <comment ref="O112" authorId="1" shapeId="0" xr:uid="{00000000-0006-0000-0B00-00008F080000}">
      <text>
        <r>
          <rPr>
            <b/>
            <sz val="10"/>
            <color indexed="81"/>
            <rFont val="Tahoma"/>
            <family val="2"/>
          </rPr>
          <t>Data Entry Cell,  Source Type described at left (column C).</t>
        </r>
      </text>
    </comment>
    <comment ref="P112" authorId="1" shapeId="0" xr:uid="{00000000-0006-0000-0B00-000090080000}">
      <text>
        <r>
          <rPr>
            <b/>
            <sz val="10"/>
            <color indexed="81"/>
            <rFont val="Tahoma"/>
            <family val="2"/>
          </rPr>
          <t>Data Entry Cell,  Source Type described at left (column C).</t>
        </r>
      </text>
    </comment>
    <comment ref="Q112" authorId="1" shapeId="0" xr:uid="{00000000-0006-0000-0B00-000091080000}">
      <text>
        <r>
          <rPr>
            <b/>
            <sz val="10"/>
            <color indexed="81"/>
            <rFont val="Tahoma"/>
            <family val="2"/>
          </rPr>
          <t>Data Entry Cell,  Source Type described at left (column C).</t>
        </r>
      </text>
    </comment>
    <comment ref="R112" authorId="1" shapeId="0" xr:uid="{00000000-0006-0000-0B00-000092080000}">
      <text>
        <r>
          <rPr>
            <b/>
            <sz val="10"/>
            <color indexed="81"/>
            <rFont val="Tahoma"/>
            <family val="2"/>
          </rPr>
          <t>Data Entry Cell,  Source Type described at left (column C).</t>
        </r>
      </text>
    </comment>
    <comment ref="S112" authorId="1" shapeId="0" xr:uid="{00000000-0006-0000-0B00-000093080000}">
      <text>
        <r>
          <rPr>
            <b/>
            <sz val="10"/>
            <color indexed="81"/>
            <rFont val="Tahoma"/>
            <family val="2"/>
          </rPr>
          <t>Data Entry Cell,  Source Type described at left (column C).</t>
        </r>
      </text>
    </comment>
    <comment ref="T112" authorId="1" shapeId="0" xr:uid="{00000000-0006-0000-0B00-000094080000}">
      <text>
        <r>
          <rPr>
            <b/>
            <sz val="10"/>
            <color indexed="81"/>
            <rFont val="Tahoma"/>
            <family val="2"/>
          </rPr>
          <t>Data Entry Cell,  Source Type described at left (column C).</t>
        </r>
      </text>
    </comment>
    <comment ref="U112" authorId="1" shapeId="0" xr:uid="{00000000-0006-0000-0B00-000095080000}">
      <text>
        <r>
          <rPr>
            <b/>
            <sz val="10"/>
            <color indexed="81"/>
            <rFont val="Tahoma"/>
            <family val="2"/>
          </rPr>
          <t>Data Entry Cell,  Source Type described at left (column C).</t>
        </r>
      </text>
    </comment>
    <comment ref="V112" authorId="1" shapeId="0" xr:uid="{00000000-0006-0000-0B00-000096080000}">
      <text>
        <r>
          <rPr>
            <b/>
            <sz val="10"/>
            <color indexed="81"/>
            <rFont val="Tahoma"/>
            <family val="2"/>
          </rPr>
          <t>Data Entry Cell,  Source Type described at left (column C).</t>
        </r>
      </text>
    </comment>
    <comment ref="W112" authorId="1" shapeId="0" xr:uid="{00000000-0006-0000-0B00-000097080000}">
      <text>
        <r>
          <rPr>
            <b/>
            <sz val="10"/>
            <color indexed="81"/>
            <rFont val="Tahoma"/>
            <family val="2"/>
          </rPr>
          <t>Data Entry Cell,  Source Type described at left (column C).</t>
        </r>
      </text>
    </comment>
    <comment ref="X112" authorId="1" shapeId="0" xr:uid="{00000000-0006-0000-0B00-000098080000}">
      <text>
        <r>
          <rPr>
            <b/>
            <sz val="10"/>
            <color indexed="81"/>
            <rFont val="Tahoma"/>
            <family val="2"/>
          </rPr>
          <t>Data Entry Cell,  Source Type described at left (column C).</t>
        </r>
      </text>
    </comment>
    <comment ref="Y112" authorId="1" shapeId="0" xr:uid="{00000000-0006-0000-0B00-000099080000}">
      <text>
        <r>
          <rPr>
            <b/>
            <sz val="10"/>
            <color indexed="81"/>
            <rFont val="Tahoma"/>
            <family val="2"/>
          </rPr>
          <t>Data Entry Cell,  Source Type described at left (column C).</t>
        </r>
      </text>
    </comment>
    <comment ref="Z112" authorId="1" shapeId="0" xr:uid="{00000000-0006-0000-0B00-00009A080000}">
      <text>
        <r>
          <rPr>
            <b/>
            <sz val="10"/>
            <color indexed="81"/>
            <rFont val="Tahoma"/>
            <family val="2"/>
          </rPr>
          <t>Data Entry Cell,  Source Type described at left (column C).</t>
        </r>
      </text>
    </comment>
    <comment ref="AA112" authorId="1" shapeId="0" xr:uid="{00000000-0006-0000-0B00-00009B080000}">
      <text>
        <r>
          <rPr>
            <b/>
            <sz val="10"/>
            <color indexed="81"/>
            <rFont val="Tahoma"/>
            <family val="2"/>
          </rPr>
          <t>Data Entry Cell,  Source Type described at left (column C).</t>
        </r>
      </text>
    </comment>
    <comment ref="AB112" authorId="1" shapeId="0" xr:uid="{00000000-0006-0000-0B00-00009C080000}">
      <text>
        <r>
          <rPr>
            <b/>
            <sz val="10"/>
            <color indexed="81"/>
            <rFont val="Tahoma"/>
            <family val="2"/>
          </rPr>
          <t>Data Entry Cell,  Source Type described at left (column C).</t>
        </r>
      </text>
    </comment>
    <comment ref="AC112" authorId="1" shapeId="0" xr:uid="{00000000-0006-0000-0B00-00009D080000}">
      <text>
        <r>
          <rPr>
            <b/>
            <sz val="10"/>
            <color indexed="81"/>
            <rFont val="Tahoma"/>
            <family val="2"/>
          </rPr>
          <t>Data Entry Cell,  Source Type described at left (column C).</t>
        </r>
      </text>
    </comment>
    <comment ref="E113" authorId="1" shapeId="0" xr:uid="{00000000-0006-0000-0B00-00009E080000}">
      <text>
        <r>
          <rPr>
            <b/>
            <sz val="10"/>
            <color indexed="81"/>
            <rFont val="Tahoma"/>
            <family val="2"/>
          </rPr>
          <t>Data Entry Cell,  Source Type described at left (column C).</t>
        </r>
      </text>
    </comment>
    <comment ref="F113" authorId="1" shapeId="0" xr:uid="{00000000-0006-0000-0B00-00009F080000}">
      <text>
        <r>
          <rPr>
            <b/>
            <sz val="10"/>
            <color indexed="81"/>
            <rFont val="Tahoma"/>
            <family val="2"/>
          </rPr>
          <t>Data Entry Cell,  Source Type described at left (column C).</t>
        </r>
      </text>
    </comment>
    <comment ref="G113" authorId="1" shapeId="0" xr:uid="{00000000-0006-0000-0B00-0000A0080000}">
      <text>
        <r>
          <rPr>
            <b/>
            <sz val="10"/>
            <color indexed="81"/>
            <rFont val="Tahoma"/>
            <family val="2"/>
          </rPr>
          <t>Data Entry Cell,  Source Type described at left (column C).</t>
        </r>
      </text>
    </comment>
    <comment ref="H113" authorId="1" shapeId="0" xr:uid="{00000000-0006-0000-0B00-0000A1080000}">
      <text>
        <r>
          <rPr>
            <b/>
            <sz val="10"/>
            <color indexed="81"/>
            <rFont val="Tahoma"/>
            <family val="2"/>
          </rPr>
          <t>Data Entry Cell,  Source Type described at left (column C).</t>
        </r>
      </text>
    </comment>
    <comment ref="I113" authorId="1" shapeId="0" xr:uid="{00000000-0006-0000-0B00-0000A2080000}">
      <text>
        <r>
          <rPr>
            <b/>
            <sz val="10"/>
            <color indexed="81"/>
            <rFont val="Tahoma"/>
            <family val="2"/>
          </rPr>
          <t>Data Entry Cell,  Source Type described at left (column C).</t>
        </r>
      </text>
    </comment>
    <comment ref="J113" authorId="1" shapeId="0" xr:uid="{00000000-0006-0000-0B00-0000A3080000}">
      <text>
        <r>
          <rPr>
            <b/>
            <sz val="10"/>
            <color indexed="81"/>
            <rFont val="Tahoma"/>
            <family val="2"/>
          </rPr>
          <t>Data Entry Cell,  Source Type described at left (column C).</t>
        </r>
      </text>
    </comment>
    <comment ref="K113" authorId="1" shapeId="0" xr:uid="{00000000-0006-0000-0B00-0000A4080000}">
      <text>
        <r>
          <rPr>
            <b/>
            <sz val="10"/>
            <color indexed="81"/>
            <rFont val="Tahoma"/>
            <family val="2"/>
          </rPr>
          <t>Data Entry Cell,  Source Type described at left (column C).</t>
        </r>
      </text>
    </comment>
    <comment ref="L113" authorId="1" shapeId="0" xr:uid="{00000000-0006-0000-0B00-0000A5080000}">
      <text>
        <r>
          <rPr>
            <b/>
            <sz val="10"/>
            <color indexed="81"/>
            <rFont val="Tahoma"/>
            <family val="2"/>
          </rPr>
          <t>Data Entry Cell,  Source Type described at left (column C).</t>
        </r>
      </text>
    </comment>
    <comment ref="M113" authorId="1" shapeId="0" xr:uid="{00000000-0006-0000-0B00-0000A6080000}">
      <text>
        <r>
          <rPr>
            <b/>
            <sz val="10"/>
            <color indexed="81"/>
            <rFont val="Tahoma"/>
            <family val="2"/>
          </rPr>
          <t>Data Entry Cell,  Source Type described at left (column C).</t>
        </r>
      </text>
    </comment>
    <comment ref="N113" authorId="1" shapeId="0" xr:uid="{00000000-0006-0000-0B00-0000A7080000}">
      <text>
        <r>
          <rPr>
            <b/>
            <sz val="10"/>
            <color indexed="81"/>
            <rFont val="Tahoma"/>
            <family val="2"/>
          </rPr>
          <t>Data Entry Cell,  Source Type described at left (column C).</t>
        </r>
      </text>
    </comment>
    <comment ref="O113" authorId="1" shapeId="0" xr:uid="{00000000-0006-0000-0B00-0000A8080000}">
      <text>
        <r>
          <rPr>
            <b/>
            <sz val="10"/>
            <color indexed="81"/>
            <rFont val="Tahoma"/>
            <family val="2"/>
          </rPr>
          <t>Data Entry Cell,  Source Type described at left (column C).</t>
        </r>
      </text>
    </comment>
    <comment ref="P113" authorId="1" shapeId="0" xr:uid="{00000000-0006-0000-0B00-0000A9080000}">
      <text>
        <r>
          <rPr>
            <b/>
            <sz val="10"/>
            <color indexed="81"/>
            <rFont val="Tahoma"/>
            <family val="2"/>
          </rPr>
          <t>Data Entry Cell,  Source Type described at left (column C).</t>
        </r>
      </text>
    </comment>
    <comment ref="Q113" authorId="1" shapeId="0" xr:uid="{00000000-0006-0000-0B00-0000AA080000}">
      <text>
        <r>
          <rPr>
            <b/>
            <sz val="10"/>
            <color indexed="81"/>
            <rFont val="Tahoma"/>
            <family val="2"/>
          </rPr>
          <t>Data Entry Cell,  Source Type described at left (column C).</t>
        </r>
      </text>
    </comment>
    <comment ref="R113" authorId="1" shapeId="0" xr:uid="{00000000-0006-0000-0B00-0000AB080000}">
      <text>
        <r>
          <rPr>
            <b/>
            <sz val="10"/>
            <color indexed="81"/>
            <rFont val="Tahoma"/>
            <family val="2"/>
          </rPr>
          <t>Data Entry Cell,  Source Type described at left (column C).</t>
        </r>
      </text>
    </comment>
    <comment ref="S113" authorId="1" shapeId="0" xr:uid="{00000000-0006-0000-0B00-0000AC080000}">
      <text>
        <r>
          <rPr>
            <b/>
            <sz val="10"/>
            <color indexed="81"/>
            <rFont val="Tahoma"/>
            <family val="2"/>
          </rPr>
          <t>Data Entry Cell,  Source Type described at left (column C).</t>
        </r>
      </text>
    </comment>
    <comment ref="T113" authorId="1" shapeId="0" xr:uid="{00000000-0006-0000-0B00-0000AD080000}">
      <text>
        <r>
          <rPr>
            <b/>
            <sz val="10"/>
            <color indexed="81"/>
            <rFont val="Tahoma"/>
            <family val="2"/>
          </rPr>
          <t>Data Entry Cell,  Source Type described at left (column C).</t>
        </r>
      </text>
    </comment>
    <comment ref="U113" authorId="1" shapeId="0" xr:uid="{00000000-0006-0000-0B00-0000AE080000}">
      <text>
        <r>
          <rPr>
            <b/>
            <sz val="10"/>
            <color indexed="81"/>
            <rFont val="Tahoma"/>
            <family val="2"/>
          </rPr>
          <t>Data Entry Cell,  Source Type described at left (column C).</t>
        </r>
      </text>
    </comment>
    <comment ref="V113" authorId="1" shapeId="0" xr:uid="{00000000-0006-0000-0B00-0000AF080000}">
      <text>
        <r>
          <rPr>
            <b/>
            <sz val="10"/>
            <color indexed="81"/>
            <rFont val="Tahoma"/>
            <family val="2"/>
          </rPr>
          <t>Data Entry Cell,  Source Type described at left (column C).</t>
        </r>
      </text>
    </comment>
    <comment ref="W113" authorId="1" shapeId="0" xr:uid="{00000000-0006-0000-0B00-0000B0080000}">
      <text>
        <r>
          <rPr>
            <b/>
            <sz val="10"/>
            <color indexed="81"/>
            <rFont val="Tahoma"/>
            <family val="2"/>
          </rPr>
          <t>Data Entry Cell,  Source Type described at left (column C).</t>
        </r>
      </text>
    </comment>
    <comment ref="X113" authorId="1" shapeId="0" xr:uid="{00000000-0006-0000-0B00-0000B1080000}">
      <text>
        <r>
          <rPr>
            <b/>
            <sz val="10"/>
            <color indexed="81"/>
            <rFont val="Tahoma"/>
            <family val="2"/>
          </rPr>
          <t>Data Entry Cell,  Source Type described at left (column C).</t>
        </r>
      </text>
    </comment>
    <comment ref="Y113" authorId="1" shapeId="0" xr:uid="{00000000-0006-0000-0B00-0000B2080000}">
      <text>
        <r>
          <rPr>
            <b/>
            <sz val="10"/>
            <color indexed="81"/>
            <rFont val="Tahoma"/>
            <family val="2"/>
          </rPr>
          <t>Data Entry Cell,  Source Type described at left (column C).</t>
        </r>
      </text>
    </comment>
    <comment ref="Z113" authorId="1" shapeId="0" xr:uid="{00000000-0006-0000-0B00-0000B3080000}">
      <text>
        <r>
          <rPr>
            <b/>
            <sz val="10"/>
            <color indexed="81"/>
            <rFont val="Tahoma"/>
            <family val="2"/>
          </rPr>
          <t>Data Entry Cell,  Source Type described at left (column C).</t>
        </r>
      </text>
    </comment>
    <comment ref="AA113" authorId="1" shapeId="0" xr:uid="{00000000-0006-0000-0B00-0000B4080000}">
      <text>
        <r>
          <rPr>
            <b/>
            <sz val="10"/>
            <color indexed="81"/>
            <rFont val="Tahoma"/>
            <family val="2"/>
          </rPr>
          <t>Data Entry Cell,  Source Type described at left (column C).</t>
        </r>
      </text>
    </comment>
    <comment ref="AB113" authorId="1" shapeId="0" xr:uid="{00000000-0006-0000-0B00-0000B5080000}">
      <text>
        <r>
          <rPr>
            <b/>
            <sz val="10"/>
            <color indexed="81"/>
            <rFont val="Tahoma"/>
            <family val="2"/>
          </rPr>
          <t>Data Entry Cell,  Source Type described at left (column C).</t>
        </r>
      </text>
    </comment>
    <comment ref="AC113" authorId="1" shapeId="0" xr:uid="{00000000-0006-0000-0B00-0000B6080000}">
      <text>
        <r>
          <rPr>
            <b/>
            <sz val="10"/>
            <color indexed="81"/>
            <rFont val="Tahoma"/>
            <family val="2"/>
          </rPr>
          <t>Data Entry Cell,  Source Type described at left (column C).</t>
        </r>
      </text>
    </comment>
    <comment ref="A117" authorId="0" shapeId="0" xr:uid="{00000000-0006-0000-0B00-0000B7080000}">
      <text>
        <r>
          <rPr>
            <b/>
            <sz val="8"/>
            <color indexed="81"/>
            <rFont val="Tahoma"/>
            <family val="2"/>
          </rPr>
          <t xml:space="preserve">This is the amount that will be needed from the construction loan each month, in order to be able to pay for all of the development costs (uses of funds) that are estimated to need to be paid in that month.  </t>
        </r>
      </text>
    </comment>
    <comment ref="A126" authorId="0" shapeId="0" xr:uid="{00000000-0006-0000-0B00-0000B8080000}">
      <text>
        <r>
          <rPr>
            <b/>
            <sz val="8"/>
            <color indexed="81"/>
            <rFont val="Tahoma"/>
            <family val="2"/>
          </rPr>
          <t xml:space="preserve">If the construction interest amount estimated from detailed Sources and Uses By Month differs materially from the amount you entered on the Development Costs tab, consider changing your estimate on the Development Costs tab.  </t>
        </r>
      </text>
    </comment>
    <comment ref="C128" authorId="1" shapeId="0" xr:uid="{00000000-0006-0000-0B00-0000B9080000}">
      <text>
        <r>
          <rPr>
            <b/>
            <sz val="10"/>
            <color indexed="81"/>
            <rFont val="Tahoma"/>
            <family val="2"/>
          </rPr>
          <t>Data Entry Cell, Comment on Sources and Uses of Funds by Month</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ICF</author>
  </authors>
  <commentList>
    <comment ref="A1" authorId="0" shapeId="0" xr:uid="{00000000-0006-0000-0C00-000001000000}">
      <text>
        <r>
          <rPr>
            <b/>
            <sz val="8"/>
            <color indexed="81"/>
            <rFont val="Tahoma"/>
            <family val="2"/>
          </rPr>
          <t>The entries on this tab control how the annual revenues and costs will change from year to year in the Operating Pro-Forma tab.  The 'Length of Pro Forma' also controls the size (number of years) of the Operating Pro-Forma tab.</t>
        </r>
      </text>
    </comment>
    <comment ref="A7" authorId="0" shapeId="0" xr:uid="{00000000-0006-0000-0C00-000002000000}">
      <text>
        <r>
          <rPr>
            <b/>
            <sz val="8"/>
            <color indexed="81"/>
            <rFont val="Tahoma"/>
            <family val="2"/>
          </rPr>
          <t xml:space="preserve">This is pre-coded to equal the end of the HOME affordability period.  If, however, you want for affordable rents to continue for some period </t>
        </r>
        <r>
          <rPr>
            <b/>
            <u/>
            <sz val="8"/>
            <color indexed="81"/>
            <rFont val="Tahoma"/>
            <family val="2"/>
          </rPr>
          <t>after</t>
        </r>
        <r>
          <rPr>
            <b/>
            <sz val="8"/>
            <color indexed="81"/>
            <rFont val="Tahoma"/>
            <family val="2"/>
          </rPr>
          <t xml:space="preserve"> completion of the HOME affordability period, select a number of years here that is greater than the HOME affordability period and up to the Length of Pro Forma.</t>
        </r>
      </text>
    </comment>
    <comment ref="D7" authorId="1" shapeId="0" xr:uid="{00000000-0006-0000-0C00-000003000000}">
      <text>
        <r>
          <rPr>
            <b/>
            <sz val="10"/>
            <color indexed="81"/>
            <rFont val="Tahoma"/>
            <family val="2"/>
          </rPr>
          <t>Data Entry Cell,
Switch HOME/CDBG/LIHTC Rents to Market After (in years)</t>
        </r>
      </text>
    </comment>
    <comment ref="A11" authorId="0" shapeId="0" xr:uid="{00000000-0006-0000-0C00-000004000000}">
      <text>
        <r>
          <rPr>
            <b/>
            <sz val="8"/>
            <color indexed="81"/>
            <rFont val="Tahoma"/>
            <family val="2"/>
          </rPr>
          <t>Enter the period (in years) during which the 'other affordable' units (affordable units other than HOME-assisted units) will remain rent-restricted.  The Operating Pro Forma tab uses this information (restricted rents are used during this period, and market rents are used afterwards).</t>
        </r>
      </text>
    </comment>
    <comment ref="D11" authorId="1" shapeId="0" xr:uid="{00000000-0006-0000-0C00-000005000000}">
      <text>
        <r>
          <rPr>
            <b/>
            <sz val="10"/>
            <color indexed="81"/>
            <rFont val="Tahoma"/>
            <family val="2"/>
          </rPr>
          <t>Data Entry Cell,
Other Affordable Housing Affordability Period (in years)</t>
        </r>
      </text>
    </comment>
    <comment ref="A12" authorId="0" shapeId="0" xr:uid="{00000000-0006-0000-0C00-000006000000}">
      <text>
        <r>
          <rPr>
            <b/>
            <sz val="8"/>
            <color indexed="81"/>
            <rFont val="Tahoma"/>
            <family val="2"/>
          </rPr>
          <t xml:space="preserve">This is pre-coded to equal the end of the HOME affordability period.  If, however, you want for affordable rents to continue for some period </t>
        </r>
        <r>
          <rPr>
            <b/>
            <u/>
            <sz val="8"/>
            <color indexed="81"/>
            <rFont val="Tahoma"/>
            <family val="2"/>
          </rPr>
          <t>after</t>
        </r>
        <r>
          <rPr>
            <b/>
            <sz val="8"/>
            <color indexed="81"/>
            <rFont val="Tahoma"/>
            <family val="2"/>
          </rPr>
          <t xml:space="preserve"> completion of the HOME affordability period, select a number of years here that is greater than the HOME affordability period and up to the Length of Pro Forma.</t>
        </r>
      </text>
    </comment>
    <comment ref="D12" authorId="1" shapeId="0" xr:uid="{00000000-0006-0000-0C00-000007000000}">
      <text>
        <r>
          <rPr>
            <b/>
            <sz val="10"/>
            <color indexed="81"/>
            <rFont val="Tahoma"/>
            <family val="2"/>
          </rPr>
          <t>Data Entry Cell,
Switch HOME/CDBG/LIHTC Rents to Market After (in years)</t>
        </r>
      </text>
    </comment>
    <comment ref="A16" authorId="0" shapeId="0" xr:uid="{00000000-0006-0000-0C00-000008000000}">
      <text>
        <r>
          <rPr>
            <b/>
            <sz val="8"/>
            <color indexed="81"/>
            <rFont val="Tahoma"/>
            <family val="2"/>
          </rPr>
          <t xml:space="preserve">Rent Increase per Year is the estimated percentage rent increase per year for HOME-assisted, market rate, and other affordable units.  To estimate the rate of rent increase, investigate how HOME and other affordable housing program rent limits have changed in the project's market area over the past few years, and how market rate rents have changed as well.  
Typically, underwriters assume that rents for affordable units will increase </t>
        </r>
        <r>
          <rPr>
            <b/>
            <u/>
            <sz val="8"/>
            <color indexed="81"/>
            <rFont val="Tahoma"/>
            <family val="2"/>
          </rPr>
          <t>slower</t>
        </r>
        <r>
          <rPr>
            <b/>
            <sz val="8"/>
            <color indexed="81"/>
            <rFont val="Tahoma"/>
            <family val="2"/>
          </rPr>
          <t xml:space="preserve"> than the rate of general inflation.</t>
        </r>
      </text>
    </comment>
    <comment ref="D17" authorId="2" shapeId="0" xr:uid="{00000000-0006-0000-0C00-000009000000}">
      <text>
        <r>
          <rPr>
            <b/>
            <sz val="10"/>
            <color indexed="81"/>
            <rFont val="Tahoma"/>
            <family val="2"/>
          </rPr>
          <t>Data Entry Cell, Rent Increase per Year, HOME Units</t>
        </r>
      </text>
    </comment>
    <comment ref="D18" authorId="2" shapeId="0" xr:uid="{00000000-0006-0000-0C00-00000A000000}">
      <text>
        <r>
          <rPr>
            <b/>
            <sz val="10"/>
            <color indexed="81"/>
            <rFont val="Tahoma"/>
            <family val="2"/>
          </rPr>
          <t>Data Entry Cell, Rent Increase per Year, Market Rate Units</t>
        </r>
      </text>
    </comment>
    <comment ref="D19" authorId="2" shapeId="0" xr:uid="{00000000-0006-0000-0C00-00000B000000}">
      <text>
        <r>
          <rPr>
            <b/>
            <sz val="10"/>
            <color indexed="81"/>
            <rFont val="Tahoma"/>
            <family val="2"/>
          </rPr>
          <t>Data Entry Cell, Rent Increase per Year, Other Affordable Units</t>
        </r>
      </text>
    </comment>
    <comment ref="A20" authorId="0" shapeId="0" xr:uid="{00000000-0006-0000-0C00-00000C000000}">
      <text>
        <r>
          <rPr>
            <b/>
            <sz val="8"/>
            <color indexed="81"/>
            <rFont val="Tahoma"/>
            <family val="2"/>
          </rPr>
          <t>Enter the average percentage increase in other revenues that you expect the project to realize each year.  Typically, underwriters assume that other income increases at the expected rate of general inflation.</t>
        </r>
      </text>
    </comment>
    <comment ref="D20" authorId="2" shapeId="0" xr:uid="{00000000-0006-0000-0C00-00000D000000}">
      <text>
        <r>
          <rPr>
            <b/>
            <sz val="10"/>
            <color indexed="81"/>
            <rFont val="Tahoma"/>
            <family val="2"/>
          </rPr>
          <t>Data Entry Cell, Annual Increase in Other Revenue</t>
        </r>
      </text>
    </comment>
    <comment ref="A21" authorId="0" shapeId="0" xr:uid="{00000000-0006-0000-0C00-00000E000000}">
      <text>
        <r>
          <rPr>
            <b/>
            <sz val="8"/>
            <color indexed="81"/>
            <rFont val="Tahoma"/>
            <family val="2"/>
          </rPr>
          <t>Enter the average percentage increase in operating expenses that you expect the project to realize each year.  Typically, underwriters assume that operating expenses will increase at the expected rate of general inflation.</t>
        </r>
      </text>
    </comment>
    <comment ref="D21" authorId="1" shapeId="0" xr:uid="{00000000-0006-0000-0C00-00000F000000}">
      <text>
        <r>
          <rPr>
            <b/>
            <sz val="10"/>
            <color indexed="81"/>
            <rFont val="Tahoma"/>
            <family val="2"/>
          </rPr>
          <t>Data Entry Cell, Operating Expense Increase per Year</t>
        </r>
      </text>
    </comment>
    <comment ref="A24" authorId="0" shapeId="0" xr:uid="{00000000-0006-0000-0C00-000010000000}">
      <text>
        <r>
          <rPr>
            <b/>
            <sz val="8"/>
            <color indexed="81"/>
            <rFont val="Tahoma"/>
            <family val="2"/>
          </rPr>
          <t xml:space="preserve">Enter the number of years the developer plans to own the project before selling it and using the sale proceeds to pay off the first mortgage.  In most cases, the developer will wait at least until the end of the HOME affordability period before selling. 
Years to Sale is used by the Template to reflect the sale of the property on the Operating Pro-Forma tab.  Note that the Template assumes that the property sale takes place at the end of a full year and that Years to Sale must be a whole number.  Note also that outstanding loans at the end of the year of sale are assumed to be paid off when the property is sold, with the exception of custom loans.  (For custom loans, you must modify scheduled payments on the Operating Pro Forma tab, as appropriate)
Note that if the developer sells the property prior to the end of the HOME affordability period or if the developer defaults, the PJ must ensure that the units remain affordable.  If the units do not remain affordable, the PJ may be required to repay HOME funds invested in the project to HUD.
</t>
        </r>
      </text>
    </comment>
    <comment ref="D24" authorId="1" shapeId="0" xr:uid="{00000000-0006-0000-0C00-000011000000}">
      <text>
        <r>
          <rPr>
            <b/>
            <sz val="10"/>
            <color indexed="81"/>
            <rFont val="Tahoma"/>
            <family val="2"/>
          </rPr>
          <t>Data Entry Cell, Years to Sale</t>
        </r>
      </text>
    </comment>
    <comment ref="C41" authorId="1" shapeId="0" xr:uid="{00000000-0006-0000-0C00-000012000000}">
      <text>
        <r>
          <rPr>
            <b/>
            <sz val="10"/>
            <color indexed="81"/>
            <rFont val="Tahoma"/>
            <family val="2"/>
          </rPr>
          <t>Data Entry Cell, Comment on Pro Forma Assumptions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Jon Ruona</author>
    <author>13026</author>
  </authors>
  <commentList>
    <comment ref="A3" authorId="0" shapeId="0" xr:uid="{00000000-0006-0000-0D00-000001000000}">
      <text>
        <r>
          <rPr>
            <b/>
            <sz val="8"/>
            <color indexed="81"/>
            <rFont val="Tahoma"/>
            <family val="2"/>
          </rPr>
          <t xml:space="preserve">An operating pro-forma is a year-by-year projection of a project’s cash income and cash disbursements.  Using the operating pro-forma, you can get a sense of your project’s long-term viability and potential for generating cash flow.
The operating pro-forma is of particular interest to the project’s investors and lenders.  These projections allow investors to assess their return on investment, while lenders are interested in ensuring that their loans are likely to be repaid.  For these reasons, the operating pro-forma is a standard component of presentations to prospective investors and lenders.
The Operating Pro Forma tab uses information on development costs, loan characteristics, income, expenses, and other variables to project the project’s annual finances during the relevant time period.  This tab differs from those that precede it because it does not require additional information from you (unless there is a Custom Loan).  If the pro-forma is incomplete, first check the previous tabs to ensure that you have provided all of the necessary information.
The format for the operating pro-forma used in the HOME Multifamily Underwriting Template is just one of many alternatives for presenting this financial data.  Lenders and investors may request other formats, or you may choose to develop your own.
</t>
        </r>
      </text>
    </comment>
    <comment ref="A7" authorId="0" shapeId="0" xr:uid="{00000000-0006-0000-0D00-000002000000}">
      <text>
        <r>
          <rPr>
            <b/>
            <sz val="8"/>
            <color indexed="81"/>
            <rFont val="Tahoma"/>
            <family val="2"/>
          </rPr>
          <t>This is the total rental income from HOME-assisted units.  During the HOME affordability period, restricted rents are estimated (from column W of the Rents and Income tab).  After the HOME affordability period has expired, market rents are estimated (from column Z of the Rents and Income tab).  
Note that a utility allowance is deducted from the rent from each HOME unit. 
As with the other rental income projections, the amount increases each year at the rate you specified on the Pro Forma Assumptions tab.  
Note that after the PJ’s required affordability period expires, the Operating Pro Forma tab assumes that HOME-assisted units begin to charge market rate rents.</t>
        </r>
      </text>
    </comment>
    <comment ref="A8" authorId="0" shapeId="0" xr:uid="{00000000-0006-0000-0D00-000003000000}">
      <text>
        <r>
          <rPr>
            <b/>
            <sz val="8"/>
            <color indexed="81"/>
            <rFont val="Tahoma"/>
            <family val="2"/>
          </rPr>
          <t xml:space="preserve">This is the total rental income from market units, from column Y of the Rents and Income tab.  </t>
        </r>
      </text>
    </comment>
    <comment ref="A9" authorId="0" shapeId="0" xr:uid="{00000000-0006-0000-0D00-000004000000}">
      <text>
        <r>
          <rPr>
            <b/>
            <sz val="8"/>
            <color indexed="81"/>
            <rFont val="Tahoma"/>
            <family val="2"/>
          </rPr>
          <t>This is the total rental income from 'other affordable' (affordable but not HOME-assisted) units.  During the 'other affordable' affordability period that you entered on the Pro Forma Assumptions tab, restricted rents are estimated (from column X of the Rents and Income tab).  After the affordability period has expired, market rents are estimated (from column AA of the Rents and Income tab).  
Note that a utility allowance is deducted from the rent for each 'other affordable' unit. 
As with the other rental income projections, the amount increases each year at the rate you specified on the Pro Forma Assumptions tab.  
Note that after the 'other affordable' affordability period expires, the Operating Pro Forma tab assumes that 'other affordable' units begin to charge market rate rents.</t>
        </r>
      </text>
    </comment>
    <comment ref="A13" authorId="0" shapeId="0" xr:uid="{00000000-0006-0000-0D00-000005000000}">
      <text>
        <r>
          <rPr>
            <b/>
            <sz val="8"/>
            <color indexed="81"/>
            <rFont val="Tahoma"/>
            <family val="2"/>
          </rPr>
          <t>The information on this line comes from the Rents and Income tab.</t>
        </r>
      </text>
    </comment>
    <comment ref="A14" authorId="0" shapeId="0" xr:uid="{00000000-0006-0000-0D00-000006000000}">
      <text>
        <r>
          <rPr>
            <b/>
            <sz val="8"/>
            <color indexed="81"/>
            <rFont val="Tahoma"/>
            <family val="2"/>
          </rPr>
          <t>The information on this line comes from the Rents and Income tab.</t>
        </r>
      </text>
    </comment>
    <comment ref="A17" authorId="0" shapeId="0" xr:uid="{00000000-0006-0000-0D00-000007000000}">
      <text>
        <r>
          <rPr>
            <b/>
            <sz val="8"/>
            <color indexed="81"/>
            <rFont val="Tahoma"/>
            <family val="2"/>
          </rPr>
          <t>The information in this section comes from the Operating Expenses tab.</t>
        </r>
      </text>
    </comment>
    <comment ref="A27" authorId="0" shapeId="0" xr:uid="{00000000-0006-0000-0D00-000008000000}">
      <text>
        <r>
          <rPr>
            <b/>
            <sz val="8"/>
            <color indexed="81"/>
            <rFont val="Tahoma"/>
            <family val="2"/>
          </rPr>
          <t>The information on this line comes from the First Mortgage Sizing tab.</t>
        </r>
      </text>
    </comment>
    <comment ref="A28" authorId="0" shapeId="0" xr:uid="{00000000-0006-0000-0D00-000009000000}">
      <text>
        <r>
          <rPr>
            <b/>
            <sz val="8"/>
            <color indexed="81"/>
            <rFont val="Tahoma"/>
            <family val="2"/>
          </rPr>
          <t>The information on this line comes from the First Mortgage Sizing tab.</t>
        </r>
      </text>
    </comment>
    <comment ref="A29" authorId="0" shapeId="0" xr:uid="{00000000-0006-0000-0D00-00000A000000}">
      <text>
        <r>
          <rPr>
            <b/>
            <sz val="8"/>
            <color indexed="81"/>
            <rFont val="Tahoma"/>
            <family val="2"/>
          </rPr>
          <t>In this Template, Deferred Payment loans have no payments during their term and are repaid in full at maturity (or in the year of sale, whichever occurs first).</t>
        </r>
      </text>
    </comment>
    <comment ref="A30" authorId="0" shapeId="0" xr:uid="{00000000-0006-0000-0D00-00000B000000}">
      <text>
        <r>
          <rPr>
            <b/>
            <sz val="8"/>
            <color indexed="81"/>
            <rFont val="Tahoma"/>
            <family val="2"/>
          </rPr>
          <t>In this Template, Deferred Payment loans have no payments during their term and are repaid in full at maturity (or in the year of sale, whichever occurs first).</t>
        </r>
      </text>
    </comment>
    <comment ref="A31" authorId="0" shapeId="0" xr:uid="{00000000-0006-0000-0D00-00000C000000}">
      <text>
        <r>
          <rPr>
            <b/>
            <sz val="8"/>
            <color indexed="81"/>
            <rFont val="Tahoma"/>
            <family val="2"/>
          </rPr>
          <t xml:space="preserve">This is the series of annual payments that you expect to be made.  Be sure to include the final payment,which at the latest should be in the year of sale.  Enter these as </t>
        </r>
        <r>
          <rPr>
            <b/>
            <u/>
            <sz val="8"/>
            <color indexed="81"/>
            <rFont val="Tahoma"/>
            <family val="2"/>
          </rPr>
          <t>negative</t>
        </r>
        <r>
          <rPr>
            <b/>
            <sz val="8"/>
            <color indexed="81"/>
            <rFont val="Tahoma"/>
            <family val="2"/>
          </rPr>
          <t xml:space="preserve"> amounts.</t>
        </r>
        <r>
          <rPr>
            <sz val="8"/>
            <color indexed="81"/>
            <rFont val="Tahoma"/>
            <family val="2"/>
          </rPr>
          <t xml:space="preserve">
</t>
        </r>
      </text>
    </comment>
    <comment ref="D31" authorId="1" shapeId="0" xr:uid="{00000000-0006-0000-0D00-00000D000000}">
      <text>
        <r>
          <rPr>
            <b/>
            <sz val="10"/>
            <color indexed="81"/>
            <rFont val="Tahoma"/>
            <family val="2"/>
          </rPr>
          <t>Data Entry Cell, Payment on Custom Loan 1, Year 1</t>
        </r>
      </text>
    </comment>
    <comment ref="E31" authorId="1" shapeId="0" xr:uid="{00000000-0006-0000-0D00-00000E000000}">
      <text>
        <r>
          <rPr>
            <b/>
            <sz val="10"/>
            <color indexed="81"/>
            <rFont val="Tahoma"/>
            <family val="2"/>
          </rPr>
          <t>Data Entry Cell, Payment on Custom Loan 1, Year 2</t>
        </r>
      </text>
    </comment>
    <comment ref="F31" authorId="1" shapeId="0" xr:uid="{00000000-0006-0000-0D00-00000F000000}">
      <text>
        <r>
          <rPr>
            <b/>
            <sz val="10"/>
            <color indexed="81"/>
            <rFont val="Tahoma"/>
            <family val="2"/>
          </rPr>
          <t>Data Entry Cell, Payment on Custom Loan 1, Year 3</t>
        </r>
      </text>
    </comment>
    <comment ref="G31" authorId="1" shapeId="0" xr:uid="{00000000-0006-0000-0D00-000010000000}">
      <text>
        <r>
          <rPr>
            <b/>
            <sz val="10"/>
            <color indexed="81"/>
            <rFont val="Tahoma"/>
            <family val="2"/>
          </rPr>
          <t>Data Entry Cell, Payment on Custom Loan 1, Year 4</t>
        </r>
      </text>
    </comment>
    <comment ref="H31" authorId="1" shapeId="0" xr:uid="{00000000-0006-0000-0D00-000011000000}">
      <text>
        <r>
          <rPr>
            <b/>
            <sz val="10"/>
            <color indexed="81"/>
            <rFont val="Tahoma"/>
            <family val="2"/>
          </rPr>
          <t>Data Entry Cell, Payment on Custom Loan 1, Year 5</t>
        </r>
      </text>
    </comment>
    <comment ref="I31" authorId="1" shapeId="0" xr:uid="{00000000-0006-0000-0D00-000012000000}">
      <text>
        <r>
          <rPr>
            <b/>
            <sz val="10"/>
            <color indexed="81"/>
            <rFont val="Tahoma"/>
            <family val="2"/>
          </rPr>
          <t>Data Entry Cell, Payment on Custom Loan 1, Year 6</t>
        </r>
      </text>
    </comment>
    <comment ref="J31" authorId="1" shapeId="0" xr:uid="{00000000-0006-0000-0D00-000013000000}">
      <text>
        <r>
          <rPr>
            <b/>
            <sz val="10"/>
            <color indexed="81"/>
            <rFont val="Tahoma"/>
            <family val="2"/>
          </rPr>
          <t>Data Entry Cell, Payment on Custom Loan 1, Year 7</t>
        </r>
      </text>
    </comment>
    <comment ref="K31" authorId="1" shapeId="0" xr:uid="{00000000-0006-0000-0D00-000014000000}">
      <text>
        <r>
          <rPr>
            <b/>
            <sz val="10"/>
            <color indexed="81"/>
            <rFont val="Tahoma"/>
            <family val="2"/>
          </rPr>
          <t>Data Entry Cell, Payment on Custom Loan 1, Year 8</t>
        </r>
      </text>
    </comment>
    <comment ref="L31" authorId="1" shapeId="0" xr:uid="{00000000-0006-0000-0D00-000015000000}">
      <text>
        <r>
          <rPr>
            <b/>
            <sz val="10"/>
            <color indexed="81"/>
            <rFont val="Tahoma"/>
            <family val="2"/>
          </rPr>
          <t>Data Entry Cell, Payment on Custom Loan 1, Year 9</t>
        </r>
      </text>
    </comment>
    <comment ref="M31" authorId="1" shapeId="0" xr:uid="{00000000-0006-0000-0D00-000016000000}">
      <text>
        <r>
          <rPr>
            <b/>
            <sz val="10"/>
            <color indexed="81"/>
            <rFont val="Tahoma"/>
            <family val="2"/>
          </rPr>
          <t>Data Entry Cell, Payment on Custom Loan 1, Year 10</t>
        </r>
      </text>
    </comment>
    <comment ref="N31" authorId="1" shapeId="0" xr:uid="{00000000-0006-0000-0D00-000017000000}">
      <text>
        <r>
          <rPr>
            <b/>
            <sz val="10"/>
            <color indexed="81"/>
            <rFont val="Tahoma"/>
            <family val="2"/>
          </rPr>
          <t>Data Entry Cell, Payment on Custom Loan 1, Year 11</t>
        </r>
      </text>
    </comment>
    <comment ref="O31" authorId="1" shapeId="0" xr:uid="{00000000-0006-0000-0D00-000018000000}">
      <text>
        <r>
          <rPr>
            <b/>
            <sz val="10"/>
            <color indexed="81"/>
            <rFont val="Tahoma"/>
            <family val="2"/>
          </rPr>
          <t>Data Entry Cell, Payment on Custom Loan 1, Year 12</t>
        </r>
      </text>
    </comment>
    <comment ref="P31" authorId="1" shapeId="0" xr:uid="{00000000-0006-0000-0D00-000019000000}">
      <text>
        <r>
          <rPr>
            <b/>
            <sz val="10"/>
            <color indexed="81"/>
            <rFont val="Tahoma"/>
            <family val="2"/>
          </rPr>
          <t>Data Entry Cell, Payment on Custom Loan 1, Year 13</t>
        </r>
      </text>
    </comment>
    <comment ref="Q31" authorId="1" shapeId="0" xr:uid="{00000000-0006-0000-0D00-00001A000000}">
      <text>
        <r>
          <rPr>
            <b/>
            <sz val="10"/>
            <color indexed="81"/>
            <rFont val="Tahoma"/>
            <family val="2"/>
          </rPr>
          <t>Data Entry Cell, Payment on Custom Loan 1, Year 14</t>
        </r>
      </text>
    </comment>
    <comment ref="R31" authorId="1" shapeId="0" xr:uid="{00000000-0006-0000-0D00-00001B000000}">
      <text>
        <r>
          <rPr>
            <b/>
            <sz val="10"/>
            <color indexed="81"/>
            <rFont val="Tahoma"/>
            <family val="2"/>
          </rPr>
          <t>Data Entry Cell, Payment on Custom Loan 1, Year 15</t>
        </r>
      </text>
    </comment>
    <comment ref="S31" authorId="1" shapeId="0" xr:uid="{00000000-0006-0000-0D00-00001C000000}">
      <text>
        <r>
          <rPr>
            <b/>
            <sz val="10"/>
            <color indexed="81"/>
            <rFont val="Tahoma"/>
            <family val="2"/>
          </rPr>
          <t>Data Entry Cell, Payment on Custom Loan 1, Year 16</t>
        </r>
      </text>
    </comment>
    <comment ref="T31" authorId="1" shapeId="0" xr:uid="{00000000-0006-0000-0D00-00001D000000}">
      <text>
        <r>
          <rPr>
            <b/>
            <sz val="10"/>
            <color indexed="81"/>
            <rFont val="Tahoma"/>
            <family val="2"/>
          </rPr>
          <t>Data Entry Cell, Payment on Custom Loan 1, Year 17</t>
        </r>
      </text>
    </comment>
    <comment ref="U31" authorId="1" shapeId="0" xr:uid="{00000000-0006-0000-0D00-00001E000000}">
      <text>
        <r>
          <rPr>
            <b/>
            <sz val="10"/>
            <color indexed="81"/>
            <rFont val="Tahoma"/>
            <family val="2"/>
          </rPr>
          <t>Data Entry Cell, Payment on Custom Loan 1, Year 18</t>
        </r>
      </text>
    </comment>
    <comment ref="V31" authorId="1" shapeId="0" xr:uid="{00000000-0006-0000-0D00-00001F000000}">
      <text>
        <r>
          <rPr>
            <b/>
            <sz val="10"/>
            <color indexed="81"/>
            <rFont val="Tahoma"/>
            <family val="2"/>
          </rPr>
          <t>Data Entry Cell, Payment on Custom Loan 1, Year 19</t>
        </r>
      </text>
    </comment>
    <comment ref="W31" authorId="1" shapeId="0" xr:uid="{00000000-0006-0000-0D00-000020000000}">
      <text>
        <r>
          <rPr>
            <b/>
            <sz val="10"/>
            <color indexed="81"/>
            <rFont val="Tahoma"/>
            <family val="2"/>
          </rPr>
          <t>Data Entry Cell, Payment on Custom Loan 1, Year 20</t>
        </r>
      </text>
    </comment>
    <comment ref="X31" authorId="1" shapeId="0" xr:uid="{00000000-0006-0000-0D00-000021000000}">
      <text>
        <r>
          <rPr>
            <b/>
            <sz val="10"/>
            <color indexed="81"/>
            <rFont val="Tahoma"/>
            <family val="2"/>
          </rPr>
          <t>Data Entry Cell, Payment on Custom Loan 1, Year 21</t>
        </r>
      </text>
    </comment>
    <comment ref="Y31" authorId="1" shapeId="0" xr:uid="{00000000-0006-0000-0D00-000022000000}">
      <text>
        <r>
          <rPr>
            <b/>
            <sz val="10"/>
            <color indexed="81"/>
            <rFont val="Tahoma"/>
            <family val="2"/>
          </rPr>
          <t>Data Entry Cell, Payment on Custom Loan 1, Year 22</t>
        </r>
      </text>
    </comment>
    <comment ref="Z31" authorId="1" shapeId="0" xr:uid="{00000000-0006-0000-0D00-000023000000}">
      <text>
        <r>
          <rPr>
            <b/>
            <sz val="10"/>
            <color indexed="81"/>
            <rFont val="Tahoma"/>
            <family val="2"/>
          </rPr>
          <t>Data Entry Cell, Payment on Custom Loan 1, Year 23</t>
        </r>
      </text>
    </comment>
    <comment ref="AA31" authorId="1" shapeId="0" xr:uid="{00000000-0006-0000-0D00-000024000000}">
      <text>
        <r>
          <rPr>
            <b/>
            <sz val="10"/>
            <color indexed="81"/>
            <rFont val="Tahoma"/>
            <family val="2"/>
          </rPr>
          <t>Data Entry Cell, Payment on Custom Loan 1, Year 24</t>
        </r>
      </text>
    </comment>
    <comment ref="AB31" authorId="1" shapeId="0" xr:uid="{00000000-0006-0000-0D00-000025000000}">
      <text>
        <r>
          <rPr>
            <b/>
            <sz val="10"/>
            <color indexed="81"/>
            <rFont val="Tahoma"/>
            <family val="2"/>
          </rPr>
          <t>Data Entry Cell, Payment on Custom Loan 1, Year 25</t>
        </r>
      </text>
    </comment>
    <comment ref="AC31" authorId="1" shapeId="0" xr:uid="{00000000-0006-0000-0D00-000026000000}">
      <text>
        <r>
          <rPr>
            <b/>
            <sz val="10"/>
            <color indexed="81"/>
            <rFont val="Tahoma"/>
            <family val="2"/>
          </rPr>
          <t>Data Entry Cell, Payment on Custom Loan 1, Year 26</t>
        </r>
      </text>
    </comment>
    <comment ref="AD31" authorId="1" shapeId="0" xr:uid="{00000000-0006-0000-0D00-000027000000}">
      <text>
        <r>
          <rPr>
            <b/>
            <sz val="10"/>
            <color indexed="81"/>
            <rFont val="Tahoma"/>
            <family val="2"/>
          </rPr>
          <t>Data Entry Cell, Payment on Custom Loan 1, Year 27</t>
        </r>
      </text>
    </comment>
    <comment ref="AE31" authorId="1" shapeId="0" xr:uid="{00000000-0006-0000-0D00-000028000000}">
      <text>
        <r>
          <rPr>
            <b/>
            <sz val="10"/>
            <color indexed="81"/>
            <rFont val="Tahoma"/>
            <family val="2"/>
          </rPr>
          <t>Data Entry Cell, Payment on Custom Loan 1, Year 28</t>
        </r>
      </text>
    </comment>
    <comment ref="AF31" authorId="1" shapeId="0" xr:uid="{00000000-0006-0000-0D00-000029000000}">
      <text>
        <r>
          <rPr>
            <b/>
            <sz val="10"/>
            <color indexed="81"/>
            <rFont val="Tahoma"/>
            <family val="2"/>
          </rPr>
          <t>Data Entry Cell, Payment on Custom Loan 1, Year 29</t>
        </r>
      </text>
    </comment>
    <comment ref="AG31" authorId="1" shapeId="0" xr:uid="{00000000-0006-0000-0D00-00002A000000}">
      <text>
        <r>
          <rPr>
            <b/>
            <sz val="10"/>
            <color indexed="81"/>
            <rFont val="Tahoma"/>
            <family val="2"/>
          </rPr>
          <t>Data Entry Cell, Payment on Custom Loan 1, Year 30</t>
        </r>
      </text>
    </comment>
    <comment ref="A32" authorId="0" shapeId="0" xr:uid="{00000000-0006-0000-0D00-00002B000000}">
      <text>
        <r>
          <rPr>
            <b/>
            <sz val="8"/>
            <color indexed="81"/>
            <rFont val="Tahoma"/>
            <family val="2"/>
          </rPr>
          <t xml:space="preserve">This is the series of annual payments that you expect to be made.  Be sure to include the final payment,which at the latest should be in the year of sale.  Enter these as </t>
        </r>
        <r>
          <rPr>
            <b/>
            <u/>
            <sz val="8"/>
            <color indexed="81"/>
            <rFont val="Tahoma"/>
            <family val="2"/>
          </rPr>
          <t>negative</t>
        </r>
        <r>
          <rPr>
            <b/>
            <sz val="8"/>
            <color indexed="81"/>
            <rFont val="Tahoma"/>
            <family val="2"/>
          </rPr>
          <t xml:space="preserve"> amounts.</t>
        </r>
        <r>
          <rPr>
            <sz val="8"/>
            <color indexed="81"/>
            <rFont val="Tahoma"/>
            <family val="2"/>
          </rPr>
          <t xml:space="preserve">
</t>
        </r>
      </text>
    </comment>
    <comment ref="D32" authorId="1" shapeId="0" xr:uid="{00000000-0006-0000-0D00-00002C000000}">
      <text>
        <r>
          <rPr>
            <b/>
            <sz val="10"/>
            <color indexed="81"/>
            <rFont val="Tahoma"/>
            <family val="2"/>
          </rPr>
          <t>Data Entry Cell, Payment on Custom Loan 2 Year 1</t>
        </r>
      </text>
    </comment>
    <comment ref="E32" authorId="1" shapeId="0" xr:uid="{00000000-0006-0000-0D00-00002D000000}">
      <text>
        <r>
          <rPr>
            <b/>
            <sz val="10"/>
            <color indexed="81"/>
            <rFont val="Tahoma"/>
            <family val="2"/>
          </rPr>
          <t>Data Entry Cell, Payment on Custom Loan 2, Year 2</t>
        </r>
      </text>
    </comment>
    <comment ref="F32" authorId="1" shapeId="0" xr:uid="{00000000-0006-0000-0D00-00002E000000}">
      <text>
        <r>
          <rPr>
            <b/>
            <sz val="10"/>
            <color indexed="81"/>
            <rFont val="Tahoma"/>
            <family val="2"/>
          </rPr>
          <t>Data Entry Cell, Payment on Custom Loan 2 Year 3</t>
        </r>
      </text>
    </comment>
    <comment ref="G32" authorId="1" shapeId="0" xr:uid="{00000000-0006-0000-0D00-00002F000000}">
      <text>
        <r>
          <rPr>
            <b/>
            <sz val="10"/>
            <color indexed="81"/>
            <rFont val="Tahoma"/>
            <family val="2"/>
          </rPr>
          <t>Data Entry Cell, Payment on Custom Loan 2, Year 4</t>
        </r>
      </text>
    </comment>
    <comment ref="H32" authorId="1" shapeId="0" xr:uid="{00000000-0006-0000-0D00-000030000000}">
      <text>
        <r>
          <rPr>
            <b/>
            <sz val="10"/>
            <color indexed="81"/>
            <rFont val="Tahoma"/>
            <family val="2"/>
          </rPr>
          <t>Data Entry Cell, Payment on Custom Loan 2, Year 5</t>
        </r>
      </text>
    </comment>
    <comment ref="I32" authorId="1" shapeId="0" xr:uid="{00000000-0006-0000-0D00-000031000000}">
      <text>
        <r>
          <rPr>
            <b/>
            <sz val="10"/>
            <color indexed="81"/>
            <rFont val="Tahoma"/>
            <family val="2"/>
          </rPr>
          <t>Data Entry Cell, Payment on Custom Loan 2, Year 6</t>
        </r>
      </text>
    </comment>
    <comment ref="J32" authorId="1" shapeId="0" xr:uid="{00000000-0006-0000-0D00-000032000000}">
      <text>
        <r>
          <rPr>
            <b/>
            <sz val="10"/>
            <color indexed="81"/>
            <rFont val="Tahoma"/>
            <family val="2"/>
          </rPr>
          <t>Data Entry Cell, Payment on Custom Loan 2, Year 7</t>
        </r>
      </text>
    </comment>
    <comment ref="K32" authorId="1" shapeId="0" xr:uid="{00000000-0006-0000-0D00-000033000000}">
      <text>
        <r>
          <rPr>
            <b/>
            <sz val="10"/>
            <color indexed="81"/>
            <rFont val="Tahoma"/>
            <family val="2"/>
          </rPr>
          <t>Data Entry Cell, Payment on Custom Loan 2, Year 8</t>
        </r>
      </text>
    </comment>
    <comment ref="L32" authorId="1" shapeId="0" xr:uid="{00000000-0006-0000-0D00-000034000000}">
      <text>
        <r>
          <rPr>
            <b/>
            <sz val="10"/>
            <color indexed="81"/>
            <rFont val="Tahoma"/>
            <family val="2"/>
          </rPr>
          <t>Data Entry Cell, Payment on Custom Loan 2, Year 9</t>
        </r>
      </text>
    </comment>
    <comment ref="M32" authorId="1" shapeId="0" xr:uid="{00000000-0006-0000-0D00-000035000000}">
      <text>
        <r>
          <rPr>
            <b/>
            <sz val="10"/>
            <color indexed="81"/>
            <rFont val="Tahoma"/>
            <family val="2"/>
          </rPr>
          <t>Data Entry Cell, Payment on Custom Loan 2, Year 10</t>
        </r>
      </text>
    </comment>
    <comment ref="N32" authorId="1" shapeId="0" xr:uid="{00000000-0006-0000-0D00-000036000000}">
      <text>
        <r>
          <rPr>
            <b/>
            <sz val="10"/>
            <color indexed="81"/>
            <rFont val="Tahoma"/>
            <family val="2"/>
          </rPr>
          <t>Data Entry Cell, Payment on Custom Loan 2, Year 11</t>
        </r>
      </text>
    </comment>
    <comment ref="O32" authorId="1" shapeId="0" xr:uid="{00000000-0006-0000-0D00-000037000000}">
      <text>
        <r>
          <rPr>
            <b/>
            <sz val="10"/>
            <color indexed="81"/>
            <rFont val="Tahoma"/>
            <family val="2"/>
          </rPr>
          <t>Data Entry Cell, Payment on Custom Loan 2, Year 12</t>
        </r>
      </text>
    </comment>
    <comment ref="P32" authorId="1" shapeId="0" xr:uid="{00000000-0006-0000-0D00-000038000000}">
      <text>
        <r>
          <rPr>
            <b/>
            <sz val="10"/>
            <color indexed="81"/>
            <rFont val="Tahoma"/>
            <family val="2"/>
          </rPr>
          <t>Data Entry Cell, Payment on Custom Loan 2, Year 13</t>
        </r>
      </text>
    </comment>
    <comment ref="Q32" authorId="1" shapeId="0" xr:uid="{00000000-0006-0000-0D00-000039000000}">
      <text>
        <r>
          <rPr>
            <b/>
            <sz val="10"/>
            <color indexed="81"/>
            <rFont val="Tahoma"/>
            <family val="2"/>
          </rPr>
          <t>Data Entry Cell, Payment on Custom Loan 2, Year 14</t>
        </r>
      </text>
    </comment>
    <comment ref="R32" authorId="1" shapeId="0" xr:uid="{00000000-0006-0000-0D00-00003A000000}">
      <text>
        <r>
          <rPr>
            <b/>
            <sz val="10"/>
            <color indexed="81"/>
            <rFont val="Tahoma"/>
            <family val="2"/>
          </rPr>
          <t>Data Entry Cell, Payment on Custom Loan 2, Year 15</t>
        </r>
      </text>
    </comment>
    <comment ref="S32" authorId="1" shapeId="0" xr:uid="{00000000-0006-0000-0D00-00003B000000}">
      <text>
        <r>
          <rPr>
            <b/>
            <sz val="10"/>
            <color indexed="81"/>
            <rFont val="Tahoma"/>
            <family val="2"/>
          </rPr>
          <t>Data Entry Cell, Payment on Custom Loan 2, Year 16</t>
        </r>
      </text>
    </comment>
    <comment ref="T32" authorId="1" shapeId="0" xr:uid="{00000000-0006-0000-0D00-00003C000000}">
      <text>
        <r>
          <rPr>
            <b/>
            <sz val="10"/>
            <color indexed="81"/>
            <rFont val="Tahoma"/>
            <family val="2"/>
          </rPr>
          <t>Data Entry Cell, Payment on Custom Loan 2, Year 17</t>
        </r>
      </text>
    </comment>
    <comment ref="U32" authorId="1" shapeId="0" xr:uid="{00000000-0006-0000-0D00-00003D000000}">
      <text>
        <r>
          <rPr>
            <b/>
            <sz val="10"/>
            <color indexed="81"/>
            <rFont val="Tahoma"/>
            <family val="2"/>
          </rPr>
          <t>Data Entry Cell, Payment on Custom Loan 2, Year 18</t>
        </r>
      </text>
    </comment>
    <comment ref="V32" authorId="1" shapeId="0" xr:uid="{00000000-0006-0000-0D00-00003E000000}">
      <text>
        <r>
          <rPr>
            <b/>
            <sz val="10"/>
            <color indexed="81"/>
            <rFont val="Tahoma"/>
            <family val="2"/>
          </rPr>
          <t>Data Entry Cell, Payment on Custom Loan 2, Year 19</t>
        </r>
      </text>
    </comment>
    <comment ref="W32" authorId="1" shapeId="0" xr:uid="{00000000-0006-0000-0D00-00003F000000}">
      <text>
        <r>
          <rPr>
            <b/>
            <sz val="10"/>
            <color indexed="81"/>
            <rFont val="Tahoma"/>
            <family val="2"/>
          </rPr>
          <t>Data Entry Cell, Payment on Custom Loan 2, Year 20</t>
        </r>
      </text>
    </comment>
    <comment ref="X32" authorId="1" shapeId="0" xr:uid="{00000000-0006-0000-0D00-000040000000}">
      <text>
        <r>
          <rPr>
            <b/>
            <sz val="10"/>
            <color indexed="81"/>
            <rFont val="Tahoma"/>
            <family val="2"/>
          </rPr>
          <t>Data Entry Cell, Payment on Custom Loan 2, Year 21</t>
        </r>
      </text>
    </comment>
    <comment ref="Y32" authorId="1" shapeId="0" xr:uid="{00000000-0006-0000-0D00-000041000000}">
      <text>
        <r>
          <rPr>
            <b/>
            <sz val="10"/>
            <color indexed="81"/>
            <rFont val="Tahoma"/>
            <family val="2"/>
          </rPr>
          <t>Data Entry Cell, Payment on Custom Loan 2, Year 22</t>
        </r>
      </text>
    </comment>
    <comment ref="Z32" authorId="1" shapeId="0" xr:uid="{00000000-0006-0000-0D00-000042000000}">
      <text>
        <r>
          <rPr>
            <b/>
            <sz val="10"/>
            <color indexed="81"/>
            <rFont val="Tahoma"/>
            <family val="2"/>
          </rPr>
          <t>Data Entry Cell, Payment on Custom Loan 2, Year 23</t>
        </r>
      </text>
    </comment>
    <comment ref="AA32" authorId="1" shapeId="0" xr:uid="{00000000-0006-0000-0D00-000043000000}">
      <text>
        <r>
          <rPr>
            <b/>
            <sz val="10"/>
            <color indexed="81"/>
            <rFont val="Tahoma"/>
            <family val="2"/>
          </rPr>
          <t>Data Entry Cell, Payment on Custom Loan 2, Year 24</t>
        </r>
      </text>
    </comment>
    <comment ref="AB32" authorId="1" shapeId="0" xr:uid="{00000000-0006-0000-0D00-000044000000}">
      <text>
        <r>
          <rPr>
            <b/>
            <sz val="10"/>
            <color indexed="81"/>
            <rFont val="Tahoma"/>
            <family val="2"/>
          </rPr>
          <t>Data Entry Cell, Payment on Custom Loan 2, Year 25</t>
        </r>
      </text>
    </comment>
    <comment ref="AC32" authorId="1" shapeId="0" xr:uid="{00000000-0006-0000-0D00-000045000000}">
      <text>
        <r>
          <rPr>
            <b/>
            <sz val="10"/>
            <color indexed="81"/>
            <rFont val="Tahoma"/>
            <family val="2"/>
          </rPr>
          <t>Data Entry Cell, Payment on Custom Loan 2, Year 26</t>
        </r>
      </text>
    </comment>
    <comment ref="AD32" authorId="1" shapeId="0" xr:uid="{00000000-0006-0000-0D00-000046000000}">
      <text>
        <r>
          <rPr>
            <b/>
            <sz val="10"/>
            <color indexed="81"/>
            <rFont val="Tahoma"/>
            <family val="2"/>
          </rPr>
          <t>Data Entry Cell, Payment on Custom Loan 2, Year 27</t>
        </r>
      </text>
    </comment>
    <comment ref="AE32" authorId="1" shapeId="0" xr:uid="{00000000-0006-0000-0D00-000047000000}">
      <text>
        <r>
          <rPr>
            <b/>
            <sz val="10"/>
            <color indexed="81"/>
            <rFont val="Tahoma"/>
            <family val="2"/>
          </rPr>
          <t>Data Entry Cell, Payment on Custom Loan 2, Year 28</t>
        </r>
      </text>
    </comment>
    <comment ref="AF32" authorId="1" shapeId="0" xr:uid="{00000000-0006-0000-0D00-000048000000}">
      <text>
        <r>
          <rPr>
            <b/>
            <sz val="10"/>
            <color indexed="81"/>
            <rFont val="Tahoma"/>
            <family val="2"/>
          </rPr>
          <t>Data Entry Cell, Payment on Custom Loan 2, Year 29</t>
        </r>
      </text>
    </comment>
    <comment ref="AG32" authorId="1" shapeId="0" xr:uid="{00000000-0006-0000-0D00-000049000000}">
      <text>
        <r>
          <rPr>
            <b/>
            <sz val="10"/>
            <color indexed="81"/>
            <rFont val="Tahoma"/>
            <family val="2"/>
          </rPr>
          <t>Data Entry Cell, Payment on Custom Loan 2, Year 30</t>
        </r>
      </text>
    </comment>
    <comment ref="A48" authorId="0" shapeId="0" xr:uid="{00000000-0006-0000-0D00-00004A000000}">
      <text>
        <r>
          <rPr>
            <b/>
            <sz val="8"/>
            <color indexed="81"/>
            <rFont val="Tahoma"/>
            <family val="2"/>
          </rPr>
          <t>The Template calculates the amounts due, at each year-end, for each loan (except for Custom Loans, for which the user must enter the payoff schedule and amounts above).</t>
        </r>
        <r>
          <rPr>
            <sz val="8"/>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13026</author>
  </authors>
  <commentList>
    <comment ref="C14" authorId="0" shapeId="0" xr:uid="{00000000-0006-0000-0E00-000001000000}">
      <text>
        <r>
          <rPr>
            <b/>
            <sz val="10"/>
            <color indexed="81"/>
            <rFont val="Tahoma"/>
            <family val="2"/>
          </rPr>
          <t>Data Entry Cell, Comment on Fees to be Charged by the Project Owner</t>
        </r>
      </text>
    </comment>
    <comment ref="C19" authorId="0" shapeId="0" xr:uid="{00000000-0006-0000-0E00-000002000000}">
      <text>
        <r>
          <rPr>
            <b/>
            <sz val="10"/>
            <color indexed="81"/>
            <rFont val="Tahoma"/>
            <family val="2"/>
          </rPr>
          <t>Data Entry Cell, Comment on PJ Assessment of Current Market Demand</t>
        </r>
      </text>
    </comment>
    <comment ref="C24" authorId="0" shapeId="0" xr:uid="{00000000-0006-0000-0E00-000003000000}">
      <text>
        <r>
          <rPr>
            <b/>
            <sz val="10"/>
            <color indexed="81"/>
            <rFont val="Tahoma"/>
            <family val="2"/>
          </rPr>
          <t>Data Entry Cell, Comment on PJ Assessment of Developer Experience</t>
        </r>
      </text>
    </comment>
    <comment ref="C29" authorId="0" shapeId="0" xr:uid="{00000000-0006-0000-0E00-000004000000}">
      <text>
        <r>
          <rPr>
            <b/>
            <sz val="10"/>
            <color indexed="81"/>
            <rFont val="Tahoma"/>
            <family val="2"/>
          </rPr>
          <t>Data Entry Cell, Comment on PJ Assessment of Developer Financial Capacity</t>
        </r>
      </text>
    </comment>
    <comment ref="C34" authorId="0" shapeId="0" xr:uid="{00000000-0006-0000-0E00-000005000000}">
      <text>
        <r>
          <rPr>
            <b/>
            <sz val="10"/>
            <color indexed="81"/>
            <rFont val="Tahoma"/>
            <family val="2"/>
          </rPr>
          <t>Data Entry Cell, Comment on Firm Financial Commitments in Writing</t>
        </r>
      </text>
    </comment>
    <comment ref="C39" authorId="0" shapeId="0" xr:uid="{00000000-0006-0000-0E00-000006000000}">
      <text>
        <r>
          <rPr>
            <b/>
            <sz val="10"/>
            <color indexed="81"/>
            <rFont val="Tahoma"/>
            <family val="2"/>
          </rPr>
          <t>Data Entry Cell, Comment on Project-Specific Utility Allowances</t>
        </r>
      </text>
    </comment>
    <comment ref="C44" authorId="0" shapeId="0" xr:uid="{00000000-0006-0000-0E00-000007000000}">
      <text>
        <r>
          <rPr>
            <b/>
            <sz val="10"/>
            <color indexed="81"/>
            <rFont val="Tahoma"/>
            <family val="2"/>
          </rPr>
          <t>Data Entry Cell, Comment on Fixed versus Floating Units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Jon Ruona</author>
  </authors>
  <commentList>
    <comment ref="A1" authorId="0" shapeId="0" xr:uid="{00000000-0006-0000-0F00-000001000000}">
      <text>
        <r>
          <rPr>
            <b/>
            <sz val="8"/>
            <color indexed="81"/>
            <rFont val="Tahoma"/>
            <family val="2"/>
          </rPr>
          <t>This information comes from the Intro tab.</t>
        </r>
      </text>
    </comment>
    <comment ref="A12" authorId="0" shapeId="0" xr:uid="{00000000-0006-0000-0F00-000002000000}">
      <text>
        <r>
          <rPr>
            <b/>
            <sz val="8"/>
            <color indexed="81"/>
            <rFont val="Tahoma"/>
            <family val="2"/>
          </rPr>
          <t>This information comes from the Sources and Uses tab.</t>
        </r>
      </text>
    </comment>
    <comment ref="A33" authorId="0" shapeId="0" xr:uid="{00000000-0006-0000-0F00-000003000000}">
      <text>
        <r>
          <rPr>
            <b/>
            <sz val="8"/>
            <color indexed="81"/>
            <rFont val="Tahoma"/>
            <family val="2"/>
          </rPr>
          <t>This information comes from the Development Costs tab and can also be found on the Sources and Uses tab.</t>
        </r>
      </text>
    </comment>
    <comment ref="A52" authorId="0" shapeId="0" xr:uid="{00000000-0006-0000-0F00-000004000000}">
      <text>
        <r>
          <rPr>
            <b/>
            <sz val="8"/>
            <color indexed="81"/>
            <rFont val="Tahoma"/>
            <family val="2"/>
          </rPr>
          <t>This information comes from the Rents and Income tab.</t>
        </r>
      </text>
    </comment>
    <comment ref="A62" authorId="0" shapeId="0" xr:uid="{00000000-0006-0000-0F00-000005000000}">
      <text>
        <r>
          <rPr>
            <b/>
            <sz val="8"/>
            <color indexed="81"/>
            <rFont val="Tahoma"/>
            <family val="2"/>
          </rPr>
          <t>This information comes from the Operating Pro Forma tab.</t>
        </r>
      </text>
    </comment>
    <comment ref="A78" authorId="0" shapeId="0" xr:uid="{00000000-0006-0000-0F00-000006000000}">
      <text>
        <r>
          <rPr>
            <b/>
            <sz val="8"/>
            <color indexed="81"/>
            <rFont val="Tahoma"/>
            <family val="2"/>
          </rPr>
          <t>This information comes from the Operating Pro Forma tab.</t>
        </r>
      </text>
    </comment>
  </commentList>
</comments>
</file>

<file path=xl/sharedStrings.xml><?xml version="1.0" encoding="utf-8"?>
<sst xmlns="http://schemas.openxmlformats.org/spreadsheetml/2006/main" count="1299" uniqueCount="758">
  <si>
    <t>City:</t>
  </si>
  <si>
    <t>State:</t>
  </si>
  <si>
    <t>Market Rents</t>
  </si>
  <si>
    <t>First Mortgage</t>
  </si>
  <si>
    <t>Vacancy Loss</t>
  </si>
  <si>
    <t>Total</t>
  </si>
  <si>
    <t>Total Expenses</t>
  </si>
  <si>
    <t>First Mortgage Debt Service</t>
  </si>
  <si>
    <t>Second Mortgage Debt Service</t>
  </si>
  <si>
    <t>First Mortgage Remaining</t>
  </si>
  <si>
    <t>Second Mortgage Remaining</t>
  </si>
  <si>
    <t>Interest Rate</t>
  </si>
  <si>
    <t>Average Outstanding Balance</t>
  </si>
  <si>
    <t>Number of Units</t>
  </si>
  <si>
    <t>High HOME Units</t>
  </si>
  <si>
    <t>Initial Investment</t>
  </si>
  <si>
    <t>Year 1</t>
  </si>
  <si>
    <t>Year 2</t>
  </si>
  <si>
    <t>Year 5</t>
  </si>
  <si>
    <t>Year 10</t>
  </si>
  <si>
    <t>Year 15</t>
  </si>
  <si>
    <t>Year 30</t>
  </si>
  <si>
    <t>Cash on Cash</t>
  </si>
  <si>
    <t>IRR</t>
  </si>
  <si>
    <t>Low HOME Units</t>
  </si>
  <si>
    <t>Amount</t>
  </si>
  <si>
    <t>HOME per Unit Limit - 1 Bedroom</t>
  </si>
  <si>
    <t>HOME per Unit Limit - 2 Bedroom</t>
  </si>
  <si>
    <t>HOME per Unit Limit - 3 Bedroom</t>
  </si>
  <si>
    <t>HOME per Unit Limit - 4 Bedroom</t>
  </si>
  <si>
    <t>HOME per Unit Limit - 5 Bedroom</t>
  </si>
  <si>
    <t>Effective Gross Income (EGI) Projections</t>
  </si>
  <si>
    <t>Effective Gross Income</t>
  </si>
  <si>
    <t>Debt Service</t>
  </si>
  <si>
    <t>Office of Community Planning and Development</t>
  </si>
  <si>
    <t>U.S. Department of Housing and Urban Development</t>
  </si>
  <si>
    <t>Project Information</t>
  </si>
  <si>
    <t>HOME Affordability Period</t>
  </si>
  <si>
    <t>Developer:</t>
  </si>
  <si>
    <t>Multi-Family Underwriting Template</t>
  </si>
  <si>
    <t>Low 1 BR</t>
  </si>
  <si>
    <t>Low 2 BR</t>
  </si>
  <si>
    <t>Low 3 BR</t>
  </si>
  <si>
    <t>Low 4 BR</t>
  </si>
  <si>
    <t>Low 5 BR</t>
  </si>
  <si>
    <t>High 1 BR</t>
  </si>
  <si>
    <t>High 2 BR</t>
  </si>
  <si>
    <t>High 3 BR</t>
  </si>
  <si>
    <t>High 4 BR</t>
  </si>
  <si>
    <t>High 5 BR</t>
  </si>
  <si>
    <t>Operating Pro-Forma</t>
  </si>
  <si>
    <t>Expense and Net Operating Income (NOI) Projections</t>
  </si>
  <si>
    <t>Net Operating Income</t>
  </si>
  <si>
    <t>First Mortgage Characteristics</t>
  </si>
  <si>
    <t>Project Name:</t>
  </si>
  <si>
    <t>Date of Analysis:</t>
  </si>
  <si>
    <t>Development Type:</t>
  </si>
  <si>
    <t>HOME Investment Limits</t>
  </si>
  <si>
    <t>Other Revenue</t>
  </si>
  <si>
    <t>Enter data in green cells only</t>
  </si>
  <si>
    <t>PROJECT TIMELINE</t>
  </si>
  <si>
    <t>Gross Potential Rent (GPR) Projections</t>
  </si>
  <si>
    <t xml:space="preserve">Gross Potential Rent </t>
  </si>
  <si>
    <t>Funding Sources</t>
  </si>
  <si>
    <t>Project Income</t>
  </si>
  <si>
    <t>Total Debt Service</t>
  </si>
  <si>
    <t>Cash Flow (After Debt Service)</t>
  </si>
  <si>
    <t>Market Rate Units</t>
  </si>
  <si>
    <t>UNIT SUMMARY</t>
  </si>
  <si>
    <t>OPERATIONS SUMMARY</t>
  </si>
  <si>
    <t>RETURNS SUMMARY</t>
  </si>
  <si>
    <t>Unit Types</t>
  </si>
  <si>
    <t>Developer Returns on Equity</t>
  </si>
  <si>
    <t>PROJECT SUMMARY</t>
  </si>
  <si>
    <t>1 BR</t>
  </si>
  <si>
    <t>2 BR</t>
  </si>
  <si>
    <t>3 BR</t>
  </si>
  <si>
    <t>4 BR</t>
  </si>
  <si>
    <t>5 BR</t>
  </si>
  <si>
    <t>Square Footage per Unit</t>
  </si>
  <si>
    <t>Land</t>
  </si>
  <si>
    <t>Existing Structures</t>
  </si>
  <si>
    <t xml:space="preserve">Demolition/Clearance </t>
  </si>
  <si>
    <t>Site Remediation</t>
  </si>
  <si>
    <t>New Construction</t>
  </si>
  <si>
    <t>Rehabilitation</t>
  </si>
  <si>
    <t>General Requirements</t>
  </si>
  <si>
    <t>Builder’s Overhead</t>
  </si>
  <si>
    <t>Performance Bond Premium</t>
  </si>
  <si>
    <t>Construction Contingency</t>
  </si>
  <si>
    <t>Architect Fee -- Design</t>
  </si>
  <si>
    <t>Architect Fee -- Construction Supervision</t>
  </si>
  <si>
    <t>Engineering Fees</t>
  </si>
  <si>
    <t>Market Study</t>
  </si>
  <si>
    <t>Survey</t>
  </si>
  <si>
    <t>Construction Loan Origination Fee</t>
  </si>
  <si>
    <t>Credit Report</t>
  </si>
  <si>
    <t>Lender’s Counsel Fee</t>
  </si>
  <si>
    <t>Marketing/Management</t>
  </si>
  <si>
    <t>Cost</t>
  </si>
  <si>
    <t>Initial Project Reserves</t>
  </si>
  <si>
    <t>Developer's Fee</t>
  </si>
  <si>
    <t>Other Owner Costs</t>
  </si>
  <si>
    <t>Architectural and Engineering Fees</t>
  </si>
  <si>
    <t>Acquisition Costs</t>
  </si>
  <si>
    <t>Construction Loan Amount</t>
  </si>
  <si>
    <t>Months of Construction</t>
  </si>
  <si>
    <t>Expense</t>
  </si>
  <si>
    <t>Management Fee</t>
  </si>
  <si>
    <t>Legal Fees</t>
  </si>
  <si>
    <t>Accounting / Audit Fees</t>
  </si>
  <si>
    <t>Telephone</t>
  </si>
  <si>
    <t>Office Supplies</t>
  </si>
  <si>
    <t>Operating Expenses</t>
  </si>
  <si>
    <t>Security</t>
  </si>
  <si>
    <t>Elevator (if any)</t>
  </si>
  <si>
    <t>Other Mechanical Equipment</t>
  </si>
  <si>
    <t>Exterminating</t>
  </si>
  <si>
    <t>Lawn and Landscaping</t>
  </si>
  <si>
    <t>Utilities Paid by the Property</t>
  </si>
  <si>
    <t>Electricity</t>
  </si>
  <si>
    <t>Sewer and Water</t>
  </si>
  <si>
    <t>Property Insurance</t>
  </si>
  <si>
    <t>Monthly Cost</t>
  </si>
  <si>
    <t>Annual Cost</t>
  </si>
  <si>
    <t>Operating Expense Increase per Year</t>
  </si>
  <si>
    <t>Cost Per Unit</t>
  </si>
  <si>
    <t>Cost Per Square Foot</t>
  </si>
  <si>
    <t>Utilities Paid by Property</t>
  </si>
  <si>
    <t>Construction Interest Calculation</t>
  </si>
  <si>
    <t>Amortizing Second Mortgage Source</t>
  </si>
  <si>
    <t>Development Costs</t>
  </si>
  <si>
    <t>Rents and Income</t>
  </si>
  <si>
    <t>Gross Rent, 
per unit,
per month</t>
  </si>
  <si>
    <t>Construction / Rehabilitation Costs (construction contract costs)</t>
  </si>
  <si>
    <t>Tenant Relocation Costs</t>
  </si>
  <si>
    <t>Tap Fees and Impact Fees</t>
  </si>
  <si>
    <t>Management Expenses</t>
  </si>
  <si>
    <t>Snow Removal</t>
  </si>
  <si>
    <t>Garbage Removal</t>
  </si>
  <si>
    <t>Project Consultant Fees</t>
  </si>
  <si>
    <t>Appraisal Fees</t>
  </si>
  <si>
    <t>Construction Loan Legal Fees</t>
  </si>
  <si>
    <t>Title and Recording Costs (for the construction loan)</t>
  </si>
  <si>
    <t>Title and Recording Costs (for permanent financing)</t>
  </si>
  <si>
    <t>Within Rent Limit?</t>
  </si>
  <si>
    <t>Other Affordable Housing Affordability Period</t>
  </si>
  <si>
    <t>HOME Utility Allowances (monthly)</t>
  </si>
  <si>
    <t>Interim Financing Costs</t>
  </si>
  <si>
    <t>"####" indicates that the columns should be widened.</t>
  </si>
  <si>
    <t>HOME Required Affordability Period (in years)</t>
  </si>
  <si>
    <t>PJ's Affordability Period in Compliance with HOME Program?</t>
  </si>
  <si>
    <t>PJ's Required Affordability Period (in years)</t>
  </si>
  <si>
    <t>Deferred Payment Loan 1 Remaining</t>
  </si>
  <si>
    <t>Deferred Payment Loan 2 Remaining</t>
  </si>
  <si>
    <t>HOME Rent Projections (during affordability period)</t>
  </si>
  <si>
    <t>HOME Rent Projections (after affordability period)</t>
  </si>
  <si>
    <t>Other Affordable Unit Rent Projections (during affordability period)</t>
  </si>
  <si>
    <t>Other Affordable Unit Rent Projections (after affordability period)</t>
  </si>
  <si>
    <t>Rehabilitation or Acquisition of Existing Housing</t>
  </si>
  <si>
    <t>Refinance of Rehabilitation Project</t>
  </si>
  <si>
    <t>New Construction or Acquisition of New Housing</t>
  </si>
  <si>
    <t>Less than $15,000</t>
  </si>
  <si>
    <t>$15,000-$40,000</t>
  </si>
  <si>
    <t>More than $40,000</t>
  </si>
  <si>
    <t>Average Per-Unit HOME Subsidy (select one)</t>
  </si>
  <si>
    <t>(Advisory information only.)</t>
  </si>
  <si>
    <t>Other Affordable Housing Program Name</t>
  </si>
  <si>
    <t>(Must be at least as long as HOME requirement.)</t>
  </si>
  <si>
    <t>NA</t>
  </si>
  <si>
    <t>Net Rent After Utilities, 
per unit, per month</t>
  </si>
  <si>
    <t>HOME Units</t>
  </si>
  <si>
    <t>Other Development Costs</t>
  </si>
  <si>
    <t>Site Work Costs</t>
  </si>
  <si>
    <t>Operations and Maintenance Expenses</t>
  </si>
  <si>
    <t>Interior Painting</t>
  </si>
  <si>
    <t>Natural Gas, Oil, Other Fuel</t>
  </si>
  <si>
    <t>Real Estate Taxes</t>
  </si>
  <si>
    <t>Other Taxes and Licenses</t>
  </si>
  <si>
    <t>Minimum Debt Service Coverage</t>
  </si>
  <si>
    <t>Maximum Loan to Value</t>
  </si>
  <si>
    <t>Loan Term (years)</t>
  </si>
  <si>
    <t>Capitalization Rate</t>
  </si>
  <si>
    <t>Lender's Appraised Value for the Project</t>
  </si>
  <si>
    <t>Custom Loan 1 Source</t>
  </si>
  <si>
    <t>Resident Service Cost</t>
  </si>
  <si>
    <t>Years to Sale*</t>
  </si>
  <si>
    <t>Cash Flow for IRR</t>
  </si>
  <si>
    <t>Debt at Year End</t>
  </si>
  <si>
    <t>Rents</t>
  </si>
  <si>
    <t>Debt</t>
  </si>
  <si>
    <t>HOME Rent Active</t>
  </si>
  <si>
    <t>Other Affordable Rent Active</t>
  </si>
  <si>
    <t>IRR (Year 1 through sale of project)</t>
  </si>
  <si>
    <t>Second Mortgage</t>
  </si>
  <si>
    <t>Calculations</t>
  </si>
  <si>
    <t>Term Expired? No (1), Yes (0)</t>
  </si>
  <si>
    <t>Payments Remaining at the End of the Year</t>
  </si>
  <si>
    <t>Cash Flows</t>
  </si>
  <si>
    <t>Total Development Costs</t>
  </si>
  <si>
    <t>Value of Project at Sale**</t>
  </si>
  <si>
    <t>**  If Value of Project at Sale is left blank, the Template will use the Capitalization Rate to determine the project's value when sold.</t>
  </si>
  <si>
    <t>Project Value based on Capitalization Rate</t>
  </si>
  <si>
    <t>Proceeds from Property Sale</t>
  </si>
  <si>
    <t>Management Administrative Payroll Costs</t>
  </si>
  <si>
    <t>Taxes/Insurance/Reserves/Other Expenses</t>
  </si>
  <si>
    <t>Total Rents 
(Year 1, without vacancy)</t>
  </si>
  <si>
    <t>Monthly Utility Allowance</t>
  </si>
  <si>
    <t>HOME per Unit Limit - 0 Bedroom</t>
  </si>
  <si>
    <t>Low 0 BR</t>
  </si>
  <si>
    <t>High 0 BR</t>
  </si>
  <si>
    <t>0 BR</t>
  </si>
  <si>
    <t>DEVELOPMENT USES SUMMARY</t>
  </si>
  <si>
    <t>Deferred Payment 1 Loan Payoff</t>
  </si>
  <si>
    <t>Deferred Payment 2 Loan Payoff</t>
  </si>
  <si>
    <t>Deferred Payment 1 Loan Unpaid Balance</t>
  </si>
  <si>
    <t>Deferred Payment 2 Loan Unpaid Balance</t>
  </si>
  <si>
    <t>Unpaid Balance at Year End Calculation</t>
  </si>
  <si>
    <t>Other Interim Financing Costs</t>
  </si>
  <si>
    <t>Junior Loan Characteristics</t>
  </si>
  <si>
    <t>Net Cash Return</t>
  </si>
  <si>
    <t>DEVELOPMENT SOURCES SUMMARY</t>
  </si>
  <si>
    <t>Development Uses</t>
  </si>
  <si>
    <t>Construction / Rehabilitation Costs</t>
  </si>
  <si>
    <t>Cash Flow</t>
  </si>
  <si>
    <t>HOME-Eligible Rental Activity (select one)</t>
  </si>
  <si>
    <r>
      <t xml:space="preserve">Upon completing this tab, proceed to the </t>
    </r>
    <r>
      <rPr>
        <i/>
        <sz val="10"/>
        <rFont val="Verdana"/>
        <family val="2"/>
      </rPr>
      <t>Rents and Income</t>
    </r>
    <r>
      <rPr>
        <sz val="10"/>
        <rFont val="Verdana"/>
        <family val="2"/>
      </rPr>
      <t xml:space="preserve"> tab.</t>
    </r>
  </si>
  <si>
    <r>
      <t xml:space="preserve">Upon completing this tab, proceed to the </t>
    </r>
    <r>
      <rPr>
        <i/>
        <sz val="10"/>
        <rFont val="Verdana"/>
        <family val="2"/>
      </rPr>
      <t>Development Costs</t>
    </r>
    <r>
      <rPr>
        <sz val="10"/>
        <rFont val="Verdana"/>
        <family val="2"/>
      </rPr>
      <t xml:space="preserve"> tab.</t>
    </r>
  </si>
  <si>
    <r>
      <t xml:space="preserve">Site Work Costs </t>
    </r>
    <r>
      <rPr>
        <b/>
        <i/>
        <sz val="10"/>
        <rFont val="Verdana"/>
        <family val="2"/>
      </rPr>
      <t>(not included in construction contract)</t>
    </r>
  </si>
  <si>
    <r>
      <t xml:space="preserve">Project Administration and Management Costs </t>
    </r>
    <r>
      <rPr>
        <b/>
        <i/>
        <sz val="10"/>
        <rFont val="Verdana"/>
        <family val="2"/>
      </rPr>
      <t>(during construction only)</t>
    </r>
  </si>
  <si>
    <r>
      <t xml:space="preserve">Upon completing this tab, proceed to the </t>
    </r>
    <r>
      <rPr>
        <i/>
        <sz val="10"/>
        <rFont val="Verdana"/>
        <family val="2"/>
      </rPr>
      <t>Requirements</t>
    </r>
    <r>
      <rPr>
        <sz val="10"/>
        <rFont val="Verdana"/>
        <family val="2"/>
      </rPr>
      <t xml:space="preserve"> tab.</t>
    </r>
  </si>
  <si>
    <t>LIHTC Calculation</t>
  </si>
  <si>
    <t>Eligible Basis</t>
  </si>
  <si>
    <t>Applicable Fraction</t>
  </si>
  <si>
    <t>LIHTC Eligible basis</t>
  </si>
  <si>
    <t>Yes</t>
  </si>
  <si>
    <t>No</t>
  </si>
  <si>
    <t>HOME/CDBG/LIHTC Rents</t>
  </si>
  <si>
    <t>Market Rents (the rents that these units could achieve without rent or income restrictions)</t>
  </si>
  <si>
    <t>Gross Rents and Utility Allowances for Other Affordable Housing Program #1</t>
  </si>
  <si>
    <t>Gross Rents and Utility Allowances for Other Affordable Housing Program #2</t>
  </si>
  <si>
    <t>Gross Rents and Utility Allowances for Other Affordable Housing Program #3</t>
  </si>
  <si>
    <t>Gross Rents and Utility Allowances for Other Affordable Housing Program #4</t>
  </si>
  <si>
    <t>1BR Gross Rent</t>
  </si>
  <si>
    <t>2BR Gross Rent</t>
  </si>
  <si>
    <t>3BR Gross Rent</t>
  </si>
  <si>
    <t>Low HOME</t>
  </si>
  <si>
    <t>High HOME</t>
  </si>
  <si>
    <t>Market</t>
  </si>
  <si>
    <t>4BR Gross Rent</t>
  </si>
  <si>
    <t>5BR Gross Rent</t>
  </si>
  <si>
    <t>0BR Gross Rent</t>
  </si>
  <si>
    <t>Gross Rent Table</t>
  </si>
  <si>
    <t>Utility Allowance Table</t>
  </si>
  <si>
    <t>0BR UA</t>
  </si>
  <si>
    <t>1BR UA</t>
  </si>
  <si>
    <t>2BR UA</t>
  </si>
  <si>
    <t>3BR UA</t>
  </si>
  <si>
    <t>4BR UA</t>
  </si>
  <si>
    <t>5BR UA</t>
  </si>
  <si>
    <t>HOME</t>
  </si>
  <si>
    <t>Use Which Utility Allowance?</t>
  </si>
  <si>
    <t>Low HOME?</t>
  </si>
  <si>
    <t>High HOME?</t>
  </si>
  <si>
    <t>LIHTC?</t>
  </si>
  <si>
    <t>CDBG?</t>
  </si>
  <si>
    <t>Which Rent Should Be Underwritten (which limit is most restrictive)?</t>
  </si>
  <si>
    <t>Gross Rent</t>
  </si>
  <si>
    <t>Annual Gross Potential Rent</t>
  </si>
  <si>
    <t>Rents for Market Units</t>
  </si>
  <si>
    <t>Are these units:</t>
  </si>
  <si>
    <t>Restricted Rents for HOME Units</t>
  </si>
  <si>
    <t>Restricted Rents for Other Affordable Units</t>
  </si>
  <si>
    <t>Comment</t>
  </si>
  <si>
    <t>LIHTC Acquisition Basis</t>
  </si>
  <si>
    <t>LIHTC Construction Basis</t>
  </si>
  <si>
    <t xml:space="preserve">Improvements </t>
  </si>
  <si>
    <t>Site Work Included in Construction Contract</t>
  </si>
  <si>
    <t>Furniture, Fixtures &amp; Equipment</t>
  </si>
  <si>
    <t>Lender Origination / Financing Fee</t>
  </si>
  <si>
    <t>Other Lender Fees</t>
  </si>
  <si>
    <t>Owner Attorney Fees (initial closing)</t>
  </si>
  <si>
    <t>Owner Attorney Fees (final closing)</t>
  </si>
  <si>
    <t>Syndication Costs</t>
  </si>
  <si>
    <t>Other Owner Organizational Expenses</t>
  </si>
  <si>
    <t>Environmental Studies</t>
  </si>
  <si>
    <t>Capital Needs Assessment</t>
  </si>
  <si>
    <t>Soft Cost Contingency</t>
  </si>
  <si>
    <t>Bond Costs of Issuance</t>
  </si>
  <si>
    <t>Costs Outside Basis</t>
  </si>
  <si>
    <t>Other Construction Loan Fees</t>
  </si>
  <si>
    <t>Construction Period Insurance</t>
  </si>
  <si>
    <t>Construction Period Taxes</t>
  </si>
  <si>
    <t>Building Permits and Fees</t>
  </si>
  <si>
    <t>Tax Credit Fees</t>
  </si>
  <si>
    <t>Establish Tax and Insurance Escrows</t>
  </si>
  <si>
    <t>Estimated First Draw Amount</t>
  </si>
  <si>
    <t>Months Const. Loan Outstanding After Completion</t>
  </si>
  <si>
    <t>Interest on first draw, during construction period</t>
  </si>
  <si>
    <t>Interest on remaining funds, during construction</t>
  </si>
  <si>
    <t>Construction interest after completion</t>
  </si>
  <si>
    <t>Total Construction Interest</t>
  </si>
  <si>
    <t>Administrative / Management Expenses</t>
  </si>
  <si>
    <t>Operations and Maintenance Payroll Costs</t>
  </si>
  <si>
    <t>Repairs Supplies</t>
  </si>
  <si>
    <t>Repairs Contracts</t>
  </si>
  <si>
    <t>Payroll Taxes</t>
  </si>
  <si>
    <t>Workers Compensation Insurance</t>
  </si>
  <si>
    <t>Health Insurance / Other Employee Benefits</t>
  </si>
  <si>
    <t>Per Unit Per Year</t>
  </si>
  <si>
    <t>TOTAL OPERATING EXPENSES</t>
  </si>
  <si>
    <t>Reserve for Replacement Deposit</t>
  </si>
  <si>
    <t>TOTAL EXPENSES PLUS RESERVE</t>
  </si>
  <si>
    <t>Replacement Reserve Deposit</t>
  </si>
  <si>
    <t>Notes:</t>
  </si>
  <si>
    <t>Construction Interest (see calculation below)</t>
  </si>
  <si>
    <t>Net Operating Income Summary</t>
  </si>
  <si>
    <t>Gross Potential Rents</t>
  </si>
  <si>
    <t>Rent Loss Year 1 (Lease-Up)</t>
  </si>
  <si>
    <t>Stabilized Rent Loss Rate
(after Year 1)</t>
  </si>
  <si>
    <t>Rent Loss</t>
  </si>
  <si>
    <t>Other Income</t>
  </si>
  <si>
    <t>Total Operating Expenses</t>
  </si>
  <si>
    <t>Annual</t>
  </si>
  <si>
    <t>Calculated Market Value</t>
  </si>
  <si>
    <r>
      <t xml:space="preserve"> (NOI </t>
    </r>
    <r>
      <rPr>
        <sz val="12"/>
        <rFont val="Calibri"/>
        <family val="2"/>
      </rPr>
      <t>÷</t>
    </r>
    <r>
      <rPr>
        <sz val="12"/>
        <rFont val="Verdana"/>
        <family val="2"/>
      </rPr>
      <t xml:space="preserve"> Capitalization Rate)</t>
    </r>
  </si>
  <si>
    <t>Capitalization Rate and Value</t>
  </si>
  <si>
    <t>Mortgage Insurance Premium</t>
  </si>
  <si>
    <t>Key Assumptions</t>
  </si>
  <si>
    <t>For Operating Pro Forma</t>
  </si>
  <si>
    <t>years</t>
  </si>
  <si>
    <t>Other Affordable</t>
  </si>
  <si>
    <t>Inflation / Trending Assumptions</t>
  </si>
  <si>
    <t>Rent Loss (Vacancy + Bad Debt + Concessions)</t>
  </si>
  <si>
    <t>Rent Loss Rates 
(As % of GPR)</t>
  </si>
  <si>
    <t>Other income trending assumption</t>
  </si>
  <si>
    <t>per month</t>
  </si>
  <si>
    <t>Length of Pro Forma</t>
  </si>
  <si>
    <t>Market Units</t>
  </si>
  <si>
    <t>First Mortgage Loan Amount</t>
  </si>
  <si>
    <t>Maximum Loan Amount by LTV</t>
  </si>
  <si>
    <t>Maximum Loan Amount by DSC</t>
  </si>
  <si>
    <t xml:space="preserve">  (Lender's value x maximum LTV)</t>
  </si>
  <si>
    <t xml:space="preserve">  (NOI ÷ DSC ÷ [PI factor + MIP factor])</t>
  </si>
  <si>
    <t>Calculated Maximum Loan Amount</t>
  </si>
  <si>
    <t xml:space="preserve">  (Lesser of the two limitations above)</t>
  </si>
  <si>
    <t>Sources and Uses of Funds</t>
  </si>
  <si>
    <t>First Mortgage Sizing and</t>
  </si>
  <si>
    <t>First Mortgage Lender Origination and Financing Fees (Points)</t>
  </si>
  <si>
    <t>of the loan amount</t>
  </si>
  <si>
    <t>Origination and Financing Fees</t>
  </si>
  <si>
    <t>Calculated Origination and Financing Fees</t>
  </si>
  <si>
    <t>Characteristics of Amortizing Second Mortgage Loan</t>
  </si>
  <si>
    <t>Amortizing Second Mortgage Loan Amount</t>
  </si>
  <si>
    <t>Calculated Monthly P+I Payment</t>
  </si>
  <si>
    <t>Characteristics of Deferred Payment Loan #1</t>
  </si>
  <si>
    <t>Characteristics of Deferred Payment Loan #2</t>
  </si>
  <si>
    <t>A deferred loan is one with no payments due until maturity</t>
  </si>
  <si>
    <t>Final year of Operating Pro Forma</t>
  </si>
  <si>
    <t xml:space="preserve">  (from Pro Forma Assumptions page)</t>
  </si>
  <si>
    <t>Characteristics of Custom Loan #1</t>
  </si>
  <si>
    <t>Loan Amount (Custom loan 1)</t>
  </si>
  <si>
    <t>Custom Loan 1 Interest Rate</t>
  </si>
  <si>
    <t>Custom Loan 1 Year of Maturity</t>
  </si>
  <si>
    <t>A custom loan has payments prior to maturity but is not a normal fixed rate amortizing loan.</t>
  </si>
  <si>
    <t>Characteristics of Custom Loan #2</t>
  </si>
  <si>
    <t>Name of Deferred Payment Loan #1</t>
  </si>
  <si>
    <t>Name of Deferred Payment Loan #2</t>
  </si>
  <si>
    <t>Name of Custom Loan #1</t>
  </si>
  <si>
    <t>Name of Custom Loan #2</t>
  </si>
  <si>
    <t>Developer Cash Investment</t>
  </si>
  <si>
    <t>Total Sources of Funds</t>
  </si>
  <si>
    <t>Amortizing Second Mortgage Loan</t>
  </si>
  <si>
    <t>Uses of Funds / Total Development Cost</t>
  </si>
  <si>
    <t>First Mortgage Lender</t>
  </si>
  <si>
    <t>Architectural / Engineering Costs</t>
  </si>
  <si>
    <t>Permanent Financing Costs</t>
  </si>
  <si>
    <t xml:space="preserve">Project Management Costs </t>
  </si>
  <si>
    <t>Total Uses of Funds</t>
  </si>
  <si>
    <t>Construction Interest</t>
  </si>
  <si>
    <t>LIHTC Basis</t>
  </si>
  <si>
    <t>Acquisition</t>
  </si>
  <si>
    <t>Construction</t>
  </si>
  <si>
    <t>Applicable Fraction by Units:</t>
  </si>
  <si>
    <t>Total LIHTC Units</t>
  </si>
  <si>
    <t>Total Units</t>
  </si>
  <si>
    <t>Unit count</t>
  </si>
  <si>
    <t>Square Feet for LIHTC Units</t>
  </si>
  <si>
    <t>Use This Applicable Fraction:</t>
  </si>
  <si>
    <t>Basis Boost Factor</t>
  </si>
  <si>
    <t>Credit Factor</t>
  </si>
  <si>
    <t>Annual Credits</t>
  </si>
  <si>
    <t xml:space="preserve">  (lowest of the two methods)</t>
  </si>
  <si>
    <t>LIHTC Equity Price (per dollar)</t>
  </si>
  <si>
    <t>Estimated LIHTC Equity</t>
  </si>
  <si>
    <t>Total Estimated LIHTC Equity</t>
  </si>
  <si>
    <t>Less any amounts not eligible as a result of a grant or other ineligible source of funds (enter as negative amounts):</t>
  </si>
  <si>
    <t>Estimated LIHTC Eligible Basis From</t>
  </si>
  <si>
    <t>Other Affordable Units</t>
  </si>
  <si>
    <t>Deferred Developer Fee</t>
  </si>
  <si>
    <t>Developer Investment for Financial Analysis</t>
  </si>
  <si>
    <r>
      <t xml:space="preserve">Upon completing review of this tab, proceed to the </t>
    </r>
    <r>
      <rPr>
        <i/>
        <sz val="10"/>
        <rFont val="Verdana"/>
        <family val="2"/>
      </rPr>
      <t>Summary</t>
    </r>
    <r>
      <rPr>
        <sz val="10"/>
        <rFont val="Verdana"/>
        <family val="2"/>
      </rPr>
      <t xml:space="preserve"> tab.</t>
    </r>
  </si>
  <si>
    <t>HOME Unit Rent Loss</t>
  </si>
  <si>
    <t>Market Rate Unit Rent Loss</t>
  </si>
  <si>
    <t>Total Rent Loss</t>
  </si>
  <si>
    <t>Other Affordable Unit Rent Loss</t>
  </si>
  <si>
    <t>estimated as % of proposed</t>
  </si>
  <si>
    <t>Is this loan funded by the HOME program?</t>
  </si>
  <si>
    <t>Total HOME Funding</t>
  </si>
  <si>
    <t>Per Unit</t>
  </si>
  <si>
    <t>Subsidy layering gap (before HOME funding)</t>
  </si>
  <si>
    <t>HOME-assisted units</t>
  </si>
  <si>
    <t>Square Feet for HOME Units</t>
  </si>
  <si>
    <t>HOME Funding Limit (per unit)</t>
  </si>
  <si>
    <t>HOME Funding Limit (HOME Assisted Units)</t>
  </si>
  <si>
    <t>Costs that Are Not HOME-Eligible</t>
  </si>
  <si>
    <t>Total Non-HOME-Eligible Costs</t>
  </si>
  <si>
    <t>HOME?</t>
  </si>
  <si>
    <t>Amounts Funded by HOME</t>
  </si>
  <si>
    <t>Rent increase / rent trending assumptions:</t>
  </si>
  <si>
    <t>Market Rate units</t>
  </si>
  <si>
    <t>Other affordable units</t>
  </si>
  <si>
    <t>Address:</t>
  </si>
  <si>
    <t>HOME and Other Affordable Housing Requirements</t>
  </si>
  <si>
    <t>?</t>
  </si>
  <si>
    <t>Project Name and Unit Count:</t>
  </si>
  <si>
    <t>Year 3</t>
  </si>
  <si>
    <t>Year 4</t>
  </si>
  <si>
    <t>Year 6</t>
  </si>
  <si>
    <t>Year 7</t>
  </si>
  <si>
    <t>Year 8</t>
  </si>
  <si>
    <t>Year 9</t>
  </si>
  <si>
    <t>Year 11</t>
  </si>
  <si>
    <t>Year 12</t>
  </si>
  <si>
    <t>Year 13</t>
  </si>
  <si>
    <t>Year 14</t>
  </si>
  <si>
    <t>Year 16</t>
  </si>
  <si>
    <t>Year 17</t>
  </si>
  <si>
    <t>Year 18</t>
  </si>
  <si>
    <t>Year 19</t>
  </si>
  <si>
    <t>Year 20</t>
  </si>
  <si>
    <t>Year 21</t>
  </si>
  <si>
    <t>Year 22</t>
  </si>
  <si>
    <t>Year 23</t>
  </si>
  <si>
    <t>Year 24</t>
  </si>
  <si>
    <t>Year 25</t>
  </si>
  <si>
    <t>Year 26</t>
  </si>
  <si>
    <t>Year 27</t>
  </si>
  <si>
    <t>Year 28</t>
  </si>
  <si>
    <t>Year 29</t>
  </si>
  <si>
    <t>Requirements drop-down #1</t>
  </si>
  <si>
    <t>Requirements drop-down #2</t>
  </si>
  <si>
    <t>Sources of Funds</t>
  </si>
  <si>
    <t>Other Affordable Rents</t>
  </si>
  <si>
    <t>NOTES ON KEY HOME REQUIREMENTS AND THIS TEMPLATE</t>
  </si>
  <si>
    <t>The Role of HOME Funds in a Development Project</t>
  </si>
  <si>
    <t>Multi-Family Underwriting</t>
  </si>
  <si>
    <t>Introduction to this Template</t>
  </si>
  <si>
    <t>Microsoft Excel and This Template</t>
  </si>
  <si>
    <t>In this Template:
   First Mortgage means a fixed-rate, fixed-payment, self-amortizing loan (without balloon payments).
   Amortizing Second Mortgage means a junior fixed-rate, fixed-payment, self-amortizing loan (without balloon payments).
   Deferred Payment Loan means a loan that will receive no payments during its term. 
   Custom Loan means any other type of loan (i.e., with some payments but not fixed-payment / self-amortizing).</t>
  </si>
  <si>
    <t>Macro Controls</t>
  </si>
  <si>
    <t>Requirements tab hide-reveal starting column</t>
  </si>
  <si>
    <t>Requirements tab hide-reveal ending column</t>
  </si>
  <si>
    <t>Taxes / Insurance / Other Expenses</t>
  </si>
  <si>
    <t>Rent and Income drop-down #1</t>
  </si>
  <si>
    <t>Rent and Income drop-down #2</t>
  </si>
  <si>
    <t>LIHTC Basis tab hide-reveal starting column</t>
  </si>
  <si>
    <t>LIHTC Basis tab hide-reveal ending column</t>
  </si>
  <si>
    <t>First Mortgage Sizing tab hide-reveal starting column</t>
  </si>
  <si>
    <t>First Mortgage Sizing tab hide-reveal ending column</t>
  </si>
  <si>
    <t>Sources and Uses tab hide-reveal starting column</t>
  </si>
  <si>
    <t>Sources and Uses tab hide-reveal ending column</t>
  </si>
  <si>
    <t>Cost Allocation tab hide-reveal starting column</t>
  </si>
  <si>
    <t>Cost Allocation tab hide-reveal ending column</t>
  </si>
  <si>
    <t>Operating Pro Forma tab hide-reveal starting column</t>
  </si>
  <si>
    <t>Operating Pro Forma tab reveal 30-year ending column</t>
  </si>
  <si>
    <t>Operating Pro Forma hide beyond sale year starting column</t>
  </si>
  <si>
    <t>Renting / Advertising / Marketing Expenses</t>
  </si>
  <si>
    <t xml:space="preserve">  Cells with white background are formulas</t>
  </si>
  <si>
    <t xml:space="preserve">  Do not change formulas (many of them track to other formulas)</t>
  </si>
  <si>
    <t xml:space="preserve">  Cells with light green background are data entry cells</t>
  </si>
  <si>
    <t>The U.S. Department of Housing and Urban Development and ICF International assume no liability for the use, functionality, or content of this template.  This template is for draft calculations only.  All inputs, outcomes, and calculations should be independently verified.</t>
  </si>
  <si>
    <t>Proposed LIHTC Equity</t>
  </si>
  <si>
    <t>Calculated Monthly P+I+MIP Payment</t>
  </si>
  <si>
    <t xml:space="preserve">  (This total is sometimes referred to as the 'debt service' payment)</t>
  </si>
  <si>
    <t>Estimated Debt Service Coverage (DSC) Ratio</t>
  </si>
  <si>
    <t>This template does not automatically cap rents at HOME levels.  Each user must do this, as applicable, on the Rents and Income tab.</t>
  </si>
  <si>
    <t>Sources and Uses by Month</t>
  </si>
  <si>
    <t>Initial Closing / First Draw</t>
  </si>
  <si>
    <t>Development Costs (Uses of Funds)</t>
  </si>
  <si>
    <t>Total Sources Before Construction Loan</t>
  </si>
  <si>
    <t>Construction Loan Beginning Balance</t>
  </si>
  <si>
    <t>Plus This Draw</t>
  </si>
  <si>
    <t>Equals Ending Balance</t>
  </si>
  <si>
    <t>Construction interest estimate from Development Costs tab</t>
  </si>
  <si>
    <t xml:space="preserve">   TDC Excluding Construction Interest</t>
  </si>
  <si>
    <t>Interim Financing Costs (excluding interest)</t>
  </si>
  <si>
    <t>Debt Service Coverage Ratio</t>
  </si>
  <si>
    <t>1st mortgage DSCR</t>
  </si>
  <si>
    <t>In year 2 (first stabilized year)</t>
  </si>
  <si>
    <t>In year 5</t>
  </si>
  <si>
    <t>In year 10</t>
  </si>
  <si>
    <t>In year 15</t>
  </si>
  <si>
    <t>In year 20</t>
  </si>
  <si>
    <t>Unit Type</t>
  </si>
  <si>
    <t>LIHTC Eligible Basis</t>
  </si>
  <si>
    <t>Total Drawn to Date</t>
  </si>
  <si>
    <t>Operating Pro Forma tab hide-reveal starting row</t>
  </si>
  <si>
    <t>Operating Pro Forma tab reveal 30-year ending row</t>
  </si>
  <si>
    <t>HOME Investment Partnerships Program ("HOME")</t>
  </si>
  <si>
    <t>This HOME Multi-Family Underwriting Template is intended to assist in planning multi-family affordable rental housing, not single-family affordable housing.</t>
  </si>
  <si>
    <t>Typical users will be Participating Jurisdiction (PJ) underwriters, Community Housing Development Organization (CHDO) underwriters, and underwriters for other developers of HOME-assisted affordable rental housing projects.  This template supports normal underwriting tasks such as review of development costs and review of operating revenues and expenses, but also includes features that help the user determine the appropriate amount of HOME assistance as well as the appropriate number and mix of HOME-assisted units.</t>
  </si>
  <si>
    <t>HOME PJs must conduct a subsidy layering analysis prior to commitment of HOME funds.</t>
  </si>
  <si>
    <t xml:space="preserve">  Blue boxes like this contain guidance (place the mouse pointer over the question mark)</t>
  </si>
  <si>
    <t>In rental housing development projects, HOME funds typically serve as “gap financing” – funds provided when the contributions of private lenders and other funding resources are not sufficient to cover the cost of developing and leasing-up the project.  PJ and non-profit staff are often called upon to determine the appropriate amount of HOME funds required to “fill the gap” in order to make the project feasible, while ensuring the project is not over-subsidized and that HOME funds are used only for HOME-eligible expenses.</t>
  </si>
  <si>
    <t>HOME Rent Limits (monthly, including rent and tenant-paid utilities)</t>
  </si>
  <si>
    <r>
      <t xml:space="preserve">Market Rents (monthly, rent only, </t>
    </r>
    <r>
      <rPr>
        <b/>
        <u/>
        <sz val="10"/>
        <rFont val="Verdana"/>
        <family val="2"/>
      </rPr>
      <t>do not add tenant-paid utilities</t>
    </r>
    <r>
      <rPr>
        <b/>
        <sz val="10"/>
        <rFont val="Verdana"/>
        <family val="2"/>
      </rPr>
      <t>)</t>
    </r>
  </si>
  <si>
    <t>Market Rate 
(no rent limits)?</t>
  </si>
  <si>
    <t># of BRs?</t>
  </si>
  <si>
    <t>Underwrite What % of the Maximum Rents?</t>
  </si>
  <si>
    <t>Utility Allowance</t>
  </si>
  <si>
    <t>Market Rents for HOME Units</t>
  </si>
  <si>
    <t>Market Rents for Other Affordable Units</t>
  </si>
  <si>
    <t>Construction Costs before Contractor Compensation</t>
  </si>
  <si>
    <t>Developer Fee Base</t>
  </si>
  <si>
    <t>Total Development Costs (TDC)</t>
  </si>
  <si>
    <t>Construction Loan Draw Needed (Before Interest)</t>
  </si>
  <si>
    <t xml:space="preserve">'Development Costs' page </t>
  </si>
  <si>
    <r>
      <t xml:space="preserve">Upon completing this tab, proceed to the </t>
    </r>
    <r>
      <rPr>
        <i/>
        <sz val="10"/>
        <rFont val="Verdana"/>
        <family val="2"/>
      </rPr>
      <t>Operating Expenses</t>
    </r>
    <r>
      <rPr>
        <sz val="10"/>
        <rFont val="Verdana"/>
        <family val="2"/>
      </rPr>
      <t xml:space="preserve"> tab.</t>
    </r>
  </si>
  <si>
    <t>Lender's Proposed Loan Amount</t>
  </si>
  <si>
    <t>Net Operating Income (NOI)</t>
  </si>
  <si>
    <t>Debt Service Coverage (DSC) is the ratio of Net Operating Income to the 1st mortgage debt service payment (P+I+MIP).  If the ratio is below 1.0 it means that there is not enough NOI to cover the debt service payment, and the proposed project will not be viable unless the first mortgage debt service payment can be reduced (for example, by utilizing more HOME funds so that the first mortgage loan amount can be reduced).  The HOME underwriter will want to consider whether to require DSC that is higher than required by the first mortgage lender.  In general, the higher the DSC, the less risk that the project will have negative cash flow because of a future revenue or expense problem.  However, a high DSC may indicate that the first mortgage loan amount can be increased (without endangering the finances of the project) which would allow HOME funding to be decreased.</t>
  </si>
  <si>
    <r>
      <t xml:space="preserve">Upon completing this tab, proceed to the </t>
    </r>
    <r>
      <rPr>
        <i/>
        <sz val="10"/>
        <rFont val="Verdana"/>
        <family val="2"/>
      </rPr>
      <t>First Mortgage Sizing</t>
    </r>
    <r>
      <rPr>
        <sz val="10"/>
        <rFont val="Verdana"/>
        <family val="2"/>
      </rPr>
      <t xml:space="preserve"> tab.</t>
    </r>
  </si>
  <si>
    <r>
      <t xml:space="preserve">Upon completing this tab, proceed to the </t>
    </r>
    <r>
      <rPr>
        <i/>
        <sz val="10"/>
        <rFont val="Verdana"/>
        <family val="2"/>
      </rPr>
      <t>Sources and Uses</t>
    </r>
    <r>
      <rPr>
        <sz val="10"/>
        <rFont val="Verdana"/>
        <family val="2"/>
      </rPr>
      <t xml:space="preserve"> tab.</t>
    </r>
  </si>
  <si>
    <t xml:space="preserve">  (used in Operating Pro Forma for IRR, etc.)</t>
  </si>
  <si>
    <t xml:space="preserve"> (Total Uses of Funds minus Total Sources of Funds other than HOME)</t>
  </si>
  <si>
    <t>* Years to Sale is used by the Template to determine the final year of the Pro-Forma.</t>
  </si>
  <si>
    <r>
      <t xml:space="preserve">Upon completing this tab, proceed to the </t>
    </r>
    <r>
      <rPr>
        <i/>
        <sz val="10"/>
        <rFont val="Verdana"/>
        <family val="2"/>
      </rPr>
      <t>Operating</t>
    </r>
    <r>
      <rPr>
        <sz val="10"/>
        <rFont val="Verdana"/>
        <family val="2"/>
      </rPr>
      <t xml:space="preserve"> </t>
    </r>
    <r>
      <rPr>
        <i/>
        <sz val="10"/>
        <rFont val="Verdana"/>
        <family val="2"/>
      </rPr>
      <t>Pro Forma</t>
    </r>
    <r>
      <rPr>
        <sz val="10"/>
        <rFont val="Verdana"/>
        <family val="2"/>
      </rPr>
      <t xml:space="preserve"> tab.</t>
    </r>
  </si>
  <si>
    <t>The only data entry cells on this tab are for payments on any 'custom loans' (see rows 31 and 32).</t>
  </si>
  <si>
    <t>NOTE: Project Value equals $0 if Net Operating Income is negative.</t>
  </si>
  <si>
    <t>Total Other Revenue</t>
  </si>
  <si>
    <r>
      <t xml:space="preserve">Upon completing this tab, proceed to the </t>
    </r>
    <r>
      <rPr>
        <i/>
        <sz val="10"/>
        <rFont val="Verdana"/>
        <family val="2"/>
      </rPr>
      <t>LIHTC Basis</t>
    </r>
    <r>
      <rPr>
        <sz val="10"/>
        <rFont val="Verdana"/>
        <family val="2"/>
      </rPr>
      <t xml:space="preserve"> tab or (if the project will not be utilizing LIHTCs) to the </t>
    </r>
    <r>
      <rPr>
        <i/>
        <sz val="10"/>
        <rFont val="Verdana"/>
        <family val="2"/>
      </rPr>
      <t>Operating Expenses</t>
    </r>
    <r>
      <rPr>
        <sz val="10"/>
        <rFont val="Verdana"/>
        <family val="2"/>
      </rPr>
      <t xml:space="preserve"> tab</t>
    </r>
  </si>
  <si>
    <t xml:space="preserve"> (from the Rents and Income tab)</t>
  </si>
  <si>
    <t>Annual P+I as % of loan amount</t>
  </si>
  <si>
    <t>Annual MIP as % of loan amount</t>
  </si>
  <si>
    <t>First Mortgage Loan (proposed amount)</t>
  </si>
  <si>
    <t>Tax Credit Equity (proposed amount)</t>
  </si>
  <si>
    <t>Construction Interest is Calculated Below</t>
  </si>
  <si>
    <t>Total For All Months</t>
  </si>
  <si>
    <t>Construction interest estimate from detailed Sources and Uses By Month</t>
  </si>
  <si>
    <r>
      <t>Upon completing this tab, proceed to the S</t>
    </r>
    <r>
      <rPr>
        <i/>
        <sz val="10"/>
        <rFont val="Verdana"/>
        <family val="2"/>
      </rPr>
      <t xml:space="preserve">ources and Uses By Month </t>
    </r>
    <r>
      <rPr>
        <sz val="10"/>
        <rFont val="Verdana"/>
        <family val="2"/>
      </rPr>
      <t xml:space="preserve">tab.  The </t>
    </r>
    <r>
      <rPr>
        <i/>
        <sz val="10"/>
        <rFont val="Verdana"/>
        <family val="2"/>
      </rPr>
      <t>Sources and Uses By Month</t>
    </r>
    <r>
      <rPr>
        <sz val="10"/>
        <rFont val="Verdana"/>
        <family val="2"/>
      </rPr>
      <t xml:space="preserve"> tab is optional but is highly</t>
    </r>
  </si>
  <si>
    <t>recommended, as a way of verifying the construction interest estimate from the Development Costs tab.</t>
  </si>
  <si>
    <t>Accounting / Cost Certification / Audit</t>
  </si>
  <si>
    <t>total HOME</t>
  </si>
  <si>
    <t>total HOME units</t>
  </si>
  <si>
    <t>per HOME unit</t>
  </si>
  <si>
    <t>4 Person AMI</t>
  </si>
  <si>
    <t>at 100% AMI</t>
  </si>
  <si>
    <t>1 Person</t>
  </si>
  <si>
    <t>2 Person</t>
  </si>
  <si>
    <t>3 Person</t>
  </si>
  <si>
    <t>4 Person</t>
  </si>
  <si>
    <t>5 Person</t>
  </si>
  <si>
    <t>6 Person</t>
  </si>
  <si>
    <t>7 Person</t>
  </si>
  <si>
    <t>8 Person</t>
  </si>
  <si>
    <t>Yes or No drop-down</t>
  </si>
  <si>
    <t xml:space="preserve">  If the guidance text is too small for the user to read, increase the zoom setting on the tab.</t>
  </si>
  <si>
    <t>This template is provided in Excel 2007 format.  Two versions are available.  One is macro-enabled (an .xlsm file); this version includes radio buttons that will allow the user to hide and reveal columns and rows used for supporting calculations, and helpful features such as automatically providing the appropriate number of columns on the Operating Pro-Forma tab.    If you are using the .xlsm format, be sure to always save the file in .xlsm format (if you save it in .xlsx format, you will lose all of the macros).
In the .xlsm format, if you click on a radio button labeled 'Hide Columns' or 'Hide Rows', the template will hide the rows or columns that hold supporting calculations.  A radio button labeled 'Reveal columns' or 'Reveal rows' will reveal (un-hide) the supporting calculations.
For users whose information technology policies do not allow enabled macros, this template is also available in a non-macro-enabled format (an .xlsx file).
This template also contains two forms of protection.  The first is worksheet (tab) protection (formula cells are locked to prevent accidental damage to formulas).  The second is workbook protection (which prevents accidental deletion of tabs).  However, if you need to make custom modifications to this template, you can do so by entering the password (the password is a single blank character).</t>
  </si>
  <si>
    <t>Amount entered on Development Costs tab</t>
  </si>
  <si>
    <t>Enter the annual payments for this loan directly on the Operating Pro Forma tab.</t>
  </si>
  <si>
    <t>is estimated on the 1st Mortgage Sizing tab</t>
  </si>
  <si>
    <t>is estimated on the LIHTC Basis tab</t>
  </si>
  <si>
    <t>Go to the Requirements tab to adjust the HOME affordability period</t>
  </si>
  <si>
    <t>Later in this template, you will calculate the maximum allowable HOME investment and the minimum required number of HOME-assisted units.  These calculations take place on the Cost Allocation tab.  For these calculations, you need to have identified any development costs that are not HOME-eligible.  List the ineligible costs here (these costs can be funded from other sources of funds, but cannot be funded by HOME).</t>
  </si>
  <si>
    <t>Builder Profit</t>
  </si>
  <si>
    <t>Plus Interest              (Total Interest at immediate right)</t>
  </si>
  <si>
    <t>Construction Equipment (HOME eligible portion)</t>
  </si>
  <si>
    <t>Construction Equipment (non-HOME eligible portion)</t>
  </si>
  <si>
    <t>Off-Site Costs (these are not HOME eligible)</t>
  </si>
  <si>
    <t>Initial Rent-Up Reserve (not HOME eligible)</t>
  </si>
  <si>
    <t>Initial Operating Reserve (HOME-eligible portion)</t>
  </si>
  <si>
    <t>Initial Operating Reserve (non-HOME-eligible portion)</t>
  </si>
  <si>
    <t>Initial Debt Service Reserve (not HOME eligible)</t>
  </si>
  <si>
    <t>Initial Replacement Reserve (not HOME eligible)</t>
  </si>
  <si>
    <t>Other HOME-Ineligible Cost 1</t>
  </si>
  <si>
    <t>Other HOME-Ineligible Cost 2</t>
  </si>
  <si>
    <t>Other HOME-Ineligible Cost 3</t>
  </si>
  <si>
    <t>Other HOME-Ineligible Cost 4</t>
  </si>
  <si>
    <t xml:space="preserve"> (same as 4BR limit)</t>
  </si>
  <si>
    <t>PJ Monitoring Fee (if any)</t>
  </si>
  <si>
    <t>Intended HOME Commitment Date</t>
  </si>
  <si>
    <t>First Building Completion Date</t>
  </si>
  <si>
    <t>Last Building Completion Date</t>
  </si>
  <si>
    <t>Achievement of Sustaining Occupancy</t>
  </si>
  <si>
    <t>Closing of Permanent Financing</t>
  </si>
  <si>
    <t>Initial Closing Date</t>
  </si>
  <si>
    <t>Construction Start Date</t>
  </si>
  <si>
    <t>Construction Schedule</t>
  </si>
  <si>
    <r>
      <t xml:space="preserve">The HOME Final Rule's definition of </t>
    </r>
    <r>
      <rPr>
        <i/>
        <sz val="12"/>
        <rFont val="Verdana"/>
        <family val="2"/>
      </rPr>
      <t>commitment</t>
    </r>
    <r>
      <rPr>
        <sz val="12"/>
        <rFont val="Verdana"/>
        <family val="2"/>
      </rPr>
      <t xml:space="preserve"> specifies that if a project includes rehabilitation or new construction, a construction schedule is required at or before the time of the commitment.  Additionally, construction must be scheduled to start within twelve months after the commitment date, and construction must be scheduled to be completed within four years after the commitment date.</t>
    </r>
  </si>
  <si>
    <t>Percentage of AMI</t>
  </si>
  <si>
    <t>N/A</t>
  </si>
  <si>
    <t>The rows below are working computations for AMI rents</t>
  </si>
  <si>
    <t xml:space="preserve">      of AMI (if AMI rents are applicable)</t>
  </si>
  <si>
    <t>SUBTOTAL ADMINISTRATIVE EXPENSES</t>
  </si>
  <si>
    <t>SUBTOTAL O&amp;M EXPENSES</t>
  </si>
  <si>
    <t>SUBTOTAL OWNER PAID UTILITIES</t>
  </si>
  <si>
    <t>SUBTOTAL TAXES / INSURANCE / OTHER</t>
  </si>
  <si>
    <t>Replacement Reserve</t>
  </si>
  <si>
    <t>Unit of Measure</t>
  </si>
  <si>
    <t>Quantity</t>
  </si>
  <si>
    <t>EUL (Years)</t>
  </si>
  <si>
    <t>RUL (Years)</t>
  </si>
  <si>
    <t>Signage</t>
  </si>
  <si>
    <t>Each</t>
  </si>
  <si>
    <t>Replacement Cost (UoM)</t>
  </si>
  <si>
    <t>Replacement Cost (Total)</t>
  </si>
  <si>
    <t>Sq Yd</t>
  </si>
  <si>
    <t>Driveways and Parking Areas (resurfacing)</t>
  </si>
  <si>
    <t>Driveways and Parking Areas (sealing)</t>
  </si>
  <si>
    <t>Other Site 1</t>
  </si>
  <si>
    <t>Other Site 2</t>
  </si>
  <si>
    <t>Other Site 3</t>
  </si>
  <si>
    <t>Windows</t>
  </si>
  <si>
    <t>Per Year of EUL</t>
  </si>
  <si>
    <t>Per Year of RUL</t>
  </si>
  <si>
    <t>Year PJ HOME Affordability Period</t>
  </si>
  <si>
    <t>Repl During HOME POA?</t>
  </si>
  <si>
    <t>Accrual (HOME)</t>
  </si>
  <si>
    <t>Exterior Walls 1</t>
  </si>
  <si>
    <t>Exterior Walls 2</t>
  </si>
  <si>
    <t>Sq Ft</t>
  </si>
  <si>
    <t>Accrual (All)</t>
  </si>
  <si>
    <t>Exterior Painting</t>
  </si>
  <si>
    <t>Units</t>
  </si>
  <si>
    <t>Other Exterior 1</t>
  </si>
  <si>
    <t>Other Exterior 2</t>
  </si>
  <si>
    <t>Roofing</t>
  </si>
  <si>
    <t>Square</t>
  </si>
  <si>
    <t>Gutters</t>
  </si>
  <si>
    <t>Lineal Ft</t>
  </si>
  <si>
    <t>Interior Flooring (Carpet)</t>
  </si>
  <si>
    <t>Interior Flooring (Tile)</t>
  </si>
  <si>
    <t>Kitchen Cabinets and Bath Vanities</t>
  </si>
  <si>
    <t>Counter Tops and Sinks (Kitchens and Baths)</t>
  </si>
  <si>
    <t>Refrigerators</t>
  </si>
  <si>
    <t>Ranges</t>
  </si>
  <si>
    <t>Exterior Doors</t>
  </si>
  <si>
    <t>Unit Heating System</t>
  </si>
  <si>
    <t>Unit Cooling System</t>
  </si>
  <si>
    <t>Unit Hot Water Heating System</t>
  </si>
  <si>
    <t>Other Interior 1</t>
  </si>
  <si>
    <t>Other Interior 2</t>
  </si>
  <si>
    <t>Other Interior 3</t>
  </si>
  <si>
    <t>Comment on capital needs estimate</t>
  </si>
  <si>
    <r>
      <rPr>
        <b/>
        <sz val="10"/>
        <rFont val="Verdana"/>
        <family val="2"/>
      </rPr>
      <t>Reserve Deposit Adequate Over The Long Term:</t>
    </r>
    <r>
      <rPr>
        <sz val="10"/>
        <rFont val="Verdana"/>
        <family val="2"/>
      </rPr>
      <t xml:space="preserve"> For a typical rental project, an annual replacement reserve deposit in the amount described below would be adequate to fund </t>
    </r>
    <r>
      <rPr>
        <u/>
        <sz val="10"/>
        <rFont val="Verdana"/>
        <family val="2"/>
      </rPr>
      <t>all</t>
    </r>
    <r>
      <rPr>
        <sz val="10"/>
        <rFont val="Verdana"/>
        <family val="2"/>
      </rPr>
      <t xml:space="preserve"> long-term capital needs so long as (1) the annual deposit is increased each year for inflation and (2) there are no high-cost systems that will require replacement early in the life of the project.  If either condition (1) or condition (2) cannot be satisfied, the PJ will need to make a more sophisticated computation, using a capital needs assessment or using a spreadsheet that is similar to those used in preparing capital needs assessments. Over the long term:</t>
    </r>
  </si>
  <si>
    <r>
      <rPr>
        <b/>
        <sz val="10"/>
        <rFont val="Verdana"/>
        <family val="2"/>
      </rPr>
      <t>Reserve Deposit Adequate During the HOME Period of Affordability (but likely to be inadequate thereafter):</t>
    </r>
    <r>
      <rPr>
        <sz val="10"/>
        <rFont val="Verdana"/>
        <family val="2"/>
      </rPr>
      <t xml:space="preserve"> For a typical rental project, an annual replacement reserve deposit in the amount described below would satisfy the 92.250(b) requirement so long as (1) the annual deposit is increased each year for inflation and (2) there are no high-cost systems that will require replacement early in the HOME period of affordability.  If either condition (1) or condition (2) cannot be satisfied, the PJ will need to make a more sophisticated computation, using a capital needs assessment or using a spreadsheet that is similar to those used in preparing capital needs assessments.  Similarly, a more sophisticated computation should be used if the PJ intends to utilize a large </t>
    </r>
    <r>
      <rPr>
        <u/>
        <sz val="10"/>
        <rFont val="Verdana"/>
        <family val="2"/>
      </rPr>
      <t>initial</t>
    </r>
    <r>
      <rPr>
        <sz val="10"/>
        <rFont val="Verdana"/>
        <family val="2"/>
      </rPr>
      <t xml:space="preserve"> reserve deposit and a smaller annual deposit. PJs should note that minimum compliance with the 92.250(b) requirement </t>
    </r>
    <r>
      <rPr>
        <u/>
        <sz val="10"/>
        <rFont val="Verdana"/>
        <family val="2"/>
      </rPr>
      <t>will not</t>
    </r>
    <r>
      <rPr>
        <sz val="10"/>
        <rFont val="Verdana"/>
        <family val="2"/>
      </rPr>
      <t xml:space="preserve"> generally result in a replacement reserve that will be adequately funded </t>
    </r>
    <r>
      <rPr>
        <u/>
        <sz val="10"/>
        <rFont val="Verdana"/>
        <family val="2"/>
      </rPr>
      <t>over the long term</t>
    </r>
    <r>
      <rPr>
        <sz val="10"/>
        <rFont val="Verdana"/>
        <family val="2"/>
      </rPr>
      <t>; see the additional discussion in the next section.  Over the HOME affordability period:</t>
    </r>
  </si>
  <si>
    <r>
      <t xml:space="preserve">Upon completing this tab, proceed to the </t>
    </r>
    <r>
      <rPr>
        <i/>
        <sz val="10"/>
        <rFont val="Verdana"/>
        <family val="2"/>
      </rPr>
      <t xml:space="preserve">Repl Reserve </t>
    </r>
    <r>
      <rPr>
        <sz val="10"/>
        <rFont val="Verdana"/>
        <family val="2"/>
      </rPr>
      <t xml:space="preserve">tab </t>
    </r>
  </si>
  <si>
    <r>
      <t xml:space="preserve">Upon completing this tab, proceed to the </t>
    </r>
    <r>
      <rPr>
        <i/>
        <sz val="10"/>
        <rFont val="Verdana"/>
        <family val="2"/>
      </rPr>
      <t xml:space="preserve">Const Schedule </t>
    </r>
    <r>
      <rPr>
        <sz val="10"/>
        <rFont val="Verdana"/>
        <family val="2"/>
      </rPr>
      <t xml:space="preserve">tab </t>
    </r>
  </si>
  <si>
    <t>Drop-Down for Development Type</t>
  </si>
  <si>
    <t>Elevator Buildings 2-5 Stories</t>
  </si>
  <si>
    <t>Elevator Buildings 6+ Stories</t>
  </si>
  <si>
    <t>Townhouses</t>
  </si>
  <si>
    <t>Single Story Garden Apartments</t>
  </si>
  <si>
    <t>Walkup Garden Apartments (2-4 Stories)</t>
  </si>
  <si>
    <t>Multiple Building Types</t>
  </si>
  <si>
    <t>Elevators</t>
  </si>
  <si>
    <t>Applicable Fraction by Square Feet:</t>
  </si>
  <si>
    <t>Square feet of total LIHTC Units</t>
  </si>
  <si>
    <t>Square feet of total Units</t>
  </si>
  <si>
    <t>Sample Project</t>
  </si>
  <si>
    <t>Controls (Normally Hidden)</t>
  </si>
  <si>
    <t>The HOME Program, as well as other affordable housing programs (e.g., Low-Income Housing Tax Credits or the Community Development Block Grant), are designed to provide effective resources for housing development, while ensuring that use of public funds results in increased availability of affordable housing.  To meet the latter objective, the HOME Program and other affordable housing programs impose requirements and restrictions, such as maximum subsidies, maximum rents for units reserved for affordable housing, and affordability periods during which units must remain affordable.  
Note that some individual units may be subsidized using both HOME funds and funds from another affordable housing program.  For the purposes of this Template, consider those units to be HOME-assisted units.
Use this worksheet to enter (or change) the following: Area Median Incomes, rents, utility allowances, the HOME period of affordability, and HOME per-unit investment limits.</t>
  </si>
  <si>
    <t>This worksheet will allow the user to determine an annual replacement reserve deposit that will satisfy the 92.250(b) requirement, plus a higher annual reserve deposit that will be adequate over the long term (including the years after completion of the HOME period of affordability).</t>
  </si>
  <si>
    <t>Gross Rents and Utility Allowances for Other Affordable Housing Program #5</t>
  </si>
  <si>
    <t>Gross Rents and Utility Allowances for Other Affordable Housing Program #6</t>
  </si>
  <si>
    <t>Gross Rents and Utility Allowances for Other Affordable Housing Program #7</t>
  </si>
  <si>
    <t>Gross Rents and Utility Allowances for Other Affordable Housing Program #8</t>
  </si>
  <si>
    <t>LIHTC 50 AMI</t>
  </si>
  <si>
    <t>LIHTC 60 AMI</t>
  </si>
  <si>
    <t>LIHTC 40 AMI</t>
  </si>
  <si>
    <t>LIHTC 30 AMI</t>
  </si>
  <si>
    <t>Other 1</t>
  </si>
  <si>
    <t>Other 2</t>
  </si>
  <si>
    <t>Other 3</t>
  </si>
  <si>
    <t>Other 4</t>
  </si>
  <si>
    <t>123 Elm Street</t>
  </si>
  <si>
    <t>East Market CHDO</t>
  </si>
  <si>
    <t>Sample City</t>
  </si>
  <si>
    <t>XX</t>
  </si>
  <si>
    <t>Don't insert rows or columns in A1:B24</t>
  </si>
  <si>
    <t>Use this worksheet to enter (or to modify) the unit mix, the mix of Low and High HOME units, the mix of LIHTC and CDBG and market rate units, and square footage for each unit type. Also use this worksheet to select the maximum rents that will be underwritten for each unit type, and to select utility allowances. Also use this worksheet to enter any 'other revenue' such as commercial revenue or tenant late fees.  Information for number of units, Low HOME units, High HOME units, LIHTC units, CDBG units, market rate units, square footage, underwritten rents, underwritten utility allowances, and underwritten other revenue will carry forward from this worksheet into the rest of the underwriting template.</t>
  </si>
  <si>
    <t>Ineligible</t>
  </si>
  <si>
    <t>Laundry and Other</t>
  </si>
  <si>
    <t>ABC Mortgage</t>
  </si>
  <si>
    <t>PJ</t>
  </si>
  <si>
    <t>Negative Cash Flow</t>
  </si>
  <si>
    <t>CF is negative in these years</t>
  </si>
  <si>
    <t>Year # of years with negative CF</t>
  </si>
  <si>
    <t>Negative CF in any prior year?</t>
  </si>
  <si>
    <t>Text string for this year</t>
  </si>
  <si>
    <t>Switch HOME unit rents to market after:</t>
  </si>
  <si>
    <t>For units originally at HOME rents, the Operating Pro Forma uses HOME rents during this period, and market rents thereafter</t>
  </si>
  <si>
    <t>Switch 'Other Affordable' unit rents to market after:</t>
  </si>
  <si>
    <t>For units originally at LIHTC / Other Affordable rents, the Operating Pro Forma uses restricted rents during this period, and market rents thereafter</t>
  </si>
  <si>
    <t>Underwritten 
Rent Level</t>
  </si>
  <si>
    <t>This tab is useful for projects that will have Low Income Housing Tax Credits (LIHTCs).  The purpose of this tab is to make a rough estimate of LIHTC equity, which you can use to compare to the developer's estimate.  If the rough estimate here is materially different from the developer's estimate, you should ask the developer for an explanation.
To enter (or change) the number of LIHTC units, use column P of the Rents and Income tab.</t>
  </si>
  <si>
    <t>Administrative Record</t>
  </si>
  <si>
    <t>This is an optional worksheet that the PJ can use to document compliance with certain requirements of the HOME Final Rule.</t>
  </si>
  <si>
    <r>
      <t>Fees to be Charged by the Project Owner.</t>
    </r>
    <r>
      <rPr>
        <sz val="12"/>
        <rFont val="Verdana"/>
        <family val="2"/>
      </rPr>
      <t xml:space="preserve">  Section 92.214(b)(3) prohibits project owners from charging fees (such as a laundry room access fee) that are not customary in rental housing.  This Section, however, allows:
   (1) Reasonable application fees to prospective tenants.
   (2) Parking fees for tenants only if such fees are customary for rental housing projects
        in the neighborhood.
   (3) Fees for services such as bus transportation or meals, as long as the services are 
        voluntary and fees are charged for services provided.</t>
    </r>
  </si>
  <si>
    <t>Below, discuss any fees that the project owner proposes to charge, demonstrating that the owner's proposal complies with the Final Rule.</t>
  </si>
  <si>
    <t>Below, discuss your assessment of current market demand.</t>
  </si>
  <si>
    <t>Below, discuss your assessment of developer experience.</t>
  </si>
  <si>
    <t>Below, discuss your assessment of developer financial capacity.</t>
  </si>
  <si>
    <r>
      <t>PJ Assessment of Current Market Demand.</t>
    </r>
    <r>
      <rPr>
        <sz val="12"/>
        <rFont val="Verdana"/>
        <family val="2"/>
      </rPr>
      <t xml:space="preserve">  Section 92.250(b)(2) requires the PJ to assess the current market demand in the neighborhood in which the project will be located, before committing HOME funds.</t>
    </r>
  </si>
  <si>
    <r>
      <t>PJ Assessment of Developer Experience.</t>
    </r>
    <r>
      <rPr>
        <sz val="12"/>
        <rFont val="Verdana"/>
        <family val="2"/>
      </rPr>
      <t xml:space="preserve">  Section 92.250(b)(2) requires the PJ to assess the experience of the developer, before committing HOME funds.</t>
    </r>
  </si>
  <si>
    <r>
      <t>PJ Assessment of Developer Financial Capacity.</t>
    </r>
    <r>
      <rPr>
        <sz val="12"/>
        <rFont val="Verdana"/>
        <family val="2"/>
      </rPr>
      <t xml:space="preserve">  Section 92.250(b)(2) requires the PJ to assess the financial capacity of the developer, before committing HOME funds.  
This encompasses the developer's ability to uphold its financial responsibilities such as capacity to absorb cost overruns, capacity to perform on any financial guarantees, and capacity to provide any equity the developer has committed to provide to the project.</t>
    </r>
  </si>
  <si>
    <t>Below, discuss your assessment of firm written financial commitments for the project.</t>
  </si>
  <si>
    <r>
      <t>Firm Financial Commitments in Writing.</t>
    </r>
    <r>
      <rPr>
        <sz val="12"/>
        <rFont val="Verdana"/>
        <family val="2"/>
      </rPr>
      <t xml:space="preserve">  Section 92.250(b)(2) requires the PJ to obtain and assess firm written financial commitments for the project before committing HOME funds.
This encompasses all sources of funds other than HOME funds, including construction period sources of funds such as a construction loan or bridge loan.  For bond-financed projects, this includes the issuing agency's commitment to issue the bonds and the bond purchaser's commitment to purchase the bonds.  For projects utilizing tax credits, this includes the allocating agency's reservation of tax credits and the equity provider's commitment to purchase the tax credits.</t>
    </r>
  </si>
  <si>
    <r>
      <t>Project-Specific Utility Allowances.</t>
    </r>
    <r>
      <rPr>
        <sz val="12"/>
        <rFont val="Verdana"/>
        <family val="2"/>
      </rPr>
      <t xml:space="preserve">  Section 92.252(d) requires the PJ to establish project-specific utility allowances, using either the HUD Utility Schedule Model or another appropriate method.
This Section also requires the PJ to update the utility allowances annually.</t>
    </r>
  </si>
  <si>
    <t>Below, discuss how you established the utility allowances and your plans for annual updates.</t>
  </si>
  <si>
    <r>
      <t>Fixed versus Floating Units.</t>
    </r>
    <r>
      <rPr>
        <sz val="12"/>
        <rFont val="Verdana"/>
        <family val="2"/>
      </rPr>
      <t xml:space="preserve">  For rental projects in which less than 100% of the units are HOME-assisted, Section 92.252(j) requires the PJ to make the fixed-versus-floating designation at the time of project commitment, in the written agreement.
This Section also requires that the specific HOME units be identified not later than the time of initial unit occupancy.
Fixed units must remain the same throughout the period of affordability.  Floating units may be changed, but (1) the total number of HOME-assisted units must remain constant, and (2) each substituted unit must be comparable to the originally designated unit (in terms of size, features and number of bedrooms).</t>
    </r>
  </si>
  <si>
    <t>Below, discuss your fixed-floating determination and how compliance with 92.252(j) will be documented.</t>
  </si>
  <si>
    <r>
      <t xml:space="preserve">Upon completing review of this tab, proceed to the </t>
    </r>
    <r>
      <rPr>
        <i/>
        <sz val="10"/>
        <rFont val="Verdana"/>
        <family val="2"/>
      </rPr>
      <t>Administrative Record</t>
    </r>
    <r>
      <rPr>
        <sz val="10"/>
        <rFont val="Verdana"/>
        <family val="2"/>
      </rPr>
      <t xml:space="preserve"> tab.</t>
    </r>
  </si>
  <si>
    <t>Below, please include any comments about the construction schedule</t>
  </si>
  <si>
    <t>Below, please explain why you believe that construction will start within twelve months.  Please address each of the primary risks discussed above.</t>
  </si>
  <si>
    <t>Hard cost contingency</t>
  </si>
  <si>
    <t>Soft cost contingency</t>
  </si>
  <si>
    <t>Soft costs before contingency</t>
  </si>
  <si>
    <t>Hard cost before contingency</t>
  </si>
  <si>
    <t>Initial reserves</t>
  </si>
  <si>
    <t>GR / BO / BP</t>
  </si>
  <si>
    <t>Developer fee (gross)</t>
  </si>
  <si>
    <t>Below, please discuss the current state of (1) plans and specs and (2) the construction contract.  Discuss whether the contractor is bonded.</t>
  </si>
  <si>
    <r>
      <t>Adequacy of the Development Budget and Risk of Cost Increases.</t>
    </r>
    <r>
      <rPr>
        <sz val="12"/>
        <rFont val="Verdana"/>
        <family val="2"/>
      </rPr>
      <t xml:space="preserve">  Experience indicates that the primary risk of delay in starting construction is unanticipated escalation in development costs, to the extent that the sponsor has to seek additional funding.  The three lines above present key information about the development budget, about available contingency allowances, and about the developer fee (which -- if not already deferred -- can provide additional ability to absorb cost increases).
The risk of cost increases is most significant early in the development process.  Once the plans and specifications are completed and there is a firm-fixed-price construction contract, there is a lower risk of increases in </t>
    </r>
    <r>
      <rPr>
        <u/>
        <sz val="12"/>
        <rFont val="Verdana"/>
        <family val="2"/>
      </rPr>
      <t>hard</t>
    </r>
    <r>
      <rPr>
        <sz val="12"/>
        <rFont val="Verdana"/>
        <family val="2"/>
      </rPr>
      <t xml:space="preserve"> costs.  However, even if there is a performance bond, there is still the risk of hard cost increases due to change orders.  The risk of increases in </t>
    </r>
    <r>
      <rPr>
        <u/>
        <sz val="12"/>
        <rFont val="Verdana"/>
        <family val="2"/>
      </rPr>
      <t>soft</t>
    </r>
    <r>
      <rPr>
        <sz val="12"/>
        <rFont val="Verdana"/>
        <family val="2"/>
      </rPr>
      <t xml:space="preserve"> costs depends on how many of the soft costs are subject to firm-fixed-price contracts. Construction period interest costs will run over budget whenever construction takes longer than anticipated.  Even if there is no construction loan or bridge loan, additional construction time typically results in increased soft costs of some sort.</t>
    </r>
  </si>
  <si>
    <t>Below, please discuss the adequacy of the development budget, the risk of cost increases, and why you are confident that even with moderately severe increases in development cost, the project is still likely to go forward on schedule.</t>
  </si>
  <si>
    <r>
      <t>Construction to Start Within Twelve Months.</t>
    </r>
    <r>
      <rPr>
        <sz val="12"/>
        <rFont val="Verdana"/>
        <family val="2"/>
      </rPr>
      <t xml:space="preserve">  The HOME Final Rule definition of </t>
    </r>
    <r>
      <rPr>
        <i/>
        <sz val="12"/>
        <rFont val="Verdana"/>
        <family val="2"/>
      </rPr>
      <t>commitment</t>
    </r>
    <r>
      <rPr>
        <sz val="12"/>
        <rFont val="Verdana"/>
        <family val="2"/>
      </rPr>
      <t xml:space="preserve"> specifies that construction must be scheduled to start within twelve months after the date of the written agreement between the PJ and the project sponsor.
Experience indicates that the primary risks of delay in starting construction are (1) unanticipated increases in development cost requiring increased sources of funds; (2) unanticipated difficulties in finalizing non-HOME sources of funds; and (3) unanticipated difficulties with zoning, building permits and other entitlements.</t>
    </r>
  </si>
  <si>
    <t xml:space="preserve">    See the Note below</t>
  </si>
  <si>
    <t>On the Rents and Income tab, for each unit type you will be able to select the most restrictive rent limit (for example, High HOME or Market or Project Based Section 8) and a set of utility allowances.  You will also be able to underwrite, for each unit type, less than 100% of the applicable rent limit (for example, you can underwrite 95% of the High HOME rent instead of 100% if you choose).
Below are several sections in which you can enter the gross rents (rent plus tenant-paid utilities) and utility allowances for affordable housing programs other than HOME.  Examples might include Low Income Housing Tax Credit (LIHTC) units restricted at 60% AMI rents, LIHTC units restricted at 50% AMI rents, CDBG units, and project-based Section 8 units.
If multiple programs use the same utility allowances (for example, LIHTC 60% and 50% and 40% AMI), you might choose to enter the utility allowances only once in the sections below.</t>
  </si>
  <si>
    <t>The table of gross rents below is automatically created based on your entries on this tab.  This table is used on the Rents and Income tab.</t>
  </si>
  <si>
    <t>The table of utility allowances below is automatically created based on your entries on this tab.  This table is used on the Rents and Income tab.</t>
  </si>
  <si>
    <t>Component</t>
  </si>
  <si>
    <t>Other construction milestone #1</t>
  </si>
  <si>
    <t>Other construction milestone #2</t>
  </si>
  <si>
    <t>Other construction milestone #3</t>
  </si>
  <si>
    <t>Other construction milestone #4</t>
  </si>
  <si>
    <t>Use one of the two radio buttons below, to set the number of years in the Operating Pro Forma tab.</t>
  </si>
  <si>
    <t xml:space="preserve">Users may find it helpful to review the HOME Underwriting and Subsidy Layering Notice, CPD 15-11.  This template does not cover all elements of the Notice requirements.  </t>
  </si>
  <si>
    <t>For HOME rental projects involving rehabilitation, Section 92.250(b)(1) of the HOME Final Rule requires the PJ to estimate the long term capital needs of the project and to determine a replacement reserve funding approach that will allow 100% of estimated long term capital needs -- over the HOME period of affordability -- to be funded from the replacement reserve.  If the project has 26 total units or more, the PJ must require a capital needs assessment.  These requirements must be included in the PJ's underwriting standards for rental projects involving rehabilitation.
There is no similar requirement for new construction rental projects, but it would be a best practice for PJs to include a similar requirement in the PJ's underwriting standards for new construction rental projects.</t>
  </si>
  <si>
    <t xml:space="preserve">Underwriting is the process of determining the financial feasibility and the terms of a project.  The objective of underwriting is to determine whether the ongoing revenues from a property will be sufficient to cover construction and operating costs to ensure that property will be sustainable for the specific period of affordability.  There is no one “right” way to do underwriting.  However, across all approaches, there are some common elements:
• Review of costs for constructing the project in order to determine both reasonableness and eligibility.  
• Review of the sources of financing for the project.
• Review the projected profitability and financial health of the project.
• Establish the financing and operating terms.
</t>
  </si>
  <si>
    <t xml:space="preserve">The HOME Multi-Family Underwriting Template is composed of several interrelated Excel tabs, which are accessible by tabs found at the bottom of the Excel screen.  Open the Template in Excel and look along the bottom of the screen.  You will see a set of tabs reading:
• Intro
• Requirements
• Rents and Income
• Development Costs
• Repl Reserve
• Const Schedule
• LIHTC Basis
• Operating Expenses
• First Mortgage Sizing
• Sources and Uses
• Pro Forma Assumptions
• Operating Pro-Forma
• Administrative Record
• Summary
</t>
  </si>
  <si>
    <t xml:space="preserve">For each loan below, the Template asks 'Is this loan funded by the HOME program?'.  The Template uses your answers to calculate the total amount of proposed HOME funding, recognizing that you may be planning multiple types of HOME funding (for example, a first mortgage loan with required monthly payments plus a soft second mortgage loan with payments limited to a share of cash flow).  Later, on the Sources and Uses tab, you will verify that the proposed total HOME funding does not exceed the project's funding gap.  </t>
  </si>
  <si>
    <t>In this template, the underwriter enters all proposed Sources of Funds (including HOME) on this tab (other than those that were already entered on the First Mortgage Sizing tab).  The Uses of Funds are repeated below (from the Development Costs tab).  Then the template verifies whether the Sources and Uses are in balance; be sure that Sources and Uses are balanced before moving forward.  If there are insufficient Sources, potential solutions include deferring a greater portion of the developer fee, increasing HOME funding, and obtaining increased funding from some other source.  If there are excess Sources, the HOME underwriter should consider reducing the proposed HOME funding.
PJs must perform cost allocation separately from this tool to verify that the proposed amount of HOME funding is within the allowable maximum HOME investment.</t>
  </si>
  <si>
    <r>
      <t xml:space="preserve">Upon completing this tab, proceed to Pro Forma Assumptions </t>
    </r>
    <r>
      <rPr>
        <sz val="10"/>
        <rFont val="Arial"/>
        <family val="2"/>
      </rPr>
      <t>tab.</t>
    </r>
  </si>
  <si>
    <t xml:space="preserve">Below, discuss the cost allocation and designation of HOME assisted units within the project.  </t>
  </si>
  <si>
    <t>This template does not include cost allocation which must be completed separately by the PJ to allocate costs and designate the number of HOME units.  Users should refer to the guidance provided in CPD Notice 16-15 and utilize the HOME cost allocation tool available at the following links: https://www.hudexchange.info/resources/documents/Notice-CPD-16-15-Allocating-Eligible-Costs-and-Identifying-HOME-Assisted-Units-in-Multi-Unit-HOME-Rental-and-Homeownership-Development-Projects.pdf, and https://www.hudexchange.info/resource/5190/home-cost-allocation-tool/ for guidance on allocating costs and determining maximum investment and minimum HOME units.”</t>
  </si>
  <si>
    <t>While HOME funds are an indispensable resource for many affordable housing projects, they come with requirements that can also influence a project’s finances.  To ensure that a portion of the housing units created when HOME funds are invested will remain available to low-income and very-low-income households, rents for these units are limited for a specified period to affordable levels appropriate to the project's geographic area.  These HOME rent limits may impact the amount of income generated by the property, which in turn can influence the amount and availability of private and other public funding resources for the project.</t>
  </si>
  <si>
    <r>
      <t xml:space="preserve">Cost Allocation. </t>
    </r>
    <r>
      <rPr>
        <sz val="12"/>
        <rFont val="Verdana"/>
        <family val="2"/>
      </rPr>
      <t>Section 92.205(d)(1) and the guidance in Notice 16-15 prescribes methods for allocating costs and the designation of HOME units within a project.  PJs must perform cost allocation separately from this tool to verify that the proposed amount of HOME funding is within the allowable maximum HOME investment.  Attach the completed cost allocation to this document and note any issues within the below narrative.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</si>
</sst>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 ;\(#,##0\)"/>
    <numFmt numFmtId="165" formatCode="0.0%"/>
    <numFmt numFmtId="166" formatCode="0_);[Red]\(0\)"/>
    <numFmt numFmtId="167" formatCode="0.00_);[Red]\(0.00\)"/>
    <numFmt numFmtId="168" formatCode="mm/dd/yy"/>
    <numFmt numFmtId="169" formatCode="_(&quot;$&quot;* #,##0_);_(&quot;$&quot;* \(#,##0\);_(&quot;$&quot;* &quot;-&quot;??_);_(@_)"/>
    <numFmt numFmtId="170" formatCode="0.000%"/>
    <numFmt numFmtId="171" formatCode="&quot;$&quot;#,##0"/>
    <numFmt numFmtId="172" formatCode="0.00000%"/>
    <numFmt numFmtId="173" formatCode="&quot;$&quot;#,##0.000_);[Red]\(&quot;$&quot;#,##0.000\)"/>
    <numFmt numFmtId="174" formatCode="_(* #,##0.0_);_(* \(#,##0.0\);_(* &quot;-&quot;_);_(@_)"/>
    <numFmt numFmtId="175" formatCode="0.0"/>
    <numFmt numFmtId="176" formatCode="mmmm\ d\,\ yyyy"/>
    <numFmt numFmtId="177" formatCode="0.0_);[Red]\(0.0\)"/>
  </numFmts>
  <fonts count="78" x14ac:knownFonts="1">
    <font>
      <sz val="10"/>
      <name val="Arial"/>
    </font>
    <font>
      <b/>
      <sz val="10"/>
      <name val="Arial"/>
      <family val="2"/>
    </font>
    <font>
      <sz val="10"/>
      <name val="Arial"/>
      <family val="2"/>
    </font>
    <font>
      <sz val="12"/>
      <name val="Times New Roman"/>
      <family val="1"/>
    </font>
    <font>
      <b/>
      <sz val="14"/>
      <name val="Times New Roman"/>
      <family val="1"/>
    </font>
    <font>
      <b/>
      <sz val="18"/>
      <name val="Times New Roman"/>
      <family val="1"/>
    </font>
    <font>
      <sz val="10"/>
      <name val="Times New Roman"/>
      <family val="1"/>
    </font>
    <font>
      <b/>
      <sz val="10"/>
      <name val="Arial"/>
      <family val="2"/>
    </font>
    <font>
      <sz val="10"/>
      <name val="Arial"/>
      <family val="2"/>
    </font>
    <font>
      <sz val="10"/>
      <name val="Arial"/>
      <family val="2"/>
    </font>
    <font>
      <sz val="12"/>
      <name val="Arial"/>
      <family val="2"/>
    </font>
    <font>
      <b/>
      <sz val="10"/>
      <color indexed="81"/>
      <name val="Tahoma"/>
      <family val="2"/>
    </font>
    <font>
      <u/>
      <sz val="14"/>
      <name val="Arial"/>
      <family val="2"/>
    </font>
    <font>
      <b/>
      <sz val="8"/>
      <color indexed="81"/>
      <name val="Tahoma"/>
      <family val="2"/>
    </font>
    <font>
      <b/>
      <sz val="14"/>
      <name val="Verdana"/>
      <family val="2"/>
    </font>
    <font>
      <b/>
      <sz val="18"/>
      <name val="Verdana"/>
      <family val="2"/>
    </font>
    <font>
      <sz val="18"/>
      <name val="Verdana"/>
      <family val="2"/>
    </font>
    <font>
      <sz val="12"/>
      <name val="Verdana"/>
      <family val="2"/>
    </font>
    <font>
      <sz val="14"/>
      <name val="Verdana"/>
      <family val="2"/>
    </font>
    <font>
      <sz val="10"/>
      <name val="Verdana"/>
      <family val="2"/>
    </font>
    <font>
      <b/>
      <sz val="12"/>
      <name val="Verdana"/>
      <family val="2"/>
    </font>
    <font>
      <b/>
      <sz val="10"/>
      <name val="Verdana"/>
      <family val="2"/>
    </font>
    <font>
      <i/>
      <sz val="10"/>
      <name val="Verdana"/>
      <family val="2"/>
    </font>
    <font>
      <b/>
      <sz val="10"/>
      <color indexed="17"/>
      <name val="Verdana"/>
      <family val="2"/>
    </font>
    <font>
      <b/>
      <u/>
      <sz val="12"/>
      <name val="Verdana"/>
      <family val="2"/>
    </font>
    <font>
      <sz val="8"/>
      <name val="Verdana"/>
      <family val="2"/>
    </font>
    <font>
      <b/>
      <sz val="9"/>
      <name val="Verdana"/>
      <family val="2"/>
    </font>
    <font>
      <b/>
      <i/>
      <sz val="10"/>
      <name val="Verdana"/>
      <family val="2"/>
    </font>
    <font>
      <u/>
      <sz val="12"/>
      <name val="Verdana"/>
      <family val="2"/>
    </font>
    <font>
      <sz val="12"/>
      <color indexed="12"/>
      <name val="Verdana"/>
      <family val="2"/>
    </font>
    <font>
      <sz val="10"/>
      <color indexed="9"/>
      <name val="Verdana"/>
      <family val="2"/>
    </font>
    <font>
      <b/>
      <sz val="10"/>
      <color indexed="9"/>
      <name val="Verdana"/>
      <family val="2"/>
    </font>
    <font>
      <b/>
      <sz val="10"/>
      <name val="Arial Narrow"/>
      <family val="2"/>
    </font>
    <font>
      <sz val="10"/>
      <name val="Arial Narrow"/>
      <family val="2"/>
    </font>
    <font>
      <sz val="12"/>
      <name val="Arial Narrow"/>
      <family val="2"/>
    </font>
    <font>
      <b/>
      <sz val="11"/>
      <color theme="1"/>
      <name val="Calibri"/>
      <family val="2"/>
      <scheme val="minor"/>
    </font>
    <font>
      <b/>
      <u/>
      <sz val="10"/>
      <name val="Verdana"/>
      <family val="2"/>
    </font>
    <font>
      <b/>
      <sz val="10"/>
      <color rgb="FFFF0000"/>
      <name val="Verdana"/>
      <family val="2"/>
    </font>
    <font>
      <b/>
      <sz val="10"/>
      <color rgb="FFFF0000"/>
      <name val="Arial"/>
      <family val="2"/>
    </font>
    <font>
      <sz val="12"/>
      <name val="Calibri"/>
      <family val="2"/>
    </font>
    <font>
      <b/>
      <sz val="12"/>
      <color rgb="FFFF0000"/>
      <name val="Verdana"/>
      <family val="2"/>
    </font>
    <font>
      <b/>
      <sz val="10"/>
      <color rgb="FF00B050"/>
      <name val="Verdana"/>
      <family val="2"/>
    </font>
    <font>
      <b/>
      <sz val="12"/>
      <color rgb="FFFF0000"/>
      <name val="Times New Roman"/>
      <family val="1"/>
    </font>
    <font>
      <b/>
      <sz val="10"/>
      <color theme="0"/>
      <name val="Arial"/>
      <family val="2"/>
    </font>
    <font>
      <sz val="8"/>
      <color indexed="81"/>
      <name val="Tahoma"/>
      <family val="2"/>
    </font>
    <font>
      <sz val="9"/>
      <name val="Verdana"/>
      <family val="2"/>
    </font>
    <font>
      <b/>
      <sz val="10"/>
      <color indexed="81"/>
      <name val="Verdana"/>
      <family val="2"/>
    </font>
    <font>
      <sz val="10"/>
      <color theme="0"/>
      <name val="Arial"/>
      <family val="2"/>
    </font>
    <font>
      <b/>
      <sz val="10"/>
      <color theme="0"/>
      <name val="Arial Narrow"/>
      <family val="2"/>
    </font>
    <font>
      <sz val="9"/>
      <color indexed="81"/>
      <name val="Tahoma"/>
      <family val="2"/>
    </font>
    <font>
      <b/>
      <sz val="9"/>
      <color indexed="81"/>
      <name val="Tahoma"/>
      <family val="2"/>
    </font>
    <font>
      <b/>
      <u/>
      <sz val="8"/>
      <color indexed="81"/>
      <name val="Tahoma"/>
      <family val="2"/>
    </font>
    <font>
      <sz val="12"/>
      <color rgb="FF000000"/>
      <name val="Times New Roman"/>
      <family val="1"/>
    </font>
    <font>
      <sz val="10"/>
      <color rgb="FF000000"/>
      <name val="Arial"/>
      <family val="2"/>
    </font>
    <font>
      <b/>
      <sz val="8"/>
      <name val="Verdana"/>
      <family val="2"/>
    </font>
    <font>
      <sz val="8"/>
      <name val="Arial"/>
      <family val="2"/>
    </font>
    <font>
      <b/>
      <sz val="8"/>
      <name val="Arial"/>
      <family val="2"/>
    </font>
    <font>
      <b/>
      <sz val="12"/>
      <color rgb="FFC00000"/>
      <name val="Times New Roman"/>
      <family val="1"/>
    </font>
    <font>
      <b/>
      <sz val="14"/>
      <color rgb="FFC00000"/>
      <name val="Times New Roman"/>
      <family val="1"/>
    </font>
    <font>
      <b/>
      <sz val="10"/>
      <color rgb="FFC00000"/>
      <name val="Arial"/>
      <family val="2"/>
    </font>
    <font>
      <b/>
      <sz val="10"/>
      <color rgb="FFC00000"/>
      <name val="Times New Roman"/>
      <family val="1"/>
    </font>
    <font>
      <b/>
      <sz val="10"/>
      <color rgb="FFC00000"/>
      <name val="Verdana"/>
      <family val="2"/>
    </font>
    <font>
      <i/>
      <sz val="14"/>
      <name val="Verdana"/>
      <family val="2"/>
    </font>
    <font>
      <b/>
      <sz val="12"/>
      <color rgb="FFC00000"/>
      <name val="Verdana"/>
      <family val="2"/>
    </font>
    <font>
      <i/>
      <sz val="12"/>
      <name val="Verdana"/>
      <family val="2"/>
    </font>
    <font>
      <b/>
      <sz val="10"/>
      <color rgb="FFC00000"/>
      <name val="Arial Narrow"/>
      <family val="2"/>
    </font>
    <font>
      <b/>
      <sz val="10"/>
      <color theme="0"/>
      <name val="Verdana"/>
      <family val="2"/>
    </font>
    <font>
      <b/>
      <sz val="10"/>
      <color rgb="FF00B050"/>
      <name val="Arial"/>
      <family val="2"/>
    </font>
    <font>
      <sz val="12"/>
      <color theme="0"/>
      <name val="Verdana"/>
      <family val="2"/>
    </font>
    <font>
      <sz val="10"/>
      <color theme="0"/>
      <name val="Verdana"/>
      <family val="2"/>
    </font>
    <font>
      <u/>
      <sz val="9"/>
      <color indexed="81"/>
      <name val="Tahoma"/>
      <family val="2"/>
    </font>
    <font>
      <b/>
      <i/>
      <sz val="12"/>
      <color rgb="FFFF0000"/>
      <name val="Verdana"/>
      <family val="2"/>
    </font>
    <font>
      <sz val="9"/>
      <name val="Arial"/>
      <family val="2"/>
    </font>
    <font>
      <u/>
      <sz val="10"/>
      <name val="Verdana"/>
      <family val="2"/>
    </font>
    <font>
      <b/>
      <sz val="18"/>
      <color rgb="FFFF0000"/>
      <name val="Verdana"/>
      <family val="2"/>
    </font>
    <font>
      <sz val="14"/>
      <name val="Arial"/>
      <family val="2"/>
    </font>
    <font>
      <b/>
      <i/>
      <sz val="10"/>
      <color rgb="FFFF0000"/>
      <name val="Arial Narrow"/>
      <family val="2"/>
    </font>
    <font>
      <b/>
      <sz val="10"/>
      <color rgb="FF000000"/>
      <name val="Arial"/>
      <family val="2"/>
    </font>
  </fonts>
  <fills count="1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indexed="8"/>
        <bgColor indexed="64"/>
      </patternFill>
    </fill>
    <fill>
      <patternFill patternType="solid">
        <fgColor indexed="47"/>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FFC000"/>
        <bgColor indexed="64"/>
      </patternFill>
    </fill>
    <fill>
      <patternFill patternType="solid">
        <fgColor rgb="FF00B0F0"/>
        <bgColor indexed="64"/>
      </patternFill>
    </fill>
    <fill>
      <patternFill patternType="solid">
        <fgColor rgb="FFCCFFCC"/>
        <bgColor indexed="64"/>
      </patternFill>
    </fill>
    <fill>
      <patternFill patternType="solid">
        <fgColor rgb="FFE3E3E3"/>
        <bgColor indexed="64"/>
      </patternFill>
    </fill>
    <fill>
      <patternFill patternType="solid">
        <fgColor rgb="FF00B050"/>
        <bgColor indexed="64"/>
      </patternFill>
    </fill>
  </fills>
  <borders count="36">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783">
    <xf numFmtId="0" fontId="0" fillId="0" borderId="0" xfId="0"/>
    <xf numFmtId="0" fontId="3" fillId="0" borderId="0" xfId="0" applyFont="1"/>
    <xf numFmtId="0" fontId="4" fillId="0" borderId="0" xfId="0" applyFont="1"/>
    <xf numFmtId="0" fontId="8" fillId="0" borderId="0" xfId="0" applyFont="1"/>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center" vertical="center"/>
    </xf>
    <xf numFmtId="0" fontId="6" fillId="0" borderId="0" xfId="0" applyFont="1" applyAlignment="1">
      <alignment vertical="center"/>
    </xf>
    <xf numFmtId="0" fontId="9" fillId="0" borderId="0" xfId="0" applyFont="1" applyAlignment="1">
      <alignment vertical="center"/>
    </xf>
    <xf numFmtId="0" fontId="3" fillId="0" borderId="0" xfId="0" applyFont="1" applyAlignment="1">
      <alignment vertical="center"/>
    </xf>
    <xf numFmtId="0" fontId="0" fillId="0" borderId="0" xfId="0" applyAlignment="1">
      <alignment horizontal="center" vertical="center"/>
    </xf>
    <xf numFmtId="0" fontId="5" fillId="0" borderId="0" xfId="0" applyFont="1" applyAlignment="1">
      <alignment horizontal="left" vertical="center"/>
    </xf>
    <xf numFmtId="0" fontId="8" fillId="0" borderId="0" xfId="0" applyFont="1" applyFill="1" applyBorder="1"/>
    <xf numFmtId="0" fontId="8" fillId="0" borderId="0" xfId="0" applyFont="1" applyFill="1" applyAlignment="1">
      <alignment vertical="center"/>
    </xf>
    <xf numFmtId="0" fontId="0" fillId="0" borderId="0" xfId="0" applyFill="1" applyAlignment="1">
      <alignment vertical="center"/>
    </xf>
    <xf numFmtId="0" fontId="7" fillId="0" borderId="0" xfId="0" applyFont="1" applyAlignment="1">
      <alignment vertical="center"/>
    </xf>
    <xf numFmtId="0" fontId="0" fillId="0" borderId="0" xfId="0" applyAlignment="1">
      <alignment horizontal="center"/>
    </xf>
    <xf numFmtId="0" fontId="0" fillId="0" borderId="0" xfId="0" applyBorder="1"/>
    <xf numFmtId="42" fontId="0" fillId="0" borderId="0" xfId="0" applyNumberFormat="1" applyAlignment="1">
      <alignment vertical="center"/>
    </xf>
    <xf numFmtId="0" fontId="8" fillId="0" borderId="0" xfId="0" applyFont="1" applyFill="1" applyBorder="1" applyAlignment="1">
      <alignment vertical="center"/>
    </xf>
    <xf numFmtId="0" fontId="0" fillId="0" borderId="0" xfId="0" applyFill="1" applyBorder="1" applyAlignment="1">
      <alignment vertical="center"/>
    </xf>
    <xf numFmtId="0" fontId="8" fillId="0" borderId="0" xfId="0" applyFont="1" applyBorder="1" applyAlignment="1">
      <alignment vertical="center"/>
    </xf>
    <xf numFmtId="10" fontId="10" fillId="0" borderId="0" xfId="0" applyNumberFormat="1" applyFont="1" applyBorder="1" applyAlignment="1">
      <alignment horizontal="left" vertical="center"/>
    </xf>
    <xf numFmtId="0" fontId="12" fillId="0" borderId="0" xfId="0" applyFont="1" applyAlignment="1">
      <alignment vertical="center"/>
    </xf>
    <xf numFmtId="0" fontId="0" fillId="0" borderId="0" xfId="0" applyBorder="1" applyAlignment="1">
      <alignment vertical="center"/>
    </xf>
    <xf numFmtId="0" fontId="8" fillId="0" borderId="0" xfId="0" applyFont="1" applyBorder="1" applyAlignment="1">
      <alignment horizontal="center" vertical="center"/>
    </xf>
    <xf numFmtId="0" fontId="8" fillId="0" borderId="0" xfId="0" applyFont="1" applyFill="1" applyProtection="1"/>
    <xf numFmtId="0" fontId="8" fillId="0" borderId="0" xfId="0" applyFont="1" applyProtection="1"/>
    <xf numFmtId="0" fontId="8" fillId="0" borderId="0" xfId="0" applyFont="1" applyBorder="1" applyProtection="1"/>
    <xf numFmtId="0" fontId="14" fillId="0" borderId="0" xfId="0" applyFont="1"/>
    <xf numFmtId="0" fontId="17" fillId="0" borderId="0" xfId="0" applyFont="1"/>
    <xf numFmtId="164" fontId="17" fillId="0" borderId="0" xfId="0" applyNumberFormat="1" applyFont="1" applyBorder="1" applyAlignment="1">
      <alignment horizontal="center"/>
    </xf>
    <xf numFmtId="0" fontId="19" fillId="0" borderId="0" xfId="0" applyFont="1" applyAlignment="1"/>
    <xf numFmtId="0" fontId="17" fillId="0" borderId="3" xfId="0" applyFont="1" applyBorder="1"/>
    <xf numFmtId="0" fontId="17" fillId="0" borderId="4" xfId="0" applyFont="1" applyFill="1" applyBorder="1" applyAlignment="1">
      <alignment horizontal="left"/>
    </xf>
    <xf numFmtId="0" fontId="17" fillId="0" borderId="5" xfId="0" applyFont="1" applyBorder="1"/>
    <xf numFmtId="0" fontId="17" fillId="0" borderId="6" xfId="0" applyFont="1" applyFill="1" applyBorder="1" applyAlignment="1">
      <alignment horizontal="left"/>
    </xf>
    <xf numFmtId="0" fontId="17" fillId="0" borderId="7" xfId="0" applyFont="1" applyBorder="1"/>
    <xf numFmtId="0" fontId="17" fillId="0" borderId="8" xfId="0" applyFont="1" applyFill="1" applyBorder="1" applyAlignment="1">
      <alignment horizontal="left"/>
    </xf>
    <xf numFmtId="0" fontId="17" fillId="0" borderId="0" xfId="0" applyFont="1" applyFill="1" applyBorder="1"/>
    <xf numFmtId="0" fontId="17" fillId="3" borderId="5" xfId="0" applyFont="1" applyFill="1" applyBorder="1"/>
    <xf numFmtId="0" fontId="20" fillId="3" borderId="0" xfId="0" applyFont="1" applyFill="1" applyBorder="1"/>
    <xf numFmtId="0" fontId="17" fillId="3" borderId="0" xfId="0" applyFont="1" applyFill="1" applyBorder="1"/>
    <xf numFmtId="0" fontId="17" fillId="3" borderId="9" xfId="0" applyFont="1" applyFill="1" applyBorder="1"/>
    <xf numFmtId="0" fontId="19" fillId="0" borderId="0" xfId="0" applyFont="1"/>
    <xf numFmtId="0" fontId="15" fillId="0" borderId="0" xfId="0" applyFont="1" applyAlignment="1">
      <alignment horizontal="left" vertical="center"/>
    </xf>
    <xf numFmtId="0" fontId="19" fillId="0" borderId="0" xfId="0" applyFont="1" applyAlignment="1">
      <alignment vertical="center"/>
    </xf>
    <xf numFmtId="0" fontId="23" fillId="0" borderId="0" xfId="0" applyFont="1" applyAlignment="1">
      <alignment horizontal="center" vertical="center" wrapText="1"/>
    </xf>
    <xf numFmtId="0" fontId="15" fillId="0" borderId="0" xfId="0" applyFont="1" applyAlignment="1">
      <alignment vertical="center"/>
    </xf>
    <xf numFmtId="0" fontId="24" fillId="0" borderId="0" xfId="0" applyFont="1" applyAlignment="1">
      <alignment vertical="center"/>
    </xf>
    <xf numFmtId="0" fontId="23" fillId="0" borderId="0" xfId="0" applyFont="1" applyAlignment="1">
      <alignment horizontal="left" vertical="center" wrapText="1"/>
    </xf>
    <xf numFmtId="0" fontId="21" fillId="0" borderId="0" xfId="0" applyFont="1" applyAlignment="1" applyProtection="1">
      <alignment vertical="center"/>
    </xf>
    <xf numFmtId="0" fontId="19" fillId="0" borderId="0" xfId="0" applyFont="1" applyAlignment="1">
      <alignment horizontal="center" vertical="center"/>
    </xf>
    <xf numFmtId="0" fontId="21" fillId="2" borderId="2" xfId="0" applyFont="1" applyFill="1" applyBorder="1" applyAlignment="1">
      <alignment horizontal="center" vertical="center" wrapText="1"/>
    </xf>
    <xf numFmtId="6" fontId="19" fillId="4" borderId="2" xfId="0" applyNumberFormat="1" applyFont="1" applyFill="1" applyBorder="1" applyAlignment="1" applyProtection="1">
      <alignment horizontal="center" vertical="center" wrapText="1"/>
      <protection locked="0"/>
    </xf>
    <xf numFmtId="6" fontId="19" fillId="0" borderId="0" xfId="0" applyNumberFormat="1" applyFont="1" applyFill="1" applyBorder="1" applyAlignment="1" applyProtection="1">
      <alignment horizontal="center" vertical="center" wrapText="1"/>
      <protection locked="0"/>
    </xf>
    <xf numFmtId="0" fontId="19" fillId="0" borderId="0" xfId="0" applyFont="1" applyAlignment="1" applyProtection="1">
      <alignment vertical="center"/>
      <protection locked="0"/>
    </xf>
    <xf numFmtId="0" fontId="19" fillId="0" borderId="0" xfId="0" applyFont="1" applyFill="1" applyBorder="1" applyAlignment="1">
      <alignment vertical="center"/>
    </xf>
    <xf numFmtId="41" fontId="19" fillId="0" borderId="0" xfId="0" applyNumberFormat="1" applyFont="1" applyFill="1" applyBorder="1" applyAlignment="1" applyProtection="1">
      <alignment horizontal="center" vertical="center"/>
      <protection locked="0"/>
    </xf>
    <xf numFmtId="0" fontId="17" fillId="0" borderId="0" xfId="0" applyFont="1" applyAlignment="1">
      <alignment vertical="center"/>
    </xf>
    <xf numFmtId="0" fontId="23" fillId="0" borderId="0" xfId="0" applyFont="1" applyAlignment="1">
      <alignment horizontal="center" vertical="center"/>
    </xf>
    <xf numFmtId="0" fontId="21" fillId="0" borderId="12" xfId="0" applyFont="1" applyFill="1" applyBorder="1" applyAlignment="1">
      <alignment horizontal="left" vertical="center" wrapText="1"/>
    </xf>
    <xf numFmtId="0" fontId="21" fillId="0" borderId="2" xfId="0" applyFont="1" applyFill="1" applyBorder="1" applyAlignment="1">
      <alignment horizontal="left" vertical="center" wrapText="1"/>
    </xf>
    <xf numFmtId="42" fontId="21" fillId="0" borderId="2" xfId="2" applyNumberFormat="1" applyFont="1" applyBorder="1" applyAlignment="1">
      <alignment horizontal="center" vertical="center"/>
    </xf>
    <xf numFmtId="0" fontId="21" fillId="0" borderId="0" xfId="0" applyFont="1" applyBorder="1" applyAlignment="1">
      <alignment horizontal="right" vertical="center"/>
    </xf>
    <xf numFmtId="0" fontId="21" fillId="0" borderId="0" xfId="0" applyFont="1" applyFill="1" applyBorder="1" applyAlignment="1">
      <alignment horizontal="center" vertical="center" wrapText="1"/>
    </xf>
    <xf numFmtId="9" fontId="17" fillId="0" borderId="0" xfId="3" applyFont="1" applyFill="1" applyBorder="1" applyAlignment="1">
      <alignment horizontal="center"/>
    </xf>
    <xf numFmtId="6" fontId="17" fillId="4" borderId="2" xfId="0" applyNumberFormat="1" applyFont="1" applyFill="1" applyBorder="1" applyAlignment="1" applyProtection="1">
      <alignment horizontal="center" vertical="center"/>
      <protection locked="0"/>
    </xf>
    <xf numFmtId="0" fontId="26" fillId="2" borderId="2" xfId="0" applyFont="1" applyFill="1" applyBorder="1" applyAlignment="1">
      <alignment horizontal="center" vertical="center" wrapText="1"/>
    </xf>
    <xf numFmtId="0" fontId="17" fillId="0" borderId="0" xfId="0" applyFont="1" applyAlignment="1">
      <alignment horizontal="center" vertical="center"/>
    </xf>
    <xf numFmtId="0" fontId="19" fillId="0" borderId="0" xfId="0" applyFont="1" applyAlignment="1">
      <alignment horizontal="center"/>
    </xf>
    <xf numFmtId="0" fontId="21" fillId="0" borderId="12" xfId="0" applyFont="1" applyBorder="1" applyAlignment="1">
      <alignment horizontal="left" vertical="top" wrapText="1"/>
    </xf>
    <xf numFmtId="0" fontId="19" fillId="0" borderId="2" xfId="0" applyFont="1" applyBorder="1" applyAlignment="1">
      <alignment horizontal="left" vertical="top" wrapText="1"/>
    </xf>
    <xf numFmtId="0" fontId="19" fillId="0" borderId="13" xfId="0" applyFont="1" applyBorder="1" applyProtection="1"/>
    <xf numFmtId="0" fontId="19" fillId="0" borderId="0" xfId="0" applyFont="1" applyBorder="1"/>
    <xf numFmtId="0" fontId="19" fillId="0" borderId="2" xfId="0" applyFont="1" applyFill="1" applyBorder="1" applyAlignment="1">
      <alignment horizontal="left" vertical="top" wrapText="1"/>
    </xf>
    <xf numFmtId="0" fontId="21" fillId="0" borderId="2" xfId="0" applyFont="1" applyBorder="1" applyAlignment="1">
      <alignment horizontal="left" vertical="center" wrapText="1"/>
    </xf>
    <xf numFmtId="0" fontId="21" fillId="0" borderId="2" xfId="0" applyFont="1" applyBorder="1" applyAlignment="1">
      <alignment horizontal="left" vertical="top" wrapText="1"/>
    </xf>
    <xf numFmtId="42" fontId="19" fillId="4" borderId="2" xfId="2" applyNumberFormat="1" applyFont="1" applyFill="1" applyBorder="1" applyAlignment="1" applyProtection="1">
      <alignment horizontal="left" vertical="center" wrapText="1"/>
      <protection locked="0"/>
    </xf>
    <xf numFmtId="0" fontId="19" fillId="0" borderId="0" xfId="0" applyFont="1" applyProtection="1"/>
    <xf numFmtId="0" fontId="19" fillId="0" borderId="0" xfId="0" applyFont="1" applyAlignment="1" applyProtection="1">
      <alignment horizontal="left"/>
    </xf>
    <xf numFmtId="0" fontId="19" fillId="0" borderId="0" xfId="0" applyFont="1" applyAlignment="1" applyProtection="1">
      <alignment horizontal="center"/>
    </xf>
    <xf numFmtId="0" fontId="19" fillId="0" borderId="0" xfId="0" applyFont="1" applyAlignment="1">
      <alignment horizontal="left"/>
    </xf>
    <xf numFmtId="0" fontId="19" fillId="0" borderId="13" xfId="0" applyFont="1" applyBorder="1" applyAlignment="1">
      <alignment horizontal="left" vertical="top" wrapText="1"/>
    </xf>
    <xf numFmtId="9" fontId="19" fillId="0" borderId="13" xfId="3" applyFont="1" applyFill="1" applyBorder="1" applyAlignment="1" applyProtection="1">
      <alignment horizontal="right" vertical="center"/>
    </xf>
    <xf numFmtId="0" fontId="19" fillId="0" borderId="0" xfId="0" applyFont="1" applyBorder="1" applyAlignment="1">
      <alignment horizontal="center"/>
    </xf>
    <xf numFmtId="164" fontId="20" fillId="2" borderId="2" xfId="0" applyNumberFormat="1" applyFont="1" applyFill="1" applyBorder="1" applyAlignment="1">
      <alignment horizontal="left" vertical="center"/>
    </xf>
    <xf numFmtId="0" fontId="21" fillId="0" borderId="0" xfId="0" applyFont="1" applyAlignment="1">
      <alignment wrapText="1"/>
    </xf>
    <xf numFmtId="0" fontId="23" fillId="0" borderId="14" xfId="0" applyFont="1" applyBorder="1" applyAlignment="1" applyProtection="1">
      <alignment horizontal="left" vertical="top" wrapText="1"/>
    </xf>
    <xf numFmtId="0" fontId="21" fillId="2" borderId="2" xfId="0" applyFont="1" applyFill="1" applyBorder="1" applyAlignment="1" applyProtection="1">
      <alignment horizontal="center" vertical="center" wrapText="1"/>
    </xf>
    <xf numFmtId="0" fontId="19" fillId="0" borderId="13" xfId="0" applyFont="1" applyFill="1" applyBorder="1" applyProtection="1">
      <protection locked="0"/>
    </xf>
    <xf numFmtId="0" fontId="19" fillId="0" borderId="0" xfId="0" applyFont="1" applyProtection="1">
      <protection locked="0"/>
    </xf>
    <xf numFmtId="0" fontId="15" fillId="0" borderId="0" xfId="0" applyFont="1" applyAlignment="1" applyProtection="1">
      <alignment horizontal="left" vertical="center"/>
    </xf>
    <xf numFmtId="0" fontId="19" fillId="0" borderId="0" xfId="0" applyFont="1" applyAlignment="1" applyProtection="1">
      <alignment vertical="center"/>
    </xf>
    <xf numFmtId="0" fontId="17" fillId="0" borderId="0" xfId="0" applyFont="1" applyAlignment="1" applyProtection="1">
      <alignment vertical="center"/>
    </xf>
    <xf numFmtId="0" fontId="17" fillId="0" borderId="2" xfId="0" applyFont="1" applyBorder="1" applyAlignment="1" applyProtection="1">
      <alignment vertical="center"/>
    </xf>
    <xf numFmtId="2" fontId="17" fillId="4" borderId="2" xfId="3" quotePrefix="1" applyNumberFormat="1" applyFont="1" applyFill="1" applyBorder="1" applyAlignment="1" applyProtection="1">
      <alignment horizontal="right" vertical="center"/>
      <protection locked="0"/>
    </xf>
    <xf numFmtId="165" fontId="17" fillId="4" borderId="2" xfId="3" quotePrefix="1" applyNumberFormat="1" applyFont="1" applyFill="1" applyBorder="1" applyAlignment="1" applyProtection="1">
      <alignment horizontal="right" vertical="center"/>
      <protection locked="0"/>
    </xf>
    <xf numFmtId="166" fontId="17" fillId="4" borderId="2" xfId="0" quotePrefix="1" applyNumberFormat="1" applyFont="1" applyFill="1" applyBorder="1" applyAlignment="1" applyProtection="1">
      <alignment horizontal="right" vertical="center"/>
      <protection locked="0"/>
    </xf>
    <xf numFmtId="49" fontId="17" fillId="4" borderId="2" xfId="0" applyNumberFormat="1" applyFont="1" applyFill="1" applyBorder="1" applyAlignment="1" applyProtection="1">
      <alignment horizontal="right" vertical="center"/>
      <protection locked="0"/>
    </xf>
    <xf numFmtId="0" fontId="19" fillId="0" borderId="0" xfId="0" applyFont="1" applyFill="1" applyAlignment="1" applyProtection="1">
      <alignment vertical="center"/>
    </xf>
    <xf numFmtId="6" fontId="17" fillId="4" borderId="2" xfId="0" applyNumberFormat="1" applyFont="1" applyFill="1" applyBorder="1" applyAlignment="1" applyProtection="1">
      <alignment horizontal="right" vertical="center"/>
      <protection locked="0"/>
    </xf>
    <xf numFmtId="1" fontId="17" fillId="4" borderId="2" xfId="3" quotePrefix="1" applyNumberFormat="1" applyFont="1" applyFill="1" applyBorder="1" applyAlignment="1" applyProtection="1">
      <alignment horizontal="right" vertical="center"/>
      <protection locked="0"/>
    </xf>
    <xf numFmtId="0" fontId="19" fillId="0" borderId="0" xfId="0" applyFont="1" applyBorder="1" applyAlignment="1" applyProtection="1">
      <alignment vertical="center"/>
    </xf>
    <xf numFmtId="1" fontId="17" fillId="0" borderId="0" xfId="3" quotePrefix="1" applyNumberFormat="1" applyFont="1" applyFill="1" applyBorder="1" applyAlignment="1" applyProtection="1">
      <alignment horizontal="right" vertical="center"/>
      <protection locked="0"/>
    </xf>
    <xf numFmtId="0" fontId="17" fillId="0" borderId="12" xfId="0" applyFont="1" applyBorder="1" applyAlignment="1" applyProtection="1">
      <alignment vertical="center"/>
    </xf>
    <xf numFmtId="8" fontId="19" fillId="0" borderId="0" xfId="0" applyNumberFormat="1" applyFont="1" applyAlignment="1" applyProtection="1">
      <alignment vertical="center"/>
    </xf>
    <xf numFmtId="5" fontId="17" fillId="0" borderId="0" xfId="0" applyNumberFormat="1" applyFont="1" applyFill="1" applyBorder="1" applyAlignment="1" applyProtection="1">
      <alignment horizontal="right" vertical="center"/>
    </xf>
    <xf numFmtId="0" fontId="17" fillId="0" borderId="17" xfId="0" applyFont="1" applyBorder="1" applyAlignment="1" applyProtection="1">
      <alignment vertical="center"/>
    </xf>
    <xf numFmtId="0" fontId="20" fillId="0" borderId="2" xfId="0" applyFont="1" applyBorder="1" applyAlignment="1" applyProtection="1">
      <alignment vertical="center"/>
    </xf>
    <xf numFmtId="0" fontId="17" fillId="0" borderId="2" xfId="0" applyFont="1" applyBorder="1" applyAlignment="1" applyProtection="1">
      <alignment vertical="top" wrapText="1"/>
    </xf>
    <xf numFmtId="0" fontId="15" fillId="0" borderId="0" xfId="0" applyFont="1" applyAlignment="1" applyProtection="1">
      <alignment horizontal="left" vertical="center" wrapText="1"/>
    </xf>
    <xf numFmtId="0" fontId="17" fillId="0" borderId="0" xfId="0" applyFont="1" applyProtection="1"/>
    <xf numFmtId="0" fontId="19" fillId="0" borderId="0" xfId="0" applyFont="1" applyFill="1" applyProtection="1"/>
    <xf numFmtId="3" fontId="20" fillId="0" borderId="0" xfId="0" applyNumberFormat="1" applyFont="1" applyBorder="1" applyAlignment="1">
      <alignment horizontal="center" vertical="center"/>
    </xf>
    <xf numFmtId="3" fontId="20" fillId="0" borderId="0" xfId="0" applyNumberFormat="1" applyFont="1" applyBorder="1" applyAlignment="1">
      <alignment horizontal="left" vertical="center"/>
    </xf>
    <xf numFmtId="0" fontId="17" fillId="0" borderId="0" xfId="0" applyFont="1" applyBorder="1" applyAlignment="1">
      <alignment horizontal="center" vertical="center"/>
    </xf>
    <xf numFmtId="0" fontId="19" fillId="0" borderId="0" xfId="0" applyFont="1" applyBorder="1" applyAlignment="1">
      <alignment vertical="center"/>
    </xf>
    <xf numFmtId="6" fontId="19" fillId="0" borderId="0" xfId="0" applyNumberFormat="1" applyFont="1" applyAlignment="1">
      <alignment horizontal="center" vertical="center"/>
    </xf>
    <xf numFmtId="5" fontId="17" fillId="0" borderId="0" xfId="0" applyNumberFormat="1" applyFont="1" applyFill="1" applyAlignment="1">
      <alignment vertical="center"/>
    </xf>
    <xf numFmtId="6" fontId="17" fillId="0" borderId="0" xfId="2" applyNumberFormat="1" applyFont="1" applyAlignment="1">
      <alignment horizontal="center" vertical="center"/>
    </xf>
    <xf numFmtId="170" fontId="19" fillId="0" borderId="0" xfId="0" applyNumberFormat="1" applyFont="1" applyAlignment="1">
      <alignment horizontal="center" vertical="center"/>
    </xf>
    <xf numFmtId="0" fontId="19" fillId="0" borderId="0" xfId="0" applyFont="1" applyBorder="1" applyAlignment="1">
      <alignment horizontal="center" vertical="center"/>
    </xf>
    <xf numFmtId="10" fontId="17" fillId="0" borderId="0" xfId="0" applyNumberFormat="1" applyFont="1" applyBorder="1" applyAlignment="1">
      <alignment horizontal="left" vertical="center"/>
    </xf>
    <xf numFmtId="10" fontId="17" fillId="0" borderId="14" xfId="0" applyNumberFormat="1" applyFont="1" applyBorder="1" applyAlignment="1">
      <alignment horizontal="left" vertical="center"/>
    </xf>
    <xf numFmtId="5" fontId="20" fillId="0" borderId="0" xfId="0" applyNumberFormat="1" applyFont="1" applyAlignment="1" applyProtection="1">
      <alignment vertical="center"/>
    </xf>
    <xf numFmtId="0" fontId="20" fillId="0" borderId="0" xfId="0" applyFont="1" applyAlignment="1" applyProtection="1">
      <alignment vertical="center"/>
    </xf>
    <xf numFmtId="0" fontId="30" fillId="5" borderId="21" xfId="0" applyFont="1" applyFill="1" applyBorder="1" applyProtection="1"/>
    <xf numFmtId="0" fontId="31" fillId="5" borderId="22" xfId="0" applyFont="1" applyFill="1" applyBorder="1" applyAlignment="1" applyProtection="1">
      <alignment horizontal="left"/>
    </xf>
    <xf numFmtId="0" fontId="19" fillId="5" borderId="22" xfId="0" applyFont="1" applyFill="1" applyBorder="1" applyProtection="1"/>
    <xf numFmtId="0" fontId="19" fillId="5" borderId="23" xfId="0" applyFont="1" applyFill="1" applyBorder="1" applyProtection="1"/>
    <xf numFmtId="0" fontId="19" fillId="0" borderId="5" xfId="0" applyFont="1" applyFill="1" applyBorder="1" applyProtection="1"/>
    <xf numFmtId="0" fontId="21" fillId="0" borderId="0" xfId="0" applyFont="1" applyFill="1" applyBorder="1" applyAlignment="1" applyProtection="1">
      <alignment horizontal="left"/>
    </xf>
    <xf numFmtId="0" fontId="19" fillId="0" borderId="0" xfId="0" applyFont="1" applyFill="1" applyBorder="1" applyProtection="1"/>
    <xf numFmtId="0" fontId="19" fillId="0" borderId="9" xfId="0" applyFont="1" applyFill="1" applyBorder="1" applyProtection="1"/>
    <xf numFmtId="0" fontId="19" fillId="0" borderId="5" xfId="0" applyFont="1" applyBorder="1" applyProtection="1"/>
    <xf numFmtId="0" fontId="19" fillId="0" borderId="2" xfId="0" applyFont="1" applyBorder="1" applyAlignment="1" applyProtection="1">
      <alignment horizontal="left" vertical="top" wrapText="1"/>
    </xf>
    <xf numFmtId="0" fontId="19" fillId="0" borderId="10" xfId="0" applyFont="1" applyBorder="1" applyProtection="1"/>
    <xf numFmtId="0" fontId="19" fillId="0" borderId="24" xfId="0" applyFont="1" applyBorder="1" applyAlignment="1" applyProtection="1">
      <alignment horizontal="left"/>
    </xf>
    <xf numFmtId="0" fontId="19" fillId="0" borderId="24" xfId="0" applyFont="1" applyBorder="1" applyAlignment="1" applyProtection="1"/>
    <xf numFmtId="0" fontId="19" fillId="0" borderId="24" xfId="0" applyFont="1" applyFill="1" applyBorder="1" applyAlignment="1" applyProtection="1"/>
    <xf numFmtId="0" fontId="19" fillId="0" borderId="24" xfId="0" applyFont="1" applyFill="1" applyBorder="1" applyProtection="1"/>
    <xf numFmtId="0" fontId="19" fillId="0" borderId="11" xfId="0" applyFont="1" applyFill="1" applyBorder="1" applyProtection="1"/>
    <xf numFmtId="0" fontId="19" fillId="0" borderId="0" xfId="0" applyFont="1" applyBorder="1" applyProtection="1"/>
    <xf numFmtId="0" fontId="19" fillId="0" borderId="0" xfId="0" applyFont="1" applyBorder="1" applyAlignment="1" applyProtection="1">
      <alignment horizontal="left"/>
    </xf>
    <xf numFmtId="0" fontId="19" fillId="0" borderId="0" xfId="0" applyFont="1" applyBorder="1" applyAlignment="1" applyProtection="1"/>
    <xf numFmtId="0" fontId="19" fillId="0" borderId="0" xfId="0" applyFont="1" applyFill="1" applyBorder="1" applyAlignment="1" applyProtection="1"/>
    <xf numFmtId="6" fontId="21" fillId="5" borderId="22" xfId="2" applyNumberFormat="1" applyFont="1" applyFill="1" applyBorder="1" applyAlignment="1" applyProtection="1">
      <alignment horizontal="center"/>
    </xf>
    <xf numFmtId="0" fontId="30" fillId="5" borderId="22" xfId="0" applyFont="1" applyFill="1" applyBorder="1" applyProtection="1"/>
    <xf numFmtId="0" fontId="30" fillId="5" borderId="23" xfId="0" applyFont="1" applyFill="1" applyBorder="1" applyProtection="1"/>
    <xf numFmtId="0" fontId="19" fillId="0" borderId="14" xfId="0" applyFont="1" applyBorder="1" applyProtection="1"/>
    <xf numFmtId="0" fontId="19" fillId="0" borderId="9" xfId="0" applyFont="1" applyBorder="1" applyProtection="1"/>
    <xf numFmtId="0" fontId="21" fillId="2" borderId="18" xfId="0" applyFont="1" applyFill="1" applyBorder="1" applyAlignment="1" applyProtection="1">
      <alignment horizontal="center" vertical="center" wrapText="1"/>
    </xf>
    <xf numFmtId="0" fontId="21" fillId="2" borderId="12" xfId="0" applyFont="1" applyFill="1" applyBorder="1" applyAlignment="1" applyProtection="1">
      <alignment horizontal="center" vertical="center" wrapText="1"/>
    </xf>
    <xf numFmtId="0" fontId="19" fillId="0" borderId="2" xfId="0" applyFont="1" applyBorder="1" applyAlignment="1" applyProtection="1">
      <alignment vertical="center"/>
    </xf>
    <xf numFmtId="49" fontId="19" fillId="0" borderId="2" xfId="0" applyNumberFormat="1" applyFont="1" applyBorder="1" applyAlignment="1" applyProtection="1">
      <alignment vertical="center"/>
    </xf>
    <xf numFmtId="6" fontId="21" fillId="0" borderId="2" xfId="2" applyNumberFormat="1" applyFont="1" applyBorder="1" applyAlignment="1" applyProtection="1">
      <alignment horizontal="left"/>
    </xf>
    <xf numFmtId="164" fontId="19" fillId="0" borderId="25" xfId="0" applyNumberFormat="1" applyFont="1" applyFill="1" applyBorder="1" applyAlignment="1" applyProtection="1">
      <alignment horizontal="left"/>
    </xf>
    <xf numFmtId="6" fontId="19" fillId="0" borderId="24" xfId="2" applyNumberFormat="1" applyFont="1" applyFill="1" applyBorder="1" applyAlignment="1" applyProtection="1">
      <alignment horizontal="center"/>
    </xf>
    <xf numFmtId="0" fontId="19" fillId="0" borderId="24" xfId="0" applyFont="1" applyBorder="1" applyProtection="1"/>
    <xf numFmtId="0" fontId="19" fillId="0" borderId="11" xfId="0" applyFont="1" applyBorder="1" applyProtection="1"/>
    <xf numFmtId="9" fontId="19" fillId="0" borderId="0" xfId="0" applyNumberFormat="1" applyFont="1" applyFill="1" applyProtection="1"/>
    <xf numFmtId="0" fontId="21" fillId="0" borderId="9" xfId="0" applyFont="1" applyFill="1" applyBorder="1" applyAlignment="1" applyProtection="1">
      <alignment horizontal="center" vertical="top" wrapText="1"/>
    </xf>
    <xf numFmtId="6" fontId="19" fillId="0" borderId="9" xfId="2" applyNumberFormat="1" applyFont="1" applyFill="1" applyBorder="1" applyAlignment="1" applyProtection="1">
      <alignment horizontal="center"/>
    </xf>
    <xf numFmtId="169" fontId="19" fillId="0" borderId="24" xfId="2" applyNumberFormat="1" applyFont="1" applyBorder="1" applyAlignment="1" applyProtection="1">
      <alignment horizontal="center"/>
    </xf>
    <xf numFmtId="169" fontId="19" fillId="0" borderId="0" xfId="2" applyNumberFormat="1" applyFont="1" applyBorder="1" applyAlignment="1" applyProtection="1">
      <alignment horizontal="center"/>
    </xf>
    <xf numFmtId="0" fontId="19" fillId="0" borderId="2" xfId="0" applyFont="1" applyBorder="1" applyProtection="1"/>
    <xf numFmtId="0" fontId="21" fillId="0" borderId="2" xfId="0" applyFont="1" applyFill="1" applyBorder="1" applyProtection="1"/>
    <xf numFmtId="0" fontId="30" fillId="5" borderId="22" xfId="0" applyFont="1" applyFill="1" applyBorder="1" applyAlignment="1" applyProtection="1"/>
    <xf numFmtId="0" fontId="19" fillId="0" borderId="5" xfId="0" applyFont="1" applyBorder="1" applyAlignment="1" applyProtection="1">
      <alignment horizontal="center" vertical="center"/>
    </xf>
    <xf numFmtId="6" fontId="19" fillId="0" borderId="2" xfId="2" applyNumberFormat="1" applyFont="1" applyBorder="1" applyAlignment="1" applyProtection="1">
      <alignment horizontal="left"/>
    </xf>
    <xf numFmtId="6" fontId="21" fillId="0" borderId="0" xfId="2" applyNumberFormat="1" applyFont="1" applyBorder="1" applyAlignment="1" applyProtection="1">
      <alignment horizontal="left"/>
    </xf>
    <xf numFmtId="42" fontId="19" fillId="0" borderId="0" xfId="2" applyNumberFormat="1" applyFont="1" applyBorder="1" applyAlignment="1" applyProtection="1">
      <alignment horizontal="center"/>
    </xf>
    <xf numFmtId="10" fontId="19" fillId="0" borderId="0" xfId="3" applyNumberFormat="1" applyFont="1" applyBorder="1" applyAlignment="1" applyProtection="1">
      <alignment horizontal="center"/>
    </xf>
    <xf numFmtId="10" fontId="21" fillId="0" borderId="2" xfId="2" applyNumberFormat="1" applyFont="1" applyBorder="1" applyAlignment="1" applyProtection="1">
      <alignment horizontal="left"/>
    </xf>
    <xf numFmtId="42" fontId="19" fillId="0" borderId="0" xfId="0" applyNumberFormat="1" applyFont="1" applyProtection="1">
      <protection locked="0"/>
    </xf>
    <xf numFmtId="0" fontId="32" fillId="0" borderId="0" xfId="0" applyFont="1" applyBorder="1" applyAlignment="1">
      <alignment vertical="center"/>
    </xf>
    <xf numFmtId="0" fontId="33" fillId="0" borderId="0" xfId="0" applyFont="1" applyBorder="1" applyAlignment="1">
      <alignment vertical="center"/>
    </xf>
    <xf numFmtId="0" fontId="33" fillId="0" borderId="0" xfId="0" applyFont="1" applyAlignment="1">
      <alignment vertical="center"/>
    </xf>
    <xf numFmtId="0" fontId="33" fillId="0" borderId="0" xfId="0" applyFont="1" applyAlignment="1">
      <alignment horizontal="center" vertical="center"/>
    </xf>
    <xf numFmtId="6" fontId="33" fillId="0" borderId="0" xfId="2" applyNumberFormat="1" applyFont="1" applyBorder="1" applyAlignment="1">
      <alignment horizontal="center" vertical="center"/>
    </xf>
    <xf numFmtId="6" fontId="33" fillId="0" borderId="20" xfId="2" applyNumberFormat="1" applyFont="1" applyBorder="1" applyAlignment="1">
      <alignment horizontal="center" vertical="center"/>
    </xf>
    <xf numFmtId="6" fontId="33" fillId="0" borderId="0" xfId="0" applyNumberFormat="1" applyFont="1" applyBorder="1" applyAlignment="1">
      <alignment horizontal="center" vertical="center"/>
    </xf>
    <xf numFmtId="6" fontId="33" fillId="0" borderId="20" xfId="0" applyNumberFormat="1" applyFont="1" applyBorder="1" applyAlignment="1">
      <alignment horizontal="center" vertical="center"/>
    </xf>
    <xf numFmtId="6" fontId="33" fillId="0" borderId="14" xfId="0" applyNumberFormat="1" applyFont="1" applyBorder="1" applyAlignment="1">
      <alignment horizontal="center" vertical="center"/>
    </xf>
    <xf numFmtId="6" fontId="33" fillId="0" borderId="6" xfId="0" applyNumberFormat="1" applyFont="1" applyBorder="1" applyAlignment="1">
      <alignment horizontal="center" vertical="center"/>
    </xf>
    <xf numFmtId="6" fontId="33" fillId="0" borderId="0" xfId="0" applyNumberFormat="1" applyFont="1" applyAlignment="1">
      <alignment horizontal="center" vertical="center"/>
    </xf>
    <xf numFmtId="6" fontId="33" fillId="0" borderId="15" xfId="0" applyNumberFormat="1" applyFont="1" applyBorder="1" applyAlignment="1">
      <alignment horizontal="center" vertical="center"/>
    </xf>
    <xf numFmtId="6" fontId="33" fillId="0" borderId="19" xfId="0" applyNumberFormat="1" applyFont="1" applyBorder="1" applyAlignment="1">
      <alignment horizontal="center" vertical="center"/>
    </xf>
    <xf numFmtId="0" fontId="32" fillId="2" borderId="2" xfId="0" applyFont="1" applyFill="1" applyBorder="1" applyAlignment="1">
      <alignment vertical="center"/>
    </xf>
    <xf numFmtId="0" fontId="32" fillId="2" borderId="2" xfId="0" applyFont="1" applyFill="1" applyBorder="1" applyAlignment="1">
      <alignment horizontal="center" vertical="center"/>
    </xf>
    <xf numFmtId="3" fontId="32" fillId="0" borderId="0" xfId="0" applyNumberFormat="1" applyFont="1" applyBorder="1" applyAlignment="1">
      <alignment horizontal="left" vertical="center"/>
    </xf>
    <xf numFmtId="0" fontId="33" fillId="0" borderId="17" xfId="0" applyFont="1" applyBorder="1" applyAlignment="1" applyProtection="1">
      <alignment vertical="center"/>
    </xf>
    <xf numFmtId="0" fontId="33" fillId="0" borderId="1" xfId="0" applyFont="1" applyBorder="1" applyAlignment="1" applyProtection="1">
      <alignment vertical="center"/>
    </xf>
    <xf numFmtId="0" fontId="32" fillId="0" borderId="16" xfId="0" applyFont="1" applyBorder="1" applyAlignment="1" applyProtection="1">
      <alignment vertical="center"/>
    </xf>
    <xf numFmtId="0" fontId="33" fillId="0" borderId="17" xfId="0" applyFont="1" applyBorder="1" applyAlignment="1">
      <alignment vertical="center"/>
    </xf>
    <xf numFmtId="0" fontId="32" fillId="0" borderId="16" xfId="0" applyFont="1" applyBorder="1" applyAlignment="1">
      <alignment vertical="center"/>
    </xf>
    <xf numFmtId="0" fontId="33" fillId="0" borderId="17" xfId="0" applyFont="1" applyFill="1" applyBorder="1" applyAlignment="1">
      <alignment vertical="center"/>
    </xf>
    <xf numFmtId="0" fontId="33" fillId="0" borderId="1" xfId="0" applyFont="1" applyFill="1" applyBorder="1" applyAlignment="1">
      <alignment vertical="center"/>
    </xf>
    <xf numFmtId="0" fontId="32" fillId="0" borderId="1" xfId="0" applyFont="1" applyBorder="1" applyAlignment="1">
      <alignment vertical="center"/>
    </xf>
    <xf numFmtId="0" fontId="33" fillId="0" borderId="1" xfId="0" applyFont="1" applyBorder="1" applyAlignment="1">
      <alignment vertical="center"/>
    </xf>
    <xf numFmtId="0" fontId="33" fillId="0" borderId="16" xfId="0" applyFont="1" applyBorder="1" applyAlignment="1">
      <alignment vertical="center"/>
    </xf>
    <xf numFmtId="0" fontId="19" fillId="0" borderId="0" xfId="0" applyFont="1" applyAlignment="1">
      <alignment vertical="center"/>
    </xf>
    <xf numFmtId="0" fontId="19" fillId="0" borderId="2" xfId="0" applyFont="1" applyBorder="1" applyAlignment="1">
      <alignment horizontal="left" vertical="top" wrapText="1"/>
    </xf>
    <xf numFmtId="0" fontId="21" fillId="2" borderId="2" xfId="0" applyFont="1" applyFill="1" applyBorder="1" applyAlignment="1" applyProtection="1">
      <alignment horizontal="center" vertical="center" wrapText="1"/>
    </xf>
    <xf numFmtId="10" fontId="33" fillId="0" borderId="17" xfId="0" applyNumberFormat="1" applyFont="1" applyBorder="1" applyAlignment="1">
      <alignment horizontal="left" vertical="center"/>
    </xf>
    <xf numFmtId="6" fontId="33" fillId="0" borderId="15" xfId="2" applyNumberFormat="1" applyFont="1" applyFill="1" applyBorder="1" applyAlignment="1" applyProtection="1">
      <alignment horizontal="center" vertical="center"/>
      <protection hidden="1"/>
    </xf>
    <xf numFmtId="6" fontId="33" fillId="0" borderId="19" xfId="2" applyNumberFormat="1" applyFont="1" applyFill="1" applyBorder="1" applyAlignment="1" applyProtection="1">
      <alignment horizontal="center" vertical="center"/>
      <protection hidden="1"/>
    </xf>
    <xf numFmtId="6" fontId="33" fillId="0" borderId="14" xfId="2" applyNumberFormat="1" applyFont="1" applyBorder="1" applyAlignment="1">
      <alignment horizontal="center" vertical="center"/>
    </xf>
    <xf numFmtId="6" fontId="33" fillId="0" borderId="6" xfId="2" applyNumberFormat="1" applyFont="1" applyBorder="1" applyAlignment="1">
      <alignment horizontal="center" vertical="center"/>
    </xf>
    <xf numFmtId="169" fontId="33" fillId="0" borderId="0" xfId="2" applyNumberFormat="1" applyFont="1" applyAlignment="1">
      <alignment vertical="center"/>
    </xf>
    <xf numFmtId="169" fontId="33" fillId="0" borderId="0" xfId="2" applyNumberFormat="1" applyFont="1" applyBorder="1" applyAlignment="1">
      <alignment vertical="center"/>
    </xf>
    <xf numFmtId="0" fontId="32" fillId="0" borderId="0" xfId="0" applyFont="1" applyAlignment="1">
      <alignment vertical="center"/>
    </xf>
    <xf numFmtId="0" fontId="34" fillId="0" borderId="0" xfId="0" applyFont="1" applyBorder="1" applyAlignment="1">
      <alignment vertical="center"/>
    </xf>
    <xf numFmtId="0" fontId="21" fillId="2" borderId="2" xfId="0" applyFont="1" applyFill="1" applyBorder="1" applyAlignment="1">
      <alignment horizontal="left" vertical="top" wrapText="1"/>
    </xf>
    <xf numFmtId="0" fontId="21" fillId="6" borderId="12" xfId="0" applyFont="1" applyFill="1" applyBorder="1" applyAlignment="1">
      <alignment horizontal="left" vertical="top" wrapText="1"/>
    </xf>
    <xf numFmtId="0" fontId="21" fillId="6" borderId="13" xfId="0" applyFont="1" applyFill="1" applyBorder="1" applyAlignment="1">
      <alignment horizontal="left" vertical="top" wrapText="1"/>
    </xf>
    <xf numFmtId="0" fontId="19" fillId="0" borderId="0" xfId="0" applyFont="1" applyBorder="1" applyAlignment="1" applyProtection="1">
      <alignment vertical="center"/>
      <protection locked="0"/>
    </xf>
    <xf numFmtId="0" fontId="21" fillId="0" borderId="0" xfId="0" applyFont="1" applyBorder="1" applyAlignment="1" applyProtection="1">
      <alignment vertical="center"/>
      <protection locked="0"/>
    </xf>
    <xf numFmtId="0" fontId="21" fillId="2" borderId="33" xfId="0" applyFont="1" applyFill="1" applyBorder="1" applyAlignment="1">
      <alignment horizontal="center" vertical="center" wrapText="1"/>
    </xf>
    <xf numFmtId="0" fontId="6" fillId="0" borderId="9" xfId="0" applyFont="1" applyBorder="1" applyAlignment="1">
      <alignment vertical="center"/>
    </xf>
    <xf numFmtId="6" fontId="19" fillId="4" borderId="33" xfId="0" applyNumberFormat="1" applyFont="1" applyFill="1" applyBorder="1" applyAlignment="1" applyProtection="1">
      <alignment horizontal="center" vertical="center" wrapText="1"/>
      <protection locked="0"/>
    </xf>
    <xf numFmtId="0" fontId="9" fillId="0" borderId="9" xfId="0" applyFont="1" applyBorder="1" applyAlignment="1">
      <alignment vertical="center"/>
    </xf>
    <xf numFmtId="0" fontId="8" fillId="0" borderId="9" xfId="0" applyFont="1" applyBorder="1" applyAlignment="1">
      <alignment vertical="center"/>
    </xf>
    <xf numFmtId="6" fontId="19" fillId="0" borderId="5" xfId="0" applyNumberFormat="1" applyFont="1" applyFill="1" applyBorder="1" applyAlignment="1" applyProtection="1">
      <alignment horizontal="center" vertical="center" wrapText="1"/>
      <protection locked="0"/>
    </xf>
    <xf numFmtId="0" fontId="8" fillId="0" borderId="9" xfId="0" applyFont="1" applyFill="1" applyBorder="1" applyAlignment="1">
      <alignment vertical="center"/>
    </xf>
    <xf numFmtId="0" fontId="21" fillId="0" borderId="5" xfId="0" applyFont="1" applyBorder="1" applyAlignment="1" applyProtection="1">
      <alignment vertical="center"/>
    </xf>
    <xf numFmtId="0" fontId="8" fillId="0" borderId="9" xfId="0" applyFont="1" applyBorder="1" applyAlignment="1" applyProtection="1">
      <alignment vertical="center"/>
      <protection locked="0"/>
    </xf>
    <xf numFmtId="0" fontId="21" fillId="0" borderId="5" xfId="0" applyFont="1" applyBorder="1" applyAlignment="1" applyProtection="1">
      <alignment vertical="center"/>
      <protection locked="0"/>
    </xf>
    <xf numFmtId="0" fontId="19" fillId="0" borderId="24" xfId="0" applyFont="1" applyBorder="1" applyAlignment="1">
      <alignment vertical="center"/>
    </xf>
    <xf numFmtId="0" fontId="8" fillId="0" borderId="11" xfId="0" applyFont="1" applyBorder="1" applyAlignment="1">
      <alignment vertical="center"/>
    </xf>
    <xf numFmtId="0" fontId="21" fillId="9" borderId="21" xfId="0" applyFont="1" applyFill="1" applyBorder="1" applyAlignment="1" applyProtection="1">
      <alignment vertical="center"/>
    </xf>
    <xf numFmtId="0" fontId="21" fillId="9" borderId="22" xfId="0" applyFont="1" applyFill="1" applyBorder="1" applyAlignment="1" applyProtection="1">
      <alignment vertical="center"/>
    </xf>
    <xf numFmtId="0" fontId="19" fillId="9" borderId="22" xfId="0" applyFont="1" applyFill="1" applyBorder="1" applyAlignment="1">
      <alignment vertical="center"/>
    </xf>
    <xf numFmtId="0" fontId="8" fillId="9" borderId="23" xfId="0" applyFont="1" applyFill="1" applyBorder="1" applyAlignment="1">
      <alignment vertical="center"/>
    </xf>
    <xf numFmtId="0" fontId="19" fillId="0" borderId="5" xfId="0" applyFont="1" applyBorder="1" applyAlignment="1">
      <alignment vertical="center"/>
    </xf>
    <xf numFmtId="0" fontId="21" fillId="0" borderId="0" xfId="0" applyFont="1" applyBorder="1" applyAlignment="1" applyProtection="1">
      <alignment vertical="center"/>
    </xf>
    <xf numFmtId="6" fontId="19" fillId="4" borderId="34" xfId="0" applyNumberFormat="1" applyFont="1" applyFill="1" applyBorder="1" applyAlignment="1" applyProtection="1">
      <alignment horizontal="center" vertical="center" wrapText="1"/>
      <protection locked="0"/>
    </xf>
    <xf numFmtId="6" fontId="19" fillId="4" borderId="35" xfId="0" applyNumberFormat="1" applyFont="1" applyFill="1" applyBorder="1" applyAlignment="1" applyProtection="1">
      <alignment horizontal="center" vertical="center" wrapText="1"/>
      <protection locked="0"/>
    </xf>
    <xf numFmtId="0" fontId="9" fillId="0" borderId="11" xfId="0" applyFont="1" applyBorder="1" applyAlignment="1">
      <alignment vertical="center"/>
    </xf>
    <xf numFmtId="0" fontId="24" fillId="0" borderId="5" xfId="0" applyFont="1" applyBorder="1" applyAlignment="1">
      <alignment vertical="center"/>
    </xf>
    <xf numFmtId="0" fontId="19" fillId="0" borderId="5" xfId="0" applyFont="1" applyFill="1" applyBorder="1" applyAlignment="1">
      <alignment vertical="center"/>
    </xf>
    <xf numFmtId="0" fontId="2" fillId="9" borderId="23" xfId="0" applyFont="1" applyFill="1" applyBorder="1" applyAlignment="1">
      <alignment vertical="center"/>
    </xf>
    <xf numFmtId="0" fontId="21" fillId="9" borderId="21" xfId="0" applyFont="1" applyFill="1" applyBorder="1" applyAlignment="1">
      <alignment vertical="center"/>
    </xf>
    <xf numFmtId="0" fontId="19" fillId="9" borderId="22" xfId="0" applyFont="1" applyFill="1" applyBorder="1" applyAlignment="1">
      <alignment horizontal="center" vertical="center"/>
    </xf>
    <xf numFmtId="0" fontId="35" fillId="8" borderId="2" xfId="0" applyFont="1" applyFill="1" applyBorder="1" applyAlignment="1">
      <alignment horizontal="center" wrapText="1"/>
    </xf>
    <xf numFmtId="5" fontId="19" fillId="8" borderId="2" xfId="2" applyNumberFormat="1" applyFont="1" applyFill="1" applyBorder="1" applyAlignment="1" applyProtection="1">
      <alignment horizontal="center" vertical="center"/>
    </xf>
    <xf numFmtId="0" fontId="1" fillId="8" borderId="2" xfId="0" applyFont="1" applyFill="1" applyBorder="1" applyAlignment="1">
      <alignment horizontal="center"/>
    </xf>
    <xf numFmtId="0" fontId="38" fillId="0" borderId="0" xfId="0" applyFont="1" applyAlignment="1">
      <alignment vertical="center"/>
    </xf>
    <xf numFmtId="0" fontId="19" fillId="7" borderId="0" xfId="0" applyFont="1" applyFill="1" applyAlignment="1">
      <alignment horizontal="center"/>
    </xf>
    <xf numFmtId="37" fontId="19" fillId="4" borderId="2" xfId="1" applyNumberFormat="1" applyFont="1" applyFill="1" applyBorder="1" applyAlignment="1" applyProtection="1">
      <alignment horizontal="center" vertical="center"/>
      <protection locked="0"/>
    </xf>
    <xf numFmtId="0" fontId="19" fillId="4" borderId="2" xfId="1" applyNumberFormat="1" applyFont="1" applyFill="1" applyBorder="1" applyAlignment="1" applyProtection="1">
      <alignment horizontal="center" vertical="center"/>
      <protection locked="0"/>
    </xf>
    <xf numFmtId="5" fontId="19" fillId="0" borderId="2" xfId="2" applyNumberFormat="1" applyFont="1" applyFill="1" applyBorder="1" applyAlignment="1" applyProtection="1">
      <alignment horizontal="center" vertical="center"/>
    </xf>
    <xf numFmtId="9" fontId="19" fillId="4" borderId="2" xfId="3" applyFont="1" applyFill="1" applyBorder="1" applyAlignment="1" applyProtection="1">
      <alignment horizontal="center" vertical="center"/>
      <protection locked="0"/>
    </xf>
    <xf numFmtId="0" fontId="26" fillId="2" borderId="18" xfId="0" applyFont="1" applyFill="1" applyBorder="1" applyAlignment="1">
      <alignment horizontal="center" vertical="center" wrapText="1"/>
    </xf>
    <xf numFmtId="0" fontId="2" fillId="0" borderId="2" xfId="0" applyFont="1" applyBorder="1" applyAlignment="1">
      <alignment horizontal="center" vertical="center"/>
    </xf>
    <xf numFmtId="0" fontId="19" fillId="0" borderId="2" xfId="0" applyFont="1" applyBorder="1" applyAlignment="1" applyProtection="1">
      <alignment horizontal="center" vertical="center"/>
    </xf>
    <xf numFmtId="5" fontId="21" fillId="0" borderId="2" xfId="2" applyNumberFormat="1" applyFont="1" applyBorder="1" applyAlignment="1">
      <alignment horizontal="center" vertical="center"/>
    </xf>
    <xf numFmtId="0" fontId="26" fillId="11" borderId="18" xfId="0" applyFont="1" applyFill="1" applyBorder="1" applyAlignment="1">
      <alignment horizontal="center" vertical="center" wrapText="1"/>
    </xf>
    <xf numFmtId="0" fontId="26" fillId="9" borderId="18" xfId="0" applyFont="1" applyFill="1" applyBorder="1" applyAlignment="1">
      <alignment horizontal="center" vertical="center" wrapText="1"/>
    </xf>
    <xf numFmtId="0" fontId="19" fillId="4" borderId="2" xfId="2" applyNumberFormat="1" applyFont="1" applyFill="1" applyBorder="1" applyAlignment="1" applyProtection="1">
      <alignment horizontal="left" vertical="center" wrapText="1"/>
      <protection locked="0"/>
    </xf>
    <xf numFmtId="0" fontId="38" fillId="0" borderId="0" xfId="0" applyFont="1"/>
    <xf numFmtId="42" fontId="19" fillId="0" borderId="0" xfId="2" applyNumberFormat="1" applyFont="1" applyFill="1" applyBorder="1" applyAlignment="1" applyProtection="1">
      <alignment horizontal="right" vertical="center"/>
    </xf>
    <xf numFmtId="0" fontId="2" fillId="0" borderId="0" xfId="0" applyFont="1"/>
    <xf numFmtId="0" fontId="19" fillId="0" borderId="0" xfId="0" applyFont="1" applyAlignment="1">
      <alignment wrapText="1"/>
    </xf>
    <xf numFmtId="0" fontId="19" fillId="0" borderId="0" xfId="0" applyFont="1" applyAlignment="1">
      <alignment horizontal="left" wrapText="1" indent="1"/>
    </xf>
    <xf numFmtId="0" fontId="19" fillId="0" borderId="0" xfId="0" applyFont="1" applyAlignment="1">
      <alignment horizontal="left" indent="1"/>
    </xf>
    <xf numFmtId="0" fontId="0" fillId="0" borderId="0" xfId="0" applyAlignment="1">
      <alignment horizontal="left" indent="1"/>
    </xf>
    <xf numFmtId="5" fontId="20" fillId="7" borderId="0" xfId="0" applyNumberFormat="1" applyFont="1" applyFill="1" applyBorder="1" applyAlignment="1" applyProtection="1">
      <alignment horizontal="left" vertical="center"/>
    </xf>
    <xf numFmtId="0" fontId="17" fillId="7" borderId="0" xfId="0" applyFont="1" applyFill="1" applyAlignment="1" applyProtection="1">
      <alignment vertical="center"/>
    </xf>
    <xf numFmtId="0" fontId="19" fillId="7" borderId="0" xfId="0" applyFont="1" applyFill="1" applyAlignment="1" applyProtection="1">
      <alignment vertical="center"/>
    </xf>
    <xf numFmtId="9" fontId="17" fillId="7" borderId="0" xfId="3" quotePrefix="1" applyFont="1" applyFill="1" applyBorder="1" applyAlignment="1" applyProtection="1">
      <alignment horizontal="right" vertical="center"/>
    </xf>
    <xf numFmtId="9" fontId="17" fillId="7" borderId="0" xfId="0" applyNumberFormat="1" applyFont="1" applyFill="1" applyBorder="1" applyAlignment="1" applyProtection="1">
      <alignment horizontal="right" vertical="center"/>
    </xf>
    <xf numFmtId="167" fontId="17" fillId="7" borderId="0" xfId="0" applyNumberFormat="1" applyFont="1" applyFill="1" applyBorder="1" applyAlignment="1" applyProtection="1">
      <alignment horizontal="right" vertical="center"/>
    </xf>
    <xf numFmtId="6" fontId="29" fillId="7" borderId="0" xfId="0" applyNumberFormat="1" applyFont="1" applyFill="1" applyBorder="1" applyAlignment="1" applyProtection="1">
      <alignment horizontal="right" vertical="center"/>
    </xf>
    <xf numFmtId="9" fontId="17" fillId="7" borderId="0" xfId="3" applyFont="1" applyFill="1" applyBorder="1" applyAlignment="1" applyProtection="1">
      <alignment horizontal="right" vertical="center"/>
    </xf>
    <xf numFmtId="40" fontId="17" fillId="7" borderId="0" xfId="0" applyNumberFormat="1" applyFont="1" applyFill="1" applyBorder="1" applyAlignment="1" applyProtection="1">
      <alignment horizontal="right" vertical="center"/>
    </xf>
    <xf numFmtId="9" fontId="19" fillId="7" borderId="0" xfId="3" applyFont="1" applyFill="1" applyBorder="1" applyAlignment="1" applyProtection="1">
      <alignment horizontal="left" vertical="center"/>
    </xf>
    <xf numFmtId="0" fontId="17" fillId="7" borderId="0" xfId="0" applyFont="1" applyFill="1" applyBorder="1" applyAlignment="1" applyProtection="1">
      <alignment horizontal="center" vertical="center" wrapText="1"/>
    </xf>
    <xf numFmtId="0" fontId="28" fillId="7" borderId="0" xfId="0" applyFont="1" applyFill="1" applyBorder="1" applyAlignment="1" applyProtection="1">
      <alignment horizontal="center" vertical="center" wrapText="1"/>
    </xf>
    <xf numFmtId="10" fontId="19" fillId="7" borderId="0" xfId="0" applyNumberFormat="1" applyFont="1" applyFill="1" applyBorder="1" applyAlignment="1" applyProtection="1">
      <alignment horizontal="right" vertical="center"/>
    </xf>
    <xf numFmtId="10" fontId="17" fillId="7" borderId="0" xfId="0" applyNumberFormat="1" applyFont="1" applyFill="1" applyBorder="1" applyAlignment="1" applyProtection="1">
      <alignment horizontal="right" vertical="center"/>
    </xf>
    <xf numFmtId="0" fontId="19" fillId="7" borderId="0" xfId="0" applyFont="1" applyFill="1"/>
    <xf numFmtId="0" fontId="21" fillId="7" borderId="0" xfId="0" applyFont="1" applyFill="1" applyAlignment="1" applyProtection="1">
      <alignment vertical="center"/>
    </xf>
    <xf numFmtId="0" fontId="17" fillId="7" borderId="0" xfId="0" applyFont="1" applyFill="1"/>
    <xf numFmtId="5" fontId="17" fillId="7" borderId="0" xfId="2" applyNumberFormat="1" applyFont="1" applyFill="1" applyBorder="1" applyAlignment="1" applyProtection="1">
      <alignment horizontal="right" vertical="center"/>
    </xf>
    <xf numFmtId="5" fontId="20" fillId="7" borderId="0" xfId="2" applyNumberFormat="1" applyFont="1" applyFill="1" applyBorder="1" applyAlignment="1" applyProtection="1">
      <alignment horizontal="right" vertical="center"/>
    </xf>
    <xf numFmtId="0" fontId="20" fillId="7" borderId="0" xfId="0" applyFont="1" applyFill="1" applyAlignment="1">
      <alignment horizontal="left" indent="1"/>
    </xf>
    <xf numFmtId="0" fontId="20" fillId="7" borderId="0" xfId="0" applyFont="1" applyFill="1"/>
    <xf numFmtId="0" fontId="20" fillId="7" borderId="0" xfId="0" applyFont="1" applyFill="1" applyAlignment="1">
      <alignment horizontal="center"/>
    </xf>
    <xf numFmtId="5" fontId="17" fillId="7" borderId="2" xfId="2" applyNumberFormat="1" applyFont="1" applyFill="1" applyBorder="1" applyAlignment="1" applyProtection="1">
      <alignment horizontal="right" vertical="center"/>
    </xf>
    <xf numFmtId="10" fontId="17" fillId="4" borderId="2" xfId="3" quotePrefix="1" applyNumberFormat="1" applyFont="1" applyFill="1" applyBorder="1" applyAlignment="1" applyProtection="1">
      <alignment horizontal="right" vertical="center"/>
      <protection locked="0"/>
    </xf>
    <xf numFmtId="170" fontId="17" fillId="4" borderId="2" xfId="3" quotePrefix="1" applyNumberFormat="1" applyFont="1" applyFill="1" applyBorder="1" applyAlignment="1" applyProtection="1">
      <alignment horizontal="right" vertical="center"/>
      <protection locked="0"/>
    </xf>
    <xf numFmtId="0" fontId="19" fillId="7" borderId="0" xfId="0" applyFont="1" applyFill="1" applyAlignment="1" applyProtection="1">
      <alignment vertical="center"/>
      <protection locked="0"/>
    </xf>
    <xf numFmtId="0" fontId="17" fillId="7" borderId="0" xfId="0" applyFont="1" applyFill="1" applyAlignment="1" applyProtection="1">
      <alignment vertical="center"/>
      <protection locked="0"/>
    </xf>
    <xf numFmtId="0" fontId="19" fillId="7" borderId="0" xfId="0" applyFont="1" applyFill="1" applyBorder="1" applyAlignment="1" applyProtection="1">
      <alignment vertical="center"/>
    </xf>
    <xf numFmtId="165" fontId="17" fillId="7" borderId="0" xfId="3" quotePrefix="1" applyNumberFormat="1" applyFont="1" applyFill="1" applyBorder="1" applyAlignment="1" applyProtection="1">
      <alignment horizontal="right" vertical="center"/>
    </xf>
    <xf numFmtId="0" fontId="15" fillId="7" borderId="0" xfId="0" applyFont="1" applyFill="1" applyAlignment="1" applyProtection="1">
      <alignment horizontal="left" vertical="center" wrapText="1"/>
    </xf>
    <xf numFmtId="0" fontId="19" fillId="7" borderId="0" xfId="0" applyFont="1" applyFill="1" applyBorder="1" applyAlignment="1">
      <alignment vertical="center"/>
    </xf>
    <xf numFmtId="0" fontId="17" fillId="7" borderId="0" xfId="0" applyFont="1" applyFill="1" applyProtection="1"/>
    <xf numFmtId="0" fontId="20" fillId="7" borderId="0" xfId="0" applyFont="1" applyFill="1" applyBorder="1" applyAlignment="1" applyProtection="1">
      <alignment vertical="center"/>
    </xf>
    <xf numFmtId="0" fontId="17" fillId="7" borderId="0" xfId="0" applyFont="1" applyFill="1" applyBorder="1" applyAlignment="1">
      <alignment vertical="center"/>
    </xf>
    <xf numFmtId="0" fontId="17" fillId="7" borderId="0" xfId="0" applyFont="1" applyFill="1" applyAlignment="1">
      <alignment vertical="center"/>
    </xf>
    <xf numFmtId="0" fontId="17" fillId="7" borderId="0" xfId="0" quotePrefix="1" applyFont="1" applyFill="1" applyBorder="1" applyAlignment="1">
      <alignment vertical="center"/>
    </xf>
    <xf numFmtId="0" fontId="40" fillId="7" borderId="0" xfId="0" applyFont="1" applyFill="1" applyBorder="1" applyAlignment="1">
      <alignment vertical="center"/>
    </xf>
    <xf numFmtId="0" fontId="21" fillId="7" borderId="0" xfId="0" applyFont="1" applyFill="1" applyBorder="1" applyAlignment="1">
      <alignment horizontal="center" vertical="center" wrapText="1"/>
    </xf>
    <xf numFmtId="165" fontId="17" fillId="4" borderId="2" xfId="3" applyNumberFormat="1" applyFont="1" applyFill="1" applyBorder="1" applyAlignment="1" applyProtection="1">
      <alignment horizontal="center"/>
      <protection locked="0"/>
    </xf>
    <xf numFmtId="167" fontId="17" fillId="7" borderId="0" xfId="0" applyNumberFormat="1" applyFont="1" applyFill="1" applyBorder="1" applyAlignment="1" applyProtection="1">
      <alignment horizontal="left" vertical="center"/>
    </xf>
    <xf numFmtId="0" fontId="20" fillId="7" borderId="0" xfId="0" applyFont="1" applyFill="1" applyAlignment="1">
      <alignment horizontal="center" wrapText="1"/>
    </xf>
    <xf numFmtId="0" fontId="17" fillId="7" borderId="0" xfId="0" applyFont="1" applyFill="1" applyAlignment="1">
      <alignment horizontal="left"/>
    </xf>
    <xf numFmtId="172" fontId="17" fillId="7" borderId="0" xfId="0" quotePrefix="1" applyNumberFormat="1" applyFont="1" applyFill="1" applyBorder="1" applyAlignment="1" applyProtection="1">
      <alignment horizontal="right" vertical="center"/>
    </xf>
    <xf numFmtId="0" fontId="15" fillId="7" borderId="0" xfId="0" applyFont="1" applyFill="1" applyAlignment="1" applyProtection="1">
      <alignment horizontal="left" vertical="center"/>
    </xf>
    <xf numFmtId="165" fontId="19" fillId="7" borderId="0" xfId="0" applyNumberFormat="1" applyFont="1" applyFill="1" applyBorder="1" applyAlignment="1" applyProtection="1">
      <alignment horizontal="left" vertical="center"/>
    </xf>
    <xf numFmtId="0" fontId="37" fillId="7" borderId="0" xfId="0" applyFont="1" applyFill="1" applyAlignment="1" applyProtection="1">
      <alignment vertical="center"/>
    </xf>
    <xf numFmtId="7" fontId="17" fillId="7" borderId="2" xfId="2" applyNumberFormat="1" applyFont="1" applyFill="1" applyBorder="1" applyAlignment="1" applyProtection="1">
      <alignment horizontal="right" vertical="center"/>
    </xf>
    <xf numFmtId="37" fontId="17" fillId="7" borderId="2" xfId="2" applyNumberFormat="1" applyFont="1" applyFill="1" applyBorder="1" applyAlignment="1" applyProtection="1">
      <alignment horizontal="right" vertical="center"/>
    </xf>
    <xf numFmtId="6" fontId="17" fillId="0" borderId="18" xfId="2" applyNumberFormat="1" applyFont="1" applyBorder="1" applyAlignment="1" applyProtection="1">
      <alignment horizontal="right" vertical="center"/>
    </xf>
    <xf numFmtId="6" fontId="20" fillId="0" borderId="2" xfId="2" applyNumberFormat="1" applyFont="1" applyBorder="1" applyAlignment="1" applyProtection="1">
      <alignment horizontal="right" vertical="center"/>
    </xf>
    <xf numFmtId="0" fontId="41" fillId="7" borderId="0" xfId="0" applyFont="1" applyFill="1" applyAlignment="1" applyProtection="1">
      <alignment vertical="center"/>
    </xf>
    <xf numFmtId="49" fontId="17" fillId="0" borderId="17" xfId="0" applyNumberFormat="1" applyFont="1" applyBorder="1" applyAlignment="1" applyProtection="1">
      <alignment vertical="center"/>
    </xf>
    <xf numFmtId="49" fontId="17" fillId="4" borderId="2" xfId="0" applyNumberFormat="1" applyFont="1" applyFill="1" applyBorder="1" applyAlignment="1" applyProtection="1">
      <alignment horizontal="left" vertical="center"/>
      <protection locked="0"/>
    </xf>
    <xf numFmtId="6" fontId="20" fillId="0" borderId="0" xfId="2" applyNumberFormat="1" applyFont="1" applyBorder="1" applyAlignment="1" applyProtection="1">
      <alignment horizontal="center" vertical="center"/>
    </xf>
    <xf numFmtId="6" fontId="17" fillId="0" borderId="0" xfId="2" applyNumberFormat="1" applyFont="1" applyAlignment="1" applyProtection="1">
      <alignment horizontal="center" vertical="center"/>
    </xf>
    <xf numFmtId="0" fontId="20" fillId="0" borderId="0" xfId="0" applyFont="1" applyAlignment="1" applyProtection="1">
      <alignment horizontal="center" vertical="center"/>
    </xf>
    <xf numFmtId="49" fontId="19" fillId="0" borderId="0" xfId="0" applyNumberFormat="1" applyFont="1" applyAlignment="1" applyProtection="1">
      <alignment vertical="center"/>
    </xf>
    <xf numFmtId="0" fontId="17" fillId="4" borderId="2" xfId="0" applyNumberFormat="1" applyFont="1" applyFill="1" applyBorder="1" applyAlignment="1" applyProtection="1">
      <alignment horizontal="left" vertical="center"/>
      <protection locked="0"/>
    </xf>
    <xf numFmtId="0" fontId="37" fillId="0" borderId="0" xfId="0" applyFont="1" applyAlignment="1" applyProtection="1">
      <alignment vertical="center"/>
    </xf>
    <xf numFmtId="0" fontId="20" fillId="0" borderId="0" xfId="0" applyFont="1" applyFill="1"/>
    <xf numFmtId="0" fontId="17" fillId="0" borderId="0" xfId="0" applyFont="1" applyFill="1"/>
    <xf numFmtId="171" fontId="17" fillId="0" borderId="0" xfId="0" applyNumberFormat="1" applyFont="1" applyFill="1"/>
    <xf numFmtId="0" fontId="1" fillId="0" borderId="0" xfId="0" applyFont="1" applyAlignment="1">
      <alignment vertical="center"/>
    </xf>
    <xf numFmtId="0" fontId="26" fillId="12" borderId="18" xfId="0" applyFont="1" applyFill="1" applyBorder="1" applyAlignment="1">
      <alignment horizontal="center" vertical="center" wrapText="1"/>
    </xf>
    <xf numFmtId="37" fontId="19" fillId="0" borderId="2" xfId="2" applyNumberFormat="1" applyFont="1" applyFill="1" applyBorder="1" applyAlignment="1" applyProtection="1">
      <alignment horizontal="center" vertical="center"/>
    </xf>
    <xf numFmtId="37" fontId="21" fillId="0" borderId="2" xfId="1" applyNumberFormat="1" applyFont="1" applyBorder="1" applyAlignment="1">
      <alignment horizontal="center" vertical="center"/>
    </xf>
    <xf numFmtId="9" fontId="17" fillId="4" borderId="2" xfId="0" applyNumberFormat="1" applyFont="1" applyFill="1" applyBorder="1" applyAlignment="1" applyProtection="1">
      <alignment horizontal="right" vertical="center"/>
      <protection locked="0"/>
    </xf>
    <xf numFmtId="10" fontId="17" fillId="4" borderId="2" xfId="0" applyNumberFormat="1" applyFont="1" applyFill="1" applyBorder="1" applyAlignment="1" applyProtection="1">
      <alignment horizontal="right" vertical="center"/>
      <protection locked="0"/>
    </xf>
    <xf numFmtId="173" fontId="17" fillId="4" borderId="2" xfId="0" applyNumberFormat="1" applyFont="1" applyFill="1" applyBorder="1" applyAlignment="1" applyProtection="1">
      <alignment horizontal="right" vertical="center"/>
      <protection locked="0"/>
    </xf>
    <xf numFmtId="0" fontId="19" fillId="0" borderId="0" xfId="0" applyFont="1" applyAlignment="1">
      <alignment horizontal="left" vertical="top"/>
    </xf>
    <xf numFmtId="6" fontId="19" fillId="0" borderId="0" xfId="0" applyNumberFormat="1" applyFont="1" applyAlignment="1" applyProtection="1">
      <alignment vertical="center"/>
    </xf>
    <xf numFmtId="49" fontId="21" fillId="0" borderId="2" xfId="0" applyNumberFormat="1" applyFont="1" applyBorder="1" applyAlignment="1" applyProtection="1">
      <alignment vertical="center"/>
    </xf>
    <xf numFmtId="49" fontId="21" fillId="0" borderId="0" xfId="0" applyNumberFormat="1" applyFont="1" applyBorder="1" applyAlignment="1" applyProtection="1">
      <alignment vertical="center"/>
    </xf>
    <xf numFmtId="169" fontId="21" fillId="0" borderId="0" xfId="2" applyNumberFormat="1" applyFont="1" applyBorder="1" applyAlignment="1" applyProtection="1">
      <alignment horizontal="center"/>
    </xf>
    <xf numFmtId="0" fontId="19" fillId="0" borderId="0" xfId="2" applyNumberFormat="1" applyFont="1" applyBorder="1" applyAlignment="1" applyProtection="1">
      <alignment horizontal="left"/>
    </xf>
    <xf numFmtId="0" fontId="37" fillId="0" borderId="24" xfId="0" applyFont="1" applyBorder="1" applyAlignment="1" applyProtection="1">
      <alignment vertical="center"/>
    </xf>
    <xf numFmtId="6" fontId="33" fillId="0" borderId="0" xfId="0" applyNumberFormat="1" applyFont="1" applyBorder="1" applyAlignment="1">
      <alignment vertical="center"/>
    </xf>
    <xf numFmtId="6" fontId="17" fillId="0" borderId="0" xfId="0" applyNumberFormat="1" applyFont="1" applyAlignment="1" applyProtection="1">
      <alignment vertical="center"/>
    </xf>
    <xf numFmtId="9" fontId="33" fillId="0" borderId="15" xfId="0" applyNumberFormat="1" applyFont="1" applyBorder="1" applyAlignment="1">
      <alignment horizontal="center" vertical="center"/>
    </xf>
    <xf numFmtId="0" fontId="25" fillId="0" borderId="0" xfId="0" applyFont="1" applyAlignment="1">
      <alignment vertical="center"/>
    </xf>
    <xf numFmtId="165" fontId="33" fillId="0" borderId="2" xfId="0" applyNumberFormat="1" applyFont="1" applyBorder="1" applyAlignment="1">
      <alignment horizontal="center" vertical="center"/>
    </xf>
    <xf numFmtId="39" fontId="17" fillId="7" borderId="2" xfId="2" applyNumberFormat="1" applyFont="1" applyFill="1" applyBorder="1" applyAlignment="1" applyProtection="1">
      <alignment horizontal="right" vertical="center"/>
    </xf>
    <xf numFmtId="0" fontId="8" fillId="7" borderId="0" xfId="0" applyFont="1" applyFill="1"/>
    <xf numFmtId="174" fontId="19" fillId="4" borderId="2" xfId="0" applyNumberFormat="1" applyFont="1" applyFill="1" applyBorder="1" applyAlignment="1" applyProtection="1">
      <alignment horizontal="right" vertical="center"/>
      <protection locked="0"/>
    </xf>
    <xf numFmtId="165" fontId="19" fillId="0" borderId="2" xfId="3" applyNumberFormat="1" applyFont="1" applyBorder="1" applyAlignment="1" applyProtection="1">
      <alignment horizontal="center"/>
    </xf>
    <xf numFmtId="165" fontId="19" fillId="0" borderId="2" xfId="2" applyNumberFormat="1" applyFont="1" applyBorder="1" applyAlignment="1" applyProtection="1">
      <alignment horizontal="center"/>
    </xf>
    <xf numFmtId="0" fontId="42" fillId="0" borderId="0" xfId="0" applyFont="1"/>
    <xf numFmtId="0" fontId="20" fillId="0" borderId="21" xfId="0" applyFont="1" applyFill="1" applyBorder="1"/>
    <xf numFmtId="0" fontId="20" fillId="0" borderId="22" xfId="0" applyFont="1" applyBorder="1" applyAlignment="1" applyProtection="1">
      <alignment horizontal="center"/>
    </xf>
    <xf numFmtId="0" fontId="17" fillId="0" borderId="22" xfId="0" applyFont="1" applyBorder="1" applyProtection="1"/>
    <xf numFmtId="0" fontId="17" fillId="0" borderId="23" xfId="0" applyFont="1" applyBorder="1" applyProtection="1"/>
    <xf numFmtId="0" fontId="17" fillId="0" borderId="5" xfId="0" applyFont="1" applyFill="1" applyBorder="1"/>
    <xf numFmtId="171" fontId="17" fillId="0" borderId="0" xfId="0" applyNumberFormat="1" applyFont="1" applyFill="1" applyBorder="1"/>
    <xf numFmtId="0" fontId="20" fillId="0" borderId="0" xfId="0" applyFont="1" applyFill="1" applyBorder="1"/>
    <xf numFmtId="0" fontId="17" fillId="0" borderId="0" xfId="0" applyFont="1" applyBorder="1" applyProtection="1"/>
    <xf numFmtId="171" fontId="20" fillId="0" borderId="9" xfId="0" applyNumberFormat="1" applyFont="1" applyFill="1" applyBorder="1"/>
    <xf numFmtId="0" fontId="17" fillId="0" borderId="5" xfId="0" quotePrefix="1" applyFont="1" applyFill="1" applyBorder="1"/>
    <xf numFmtId="0" fontId="17" fillId="0" borderId="9" xfId="0" applyFont="1" applyBorder="1" applyProtection="1"/>
    <xf numFmtId="0" fontId="17" fillId="4" borderId="33" xfId="0" applyNumberFormat="1" applyFont="1" applyFill="1" applyBorder="1" applyAlignment="1" applyProtection="1">
      <alignment horizontal="left" vertical="center"/>
      <protection locked="0"/>
    </xf>
    <xf numFmtId="171" fontId="20" fillId="0" borderId="0" xfId="0" applyNumberFormat="1" applyFont="1" applyFill="1" applyBorder="1"/>
    <xf numFmtId="0" fontId="20" fillId="0" borderId="5" xfId="0" applyFont="1" applyFill="1" applyBorder="1"/>
    <xf numFmtId="0" fontId="20" fillId="0" borderId="10" xfId="0" applyFont="1" applyFill="1" applyBorder="1"/>
    <xf numFmtId="171" fontId="20" fillId="0" borderId="24" xfId="0" applyNumberFormat="1" applyFont="1" applyFill="1" applyBorder="1"/>
    <xf numFmtId="0" fontId="20" fillId="0" borderId="24" xfId="0" applyFont="1" applyFill="1" applyBorder="1"/>
    <xf numFmtId="0" fontId="17" fillId="0" borderId="24" xfId="0" applyFont="1" applyBorder="1" applyProtection="1"/>
    <xf numFmtId="0" fontId="17" fillId="0" borderId="11" xfId="0" applyFont="1" applyBorder="1" applyProtection="1"/>
    <xf numFmtId="10" fontId="20" fillId="0" borderId="22" xfId="3" applyNumberFormat="1" applyFont="1" applyFill="1" applyBorder="1"/>
    <xf numFmtId="0" fontId="20" fillId="0" borderId="22" xfId="0" applyFont="1" applyFill="1" applyBorder="1"/>
    <xf numFmtId="0" fontId="17" fillId="0" borderId="5" xfId="0" applyFont="1" applyFill="1" applyBorder="1" applyAlignment="1">
      <alignment horizontal="left" indent="1"/>
    </xf>
    <xf numFmtId="41" fontId="17" fillId="0" borderId="0" xfId="0" applyNumberFormat="1" applyFont="1" applyFill="1" applyBorder="1"/>
    <xf numFmtId="0" fontId="17" fillId="0" borderId="5" xfId="0" applyFont="1" applyBorder="1" applyAlignment="1">
      <alignment horizontal="left" vertical="top" wrapText="1" indent="1"/>
    </xf>
    <xf numFmtId="0" fontId="17" fillId="0" borderId="5" xfId="0" applyFont="1" applyBorder="1" applyAlignment="1">
      <alignment horizontal="left" vertical="top" wrapText="1"/>
    </xf>
    <xf numFmtId="0" fontId="17" fillId="0" borderId="5" xfId="0" applyFont="1" applyBorder="1" applyProtection="1"/>
    <xf numFmtId="10" fontId="20" fillId="0" borderId="0" xfId="3" applyNumberFormat="1" applyFont="1" applyFill="1" applyBorder="1"/>
    <xf numFmtId="10" fontId="20" fillId="0" borderId="24" xfId="3" applyNumberFormat="1" applyFont="1" applyFill="1" applyBorder="1"/>
    <xf numFmtId="10" fontId="17" fillId="0" borderId="0" xfId="0" applyNumberFormat="1" applyFont="1" applyFill="1" applyBorder="1"/>
    <xf numFmtId="173" fontId="17" fillId="0" borderId="0" xfId="0" applyNumberFormat="1" applyFont="1" applyBorder="1" applyProtection="1"/>
    <xf numFmtId="6" fontId="17" fillId="0" borderId="0" xfId="0" applyNumberFormat="1" applyFont="1" applyBorder="1" applyProtection="1"/>
    <xf numFmtId="0" fontId="20" fillId="0" borderId="5" xfId="0" applyFont="1" applyBorder="1" applyProtection="1"/>
    <xf numFmtId="6" fontId="20" fillId="0" borderId="0" xfId="0" applyNumberFormat="1" applyFont="1" applyBorder="1" applyProtection="1"/>
    <xf numFmtId="0" fontId="17" fillId="0" borderId="10" xfId="0" applyFont="1" applyBorder="1" applyProtection="1"/>
    <xf numFmtId="6" fontId="17" fillId="0" borderId="24" xfId="0" applyNumberFormat="1" applyFont="1" applyBorder="1" applyProtection="1"/>
    <xf numFmtId="0" fontId="41" fillId="0" borderId="24" xfId="0" applyFont="1" applyBorder="1" applyProtection="1"/>
    <xf numFmtId="0" fontId="19" fillId="7" borderId="2" xfId="0" applyFont="1" applyFill="1" applyBorder="1" applyAlignment="1" applyProtection="1">
      <alignment horizontal="center" vertical="center"/>
    </xf>
    <xf numFmtId="5" fontId="20" fillId="7" borderId="0" xfId="0" applyNumberFormat="1" applyFont="1" applyFill="1"/>
    <xf numFmtId="37" fontId="21" fillId="0" borderId="0" xfId="1" applyNumberFormat="1" applyFont="1" applyBorder="1" applyAlignment="1">
      <alignment horizontal="center" vertical="center"/>
    </xf>
    <xf numFmtId="0" fontId="26" fillId="13" borderId="2" xfId="0" applyFont="1" applyFill="1" applyBorder="1" applyAlignment="1">
      <alignment horizontal="center" vertical="center" wrapText="1"/>
    </xf>
    <xf numFmtId="0" fontId="20" fillId="7" borderId="0" xfId="0" applyFont="1" applyFill="1" applyBorder="1"/>
    <xf numFmtId="0" fontId="17" fillId="7" borderId="0" xfId="0" applyFont="1" applyFill="1" applyAlignment="1">
      <alignment horizontal="left" indent="1"/>
    </xf>
    <xf numFmtId="0" fontId="21" fillId="2" borderId="2" xfId="0" applyFont="1" applyFill="1" applyBorder="1" applyAlignment="1">
      <alignment horizontal="center" vertical="top" wrapText="1"/>
    </xf>
    <xf numFmtId="0" fontId="1" fillId="0" borderId="0" xfId="0" applyFont="1"/>
    <xf numFmtId="6" fontId="20" fillId="0" borderId="0" xfId="2" applyNumberFormat="1" applyFont="1" applyBorder="1" applyAlignment="1" applyProtection="1">
      <alignment horizontal="right" vertical="center"/>
    </xf>
    <xf numFmtId="0" fontId="40" fillId="7" borderId="0" xfId="0" applyFont="1" applyFill="1"/>
    <xf numFmtId="0" fontId="40" fillId="0" borderId="0" xfId="0" applyFont="1" applyProtection="1"/>
    <xf numFmtId="0" fontId="43" fillId="14" borderId="0" xfId="0" applyFont="1" applyFill="1" applyAlignment="1">
      <alignment horizontal="center" vertical="center"/>
    </xf>
    <xf numFmtId="0" fontId="2" fillId="0" borderId="0" xfId="0" applyFont="1" applyAlignment="1">
      <alignment vertical="center"/>
    </xf>
    <xf numFmtId="0" fontId="43" fillId="0" borderId="0" xfId="0" applyFont="1" applyFill="1" applyAlignment="1">
      <alignment horizontal="center" vertical="center"/>
    </xf>
    <xf numFmtId="0" fontId="6" fillId="0" borderId="0" xfId="0" applyFont="1" applyFill="1" applyAlignment="1">
      <alignment vertical="center"/>
    </xf>
    <xf numFmtId="171" fontId="19" fillId="4" borderId="2" xfId="2" applyNumberFormat="1" applyFont="1" applyFill="1" applyBorder="1" applyAlignment="1" applyProtection="1">
      <alignment horizontal="center" vertical="center"/>
      <protection locked="0"/>
    </xf>
    <xf numFmtId="1" fontId="19" fillId="0" borderId="4" xfId="0" applyNumberFormat="1" applyFont="1" applyFill="1" applyBorder="1" applyAlignment="1" applyProtection="1">
      <alignment horizontal="center" vertical="center"/>
    </xf>
    <xf numFmtId="1" fontId="19" fillId="4" borderId="4" xfId="0" applyNumberFormat="1" applyFont="1" applyFill="1" applyBorder="1" applyAlignment="1" applyProtection="1">
      <alignment horizontal="center" vertical="center"/>
      <protection locked="0"/>
    </xf>
    <xf numFmtId="0" fontId="8" fillId="9" borderId="23" xfId="0" applyFont="1" applyFill="1" applyBorder="1" applyAlignment="1" applyProtection="1">
      <alignment vertical="center"/>
    </xf>
    <xf numFmtId="0" fontId="19" fillId="9" borderId="22" xfId="0" applyFont="1" applyFill="1" applyBorder="1" applyAlignment="1" applyProtection="1">
      <alignment vertical="center"/>
    </xf>
    <xf numFmtId="0" fontId="19" fillId="0" borderId="8" xfId="0" applyNumberFormat="1" applyFont="1" applyFill="1" applyBorder="1" applyAlignment="1" applyProtection="1">
      <alignment horizontal="center" vertical="center"/>
    </xf>
    <xf numFmtId="0" fontId="14" fillId="0" borderId="0" xfId="0" applyFont="1" applyAlignment="1">
      <alignment vertical="center"/>
    </xf>
    <xf numFmtId="171" fontId="19" fillId="0" borderId="2" xfId="2" applyNumberFormat="1" applyFont="1" applyFill="1" applyBorder="1" applyAlignment="1" applyProtection="1">
      <alignment horizontal="center" vertical="center"/>
    </xf>
    <xf numFmtId="1" fontId="19" fillId="4" borderId="2" xfId="1" applyNumberFormat="1" applyFont="1" applyFill="1" applyBorder="1" applyAlignment="1" applyProtection="1">
      <alignment horizontal="center" vertical="center"/>
      <protection locked="0"/>
    </xf>
    <xf numFmtId="1" fontId="21" fillId="0" borderId="2" xfId="1" applyNumberFormat="1" applyFont="1" applyBorder="1" applyAlignment="1">
      <alignment horizontal="center" vertical="center"/>
    </xf>
    <xf numFmtId="37" fontId="21" fillId="0" borderId="2" xfId="2" applyNumberFormat="1" applyFont="1" applyBorder="1" applyAlignment="1">
      <alignment horizontal="center" vertical="center"/>
    </xf>
    <xf numFmtId="0" fontId="21" fillId="0" borderId="2" xfId="2" applyNumberFormat="1" applyFont="1" applyBorder="1" applyAlignment="1">
      <alignment horizontal="center" vertical="center"/>
    </xf>
    <xf numFmtId="171" fontId="21" fillId="0" borderId="2" xfId="2" applyNumberFormat="1" applyFont="1" applyBorder="1" applyAlignment="1">
      <alignment horizontal="center" vertical="center"/>
    </xf>
    <xf numFmtId="165" fontId="17" fillId="4" borderId="2" xfId="3" applyNumberFormat="1" applyFont="1" applyFill="1" applyBorder="1" applyAlignment="1" applyProtection="1">
      <alignment horizontal="center" vertical="center"/>
      <protection locked="0"/>
    </xf>
    <xf numFmtId="9" fontId="33" fillId="0" borderId="19" xfId="0" applyNumberFormat="1" applyFont="1" applyBorder="1" applyAlignment="1">
      <alignment horizontal="center" vertical="center"/>
    </xf>
    <xf numFmtId="171" fontId="19" fillId="4" borderId="2" xfId="2" applyNumberFormat="1" applyFont="1" applyFill="1" applyBorder="1" applyAlignment="1" applyProtection="1">
      <alignment horizontal="center" vertical="center" wrapText="1"/>
      <protection locked="0"/>
    </xf>
    <xf numFmtId="171" fontId="19" fillId="0" borderId="2" xfId="2" applyNumberFormat="1" applyFont="1" applyFill="1" applyBorder="1" applyAlignment="1" applyProtection="1">
      <alignment horizontal="center" vertical="center" wrapText="1"/>
    </xf>
    <xf numFmtId="171" fontId="21" fillId="6" borderId="13" xfId="0" applyNumberFormat="1" applyFont="1" applyFill="1" applyBorder="1" applyAlignment="1">
      <alignment horizontal="left" vertical="top" wrapText="1"/>
    </xf>
    <xf numFmtId="171" fontId="21" fillId="0" borderId="2" xfId="2" applyNumberFormat="1" applyFont="1" applyFill="1" applyBorder="1" applyAlignment="1" applyProtection="1">
      <alignment horizontal="center" vertical="center"/>
    </xf>
    <xf numFmtId="171" fontId="21" fillId="7" borderId="13" xfId="0" applyNumberFormat="1" applyFont="1" applyFill="1" applyBorder="1" applyAlignment="1">
      <alignment horizontal="left" vertical="top" wrapText="1"/>
    </xf>
    <xf numFmtId="171" fontId="0" fillId="0" borderId="0" xfId="0" applyNumberFormat="1"/>
    <xf numFmtId="171" fontId="0" fillId="0" borderId="0" xfId="0" applyNumberFormat="1" applyBorder="1"/>
    <xf numFmtId="171" fontId="2" fillId="0" borderId="0" xfId="0" applyNumberFormat="1" applyFont="1"/>
    <xf numFmtId="171" fontId="19" fillId="0" borderId="0" xfId="2" applyNumberFormat="1" applyFont="1" applyFill="1" applyBorder="1" applyAlignment="1" applyProtection="1">
      <alignment horizontal="center" vertical="center"/>
    </xf>
    <xf numFmtId="165" fontId="19" fillId="4" borderId="2" xfId="3" applyNumberFormat="1" applyFont="1" applyFill="1" applyBorder="1" applyAlignment="1" applyProtection="1">
      <alignment horizontal="center" vertical="center"/>
      <protection locked="0"/>
    </xf>
    <xf numFmtId="9" fontId="19" fillId="4" borderId="2" xfId="3" applyNumberFormat="1" applyFont="1" applyFill="1" applyBorder="1" applyAlignment="1" applyProtection="1">
      <alignment horizontal="center" vertical="center"/>
      <protection locked="0"/>
    </xf>
    <xf numFmtId="175" fontId="19" fillId="4" borderId="2" xfId="0" applyNumberFormat="1" applyFont="1" applyFill="1" applyBorder="1" applyAlignment="1" applyProtection="1">
      <alignment horizontal="center" vertical="center"/>
      <protection locked="0"/>
    </xf>
    <xf numFmtId="171" fontId="17" fillId="0" borderId="2" xfId="0" applyNumberFormat="1" applyFont="1" applyFill="1" applyBorder="1" applyAlignment="1" applyProtection="1">
      <alignment horizontal="center" vertical="center"/>
    </xf>
    <xf numFmtId="171" fontId="17" fillId="0" borderId="12" xfId="0" applyNumberFormat="1" applyFont="1" applyFill="1" applyBorder="1" applyAlignment="1" applyProtection="1">
      <alignment horizontal="center" vertical="center"/>
    </xf>
    <xf numFmtId="171" fontId="17" fillId="0" borderId="13" xfId="0" applyNumberFormat="1" applyFont="1" applyFill="1" applyBorder="1" applyAlignment="1" applyProtection="1">
      <alignment horizontal="center"/>
    </xf>
    <xf numFmtId="171" fontId="17" fillId="0" borderId="13" xfId="0" applyNumberFormat="1" applyFont="1" applyBorder="1" applyAlignment="1" applyProtection="1">
      <alignment horizontal="center"/>
    </xf>
    <xf numFmtId="171" fontId="19" fillId="0" borderId="0" xfId="0" applyNumberFormat="1" applyFont="1" applyAlignment="1" applyProtection="1">
      <alignment horizontal="center"/>
      <protection locked="0"/>
    </xf>
    <xf numFmtId="1" fontId="17" fillId="7" borderId="2" xfId="0" applyNumberFormat="1" applyFont="1" applyFill="1" applyBorder="1" applyAlignment="1">
      <alignment horizontal="center"/>
    </xf>
    <xf numFmtId="1" fontId="17" fillId="4" borderId="2" xfId="0" applyNumberFormat="1" applyFont="1" applyFill="1" applyBorder="1" applyAlignment="1" applyProtection="1">
      <alignment horizontal="center" vertical="center"/>
      <protection locked="0"/>
    </xf>
    <xf numFmtId="166" fontId="17" fillId="4" borderId="2" xfId="0" quotePrefix="1" applyNumberFormat="1" applyFont="1" applyFill="1" applyBorder="1" applyAlignment="1" applyProtection="1">
      <alignment horizontal="center" vertical="center"/>
      <protection locked="0"/>
    </xf>
    <xf numFmtId="171" fontId="33" fillId="0" borderId="0" xfId="2" applyNumberFormat="1" applyFont="1" applyAlignment="1">
      <alignment horizontal="center" vertical="center"/>
    </xf>
    <xf numFmtId="171" fontId="33" fillId="0" borderId="0" xfId="0" applyNumberFormat="1" applyFont="1" applyAlignment="1">
      <alignment horizontal="center" vertical="center"/>
    </xf>
    <xf numFmtId="171" fontId="19" fillId="0" borderId="2" xfId="2" applyNumberFormat="1" applyFont="1" applyBorder="1" applyAlignment="1" applyProtection="1">
      <alignment horizontal="center"/>
    </xf>
    <xf numFmtId="171" fontId="21" fillId="0" borderId="2" xfId="2" applyNumberFormat="1" applyFont="1" applyBorder="1" applyAlignment="1" applyProtection="1">
      <alignment horizontal="center"/>
    </xf>
    <xf numFmtId="1" fontId="19" fillId="0" borderId="2" xfId="0" applyNumberFormat="1" applyFont="1" applyBorder="1" applyAlignment="1" applyProtection="1">
      <alignment horizontal="center"/>
    </xf>
    <xf numFmtId="1" fontId="21" fillId="0" borderId="2" xfId="1" applyNumberFormat="1" applyFont="1" applyFill="1" applyBorder="1" applyAlignment="1" applyProtection="1">
      <alignment horizontal="center"/>
    </xf>
    <xf numFmtId="171" fontId="19" fillId="0" borderId="2" xfId="0" applyNumberFormat="1" applyFont="1" applyBorder="1" applyAlignment="1" applyProtection="1">
      <alignment horizontal="center"/>
    </xf>
    <xf numFmtId="171" fontId="21" fillId="0" borderId="2" xfId="0" applyNumberFormat="1" applyFont="1" applyBorder="1" applyAlignment="1" applyProtection="1">
      <alignment horizontal="center"/>
    </xf>
    <xf numFmtId="6" fontId="21" fillId="0" borderId="12" xfId="2" applyNumberFormat="1" applyFont="1" applyBorder="1" applyAlignment="1" applyProtection="1">
      <alignment horizontal="center"/>
    </xf>
    <xf numFmtId="6" fontId="21" fillId="0" borderId="2" xfId="2" applyNumberFormat="1" applyFont="1" applyBorder="1" applyAlignment="1" applyProtection="1">
      <alignment horizontal="center"/>
    </xf>
    <xf numFmtId="0" fontId="21" fillId="0" borderId="14" xfId="0" applyFont="1" applyFill="1" applyBorder="1" applyAlignment="1">
      <alignment vertical="top" wrapText="1"/>
    </xf>
    <xf numFmtId="0" fontId="14" fillId="0" borderId="0" xfId="0" quotePrefix="1" applyFont="1" applyAlignment="1">
      <alignment vertical="center"/>
    </xf>
    <xf numFmtId="0" fontId="20" fillId="0" borderId="0" xfId="0" applyFont="1" applyProtection="1"/>
    <xf numFmtId="0" fontId="14" fillId="7" borderId="0" xfId="0" applyFont="1" applyFill="1"/>
    <xf numFmtId="0" fontId="14" fillId="0" borderId="0" xfId="0" applyFont="1" applyAlignment="1" applyProtection="1">
      <alignment vertical="center"/>
    </xf>
    <xf numFmtId="0" fontId="14" fillId="0" borderId="0" xfId="0" applyFont="1" applyAlignment="1">
      <alignment horizontal="left" vertical="center"/>
    </xf>
    <xf numFmtId="0" fontId="48" fillId="0" borderId="0" xfId="0" applyFont="1" applyFill="1" applyBorder="1" applyAlignment="1">
      <alignment horizontal="center" vertical="center"/>
    </xf>
    <xf numFmtId="171" fontId="17" fillId="4" borderId="2" xfId="0" applyNumberFormat="1" applyFont="1" applyFill="1" applyBorder="1" applyAlignment="1" applyProtection="1">
      <alignment horizontal="center" vertical="center"/>
      <protection locked="0"/>
    </xf>
    <xf numFmtId="171" fontId="17" fillId="0" borderId="13" xfId="0" applyNumberFormat="1" applyFont="1" applyFill="1" applyBorder="1" applyAlignment="1" applyProtection="1">
      <alignment horizontal="center"/>
      <protection locked="0"/>
    </xf>
    <xf numFmtId="171" fontId="17" fillId="0" borderId="13" xfId="0" applyNumberFormat="1" applyFont="1" applyBorder="1" applyAlignment="1" applyProtection="1">
      <alignment horizontal="center"/>
      <protection locked="0"/>
    </xf>
    <xf numFmtId="171" fontId="17" fillId="0" borderId="0" xfId="0" applyNumberFormat="1" applyFont="1" applyAlignment="1">
      <alignment horizontal="center"/>
    </xf>
    <xf numFmtId="6" fontId="33" fillId="0" borderId="1" xfId="0" applyNumberFormat="1" applyFont="1" applyBorder="1" applyAlignment="1" applyProtection="1">
      <alignment vertical="center"/>
    </xf>
    <xf numFmtId="0" fontId="15" fillId="7" borderId="0" xfId="0" applyFont="1" applyFill="1"/>
    <xf numFmtId="0" fontId="21" fillId="7" borderId="0" xfId="0" applyFont="1" applyFill="1"/>
    <xf numFmtId="0" fontId="37" fillId="0" borderId="24" xfId="0" applyFont="1" applyBorder="1" applyAlignment="1">
      <alignment vertical="center"/>
    </xf>
    <xf numFmtId="0" fontId="17" fillId="3" borderId="10" xfId="0" applyFont="1" applyFill="1" applyBorder="1"/>
    <xf numFmtId="0" fontId="17" fillId="3" borderId="11" xfId="0" applyFont="1" applyFill="1" applyBorder="1"/>
    <xf numFmtId="0" fontId="37" fillId="0" borderId="0" xfId="0" applyFont="1" applyAlignment="1">
      <alignment horizontal="left"/>
    </xf>
    <xf numFmtId="0" fontId="48" fillId="14" borderId="0" xfId="0" applyFont="1" applyFill="1" applyAlignment="1">
      <alignment horizontal="center" vertical="center"/>
    </xf>
    <xf numFmtId="0" fontId="37" fillId="7" borderId="0" xfId="0" applyFont="1" applyFill="1"/>
    <xf numFmtId="0" fontId="19" fillId="7" borderId="0" xfId="0" applyFont="1" applyFill="1" applyAlignment="1">
      <alignment horizontal="left" indent="1"/>
    </xf>
    <xf numFmtId="0" fontId="21" fillId="6" borderId="19" xfId="0" applyFont="1" applyFill="1" applyBorder="1" applyAlignment="1">
      <alignment horizontal="left" vertical="top" wrapText="1"/>
    </xf>
    <xf numFmtId="0" fontId="21" fillId="6" borderId="20" xfId="0" applyFont="1" applyFill="1" applyBorder="1" applyAlignment="1">
      <alignment horizontal="left" vertical="top" wrapText="1"/>
    </xf>
    <xf numFmtId="0" fontId="8" fillId="0" borderId="1" xfId="0" applyFont="1" applyBorder="1"/>
    <xf numFmtId="0" fontId="21" fillId="7" borderId="1" xfId="0" applyFont="1" applyFill="1" applyBorder="1" applyAlignment="1">
      <alignment horizontal="left" vertical="top" wrapText="1"/>
    </xf>
    <xf numFmtId="0" fontId="43" fillId="14" borderId="0" xfId="0" applyFont="1" applyFill="1" applyAlignment="1">
      <alignment horizontal="center" vertical="center"/>
    </xf>
    <xf numFmtId="0" fontId="8" fillId="0" borderId="19" xfId="0" applyFont="1" applyBorder="1"/>
    <xf numFmtId="0" fontId="8" fillId="0" borderId="20" xfId="0" applyFont="1" applyBorder="1"/>
    <xf numFmtId="0" fontId="8" fillId="0" borderId="6" xfId="0" applyFont="1" applyBorder="1"/>
    <xf numFmtId="0" fontId="17" fillId="7" borderId="0" xfId="0" applyFont="1" applyFill="1" applyBorder="1" applyProtection="1"/>
    <xf numFmtId="0" fontId="43" fillId="14" borderId="0" xfId="0" applyFont="1" applyFill="1" applyAlignment="1">
      <alignment horizontal="center" vertical="center"/>
    </xf>
    <xf numFmtId="0" fontId="43" fillId="14" borderId="0" xfId="0" applyFont="1" applyFill="1" applyAlignment="1">
      <alignment horizontal="center" vertical="center"/>
    </xf>
    <xf numFmtId="0" fontId="43" fillId="14" borderId="0" xfId="0" applyFont="1" applyFill="1" applyAlignment="1">
      <alignment horizontal="center" vertical="center"/>
    </xf>
    <xf numFmtId="0" fontId="15" fillId="0" borderId="0" xfId="0" applyFont="1" applyAlignment="1">
      <alignment horizontal="left" vertical="center"/>
    </xf>
    <xf numFmtId="0" fontId="43" fillId="14" borderId="0" xfId="0" applyFont="1" applyFill="1" applyAlignment="1">
      <alignment horizontal="center" vertical="center"/>
    </xf>
    <xf numFmtId="0" fontId="19" fillId="0" borderId="2" xfId="0" applyFont="1" applyBorder="1" applyAlignment="1">
      <alignment horizontal="left" vertical="top" wrapText="1"/>
    </xf>
    <xf numFmtId="7" fontId="17" fillId="7" borderId="0" xfId="2" applyNumberFormat="1" applyFont="1" applyFill="1" applyBorder="1" applyAlignment="1" applyProtection="1">
      <alignment horizontal="right" vertical="center"/>
    </xf>
    <xf numFmtId="0" fontId="17" fillId="7" borderId="0" xfId="0" applyFont="1" applyFill="1" applyBorder="1" applyAlignment="1" applyProtection="1">
      <alignment vertical="center"/>
    </xf>
    <xf numFmtId="6" fontId="19" fillId="0" borderId="0" xfId="0" applyNumberFormat="1" applyFont="1" applyAlignment="1" applyProtection="1">
      <alignment horizontal="left" vertical="center"/>
    </xf>
    <xf numFmtId="0" fontId="43" fillId="14" borderId="0" xfId="0" applyFont="1" applyFill="1" applyAlignment="1">
      <alignment horizontal="center" vertical="center"/>
    </xf>
    <xf numFmtId="0" fontId="54" fillId="2" borderId="2" xfId="0" applyFont="1" applyFill="1" applyBorder="1" applyAlignment="1">
      <alignment horizontal="center" vertical="center" wrapText="1"/>
    </xf>
    <xf numFmtId="0" fontId="54" fillId="6" borderId="13" xfId="0" applyFont="1" applyFill="1" applyBorder="1" applyAlignment="1">
      <alignment horizontal="left" vertical="top" wrapText="1"/>
    </xf>
    <xf numFmtId="171" fontId="25" fillId="4" borderId="2" xfId="2" applyNumberFormat="1" applyFont="1" applyFill="1" applyBorder="1" applyAlignment="1" applyProtection="1">
      <alignment horizontal="center" vertical="center" wrapText="1"/>
      <protection locked="0"/>
    </xf>
    <xf numFmtId="171" fontId="54" fillId="6" borderId="13" xfId="0" applyNumberFormat="1" applyFont="1" applyFill="1" applyBorder="1" applyAlignment="1">
      <alignment horizontal="left" vertical="top" wrapText="1"/>
    </xf>
    <xf numFmtId="171" fontId="25" fillId="0" borderId="2" xfId="2" applyNumberFormat="1" applyFont="1" applyFill="1" applyBorder="1" applyAlignment="1" applyProtection="1">
      <alignment horizontal="center" vertical="center" wrapText="1"/>
    </xf>
    <xf numFmtId="0" fontId="25" fillId="0" borderId="0" xfId="0" applyFont="1"/>
    <xf numFmtId="171" fontId="54" fillId="0" borderId="2" xfId="2" applyNumberFormat="1" applyFont="1" applyFill="1" applyBorder="1" applyAlignment="1" applyProtection="1">
      <alignment horizontal="center" vertical="center"/>
    </xf>
    <xf numFmtId="0" fontId="55" fillId="0" borderId="0" xfId="0" applyFont="1"/>
    <xf numFmtId="0" fontId="54" fillId="0" borderId="0" xfId="0" applyFont="1" applyFill="1" applyBorder="1" applyAlignment="1">
      <alignment vertical="top" wrapText="1"/>
    </xf>
    <xf numFmtId="0" fontId="21" fillId="0" borderId="0" xfId="0" applyFont="1" applyFill="1" applyBorder="1" applyAlignment="1">
      <alignment vertical="top" wrapText="1"/>
    </xf>
    <xf numFmtId="0" fontId="2" fillId="0" borderId="0" xfId="0" applyFont="1" applyFill="1" applyBorder="1"/>
    <xf numFmtId="0" fontId="2" fillId="0" borderId="0" xfId="0" applyFont="1" applyAlignment="1">
      <alignment horizontal="center"/>
    </xf>
    <xf numFmtId="40" fontId="8" fillId="0" borderId="0" xfId="0" applyNumberFormat="1" applyFont="1" applyAlignment="1">
      <alignment horizontal="center" vertical="center"/>
    </xf>
    <xf numFmtId="40" fontId="17" fillId="7" borderId="0" xfId="0" applyNumberFormat="1" applyFont="1" applyFill="1"/>
    <xf numFmtId="171" fontId="54" fillId="0" borderId="2" xfId="2" applyNumberFormat="1" applyFont="1" applyFill="1" applyBorder="1" applyAlignment="1" applyProtection="1">
      <alignment horizontal="center" vertical="center" wrapText="1"/>
    </xf>
    <xf numFmtId="171" fontId="54" fillId="0" borderId="0" xfId="2" applyNumberFormat="1" applyFont="1" applyFill="1" applyBorder="1" applyAlignment="1" applyProtection="1">
      <alignment horizontal="center" vertical="center"/>
    </xf>
    <xf numFmtId="0" fontId="21" fillId="0" borderId="0" xfId="0" applyFont="1"/>
    <xf numFmtId="0" fontId="57" fillId="0" borderId="0" xfId="0" applyFont="1"/>
    <xf numFmtId="0" fontId="58" fillId="0" borderId="0" xfId="0" applyFont="1"/>
    <xf numFmtId="0" fontId="59" fillId="0" borderId="0" xfId="0" applyFont="1" applyAlignment="1">
      <alignment vertical="center"/>
    </xf>
    <xf numFmtId="0" fontId="59" fillId="0" borderId="0" xfId="0" applyFont="1" applyFill="1" applyAlignment="1">
      <alignment vertical="center"/>
    </xf>
    <xf numFmtId="0" fontId="60" fillId="0" borderId="0" xfId="0" applyFont="1" applyAlignment="1">
      <alignment vertical="center"/>
    </xf>
    <xf numFmtId="0" fontId="59" fillId="0" borderId="0" xfId="0" applyFont="1"/>
    <xf numFmtId="0" fontId="19" fillId="0" borderId="2" xfId="0" applyFont="1" applyBorder="1" applyAlignment="1">
      <alignment horizontal="left" vertical="top" wrapText="1"/>
    </xf>
    <xf numFmtId="0" fontId="43" fillId="14" borderId="0" xfId="0" applyFont="1" applyFill="1" applyAlignment="1">
      <alignment horizontal="center" vertical="center"/>
    </xf>
    <xf numFmtId="0" fontId="59" fillId="16" borderId="0" xfId="0" applyFont="1" applyFill="1" applyAlignment="1">
      <alignment vertical="center"/>
    </xf>
    <xf numFmtId="171" fontId="59" fillId="0" borderId="0" xfId="0" applyNumberFormat="1" applyFont="1"/>
    <xf numFmtId="0" fontId="63" fillId="0" borderId="0" xfId="0" applyFont="1" applyProtection="1"/>
    <xf numFmtId="0" fontId="57" fillId="0" borderId="0" xfId="0" applyFont="1" applyAlignment="1">
      <alignment vertical="center"/>
    </xf>
    <xf numFmtId="0" fontId="61" fillId="7" borderId="0" xfId="0" applyFont="1" applyFill="1"/>
    <xf numFmtId="0" fontId="61" fillId="7" borderId="0" xfId="0" applyFont="1" applyFill="1" applyAlignment="1" applyProtection="1">
      <alignment vertical="center"/>
    </xf>
    <xf numFmtId="0" fontId="63" fillId="7" borderId="0" xfId="0" applyFont="1" applyFill="1"/>
    <xf numFmtId="0" fontId="61" fillId="0" borderId="0" xfId="0" applyFont="1" applyAlignment="1" applyProtection="1">
      <alignment vertical="center"/>
    </xf>
    <xf numFmtId="0" fontId="65" fillId="0" borderId="0" xfId="0" applyFont="1" applyBorder="1" applyAlignment="1">
      <alignment vertical="center"/>
    </xf>
    <xf numFmtId="0" fontId="59" fillId="0" borderId="0" xfId="0" applyFont="1" applyBorder="1" applyAlignment="1">
      <alignment vertical="center"/>
    </xf>
    <xf numFmtId="0" fontId="59" fillId="0" borderId="0" xfId="0" applyFont="1" applyAlignment="1">
      <alignment horizontal="left" vertical="center"/>
    </xf>
    <xf numFmtId="0" fontId="66" fillId="7" borderId="0" xfId="0" applyFont="1" applyFill="1" applyBorder="1" applyAlignment="1" applyProtection="1">
      <alignment vertical="center"/>
      <protection locked="0"/>
    </xf>
    <xf numFmtId="0" fontId="67" fillId="0" borderId="0" xfId="0" applyFont="1" applyAlignment="1">
      <alignment vertical="center"/>
    </xf>
    <xf numFmtId="0" fontId="66" fillId="0" borderId="0" xfId="0" applyFont="1" applyAlignment="1">
      <alignment vertical="center"/>
    </xf>
    <xf numFmtId="0" fontId="8" fillId="0" borderId="0" xfId="0" applyFont="1" applyAlignment="1">
      <alignment horizontal="left" indent="1"/>
    </xf>
    <xf numFmtId="165" fontId="68" fillId="7" borderId="0" xfId="3" applyNumberFormat="1" applyFont="1" applyFill="1" applyProtection="1"/>
    <xf numFmtId="0" fontId="68" fillId="7" borderId="0" xfId="0" applyFont="1" applyFill="1" applyProtection="1"/>
    <xf numFmtId="0" fontId="17" fillId="7" borderId="0" xfId="0" applyFont="1" applyFill="1" applyBorder="1" applyAlignment="1" applyProtection="1">
      <alignment horizontal="left" vertical="center"/>
    </xf>
    <xf numFmtId="49" fontId="69" fillId="0" borderId="0" xfId="0" applyNumberFormat="1" applyFont="1" applyAlignment="1" applyProtection="1">
      <alignment vertical="center"/>
    </xf>
    <xf numFmtId="6" fontId="69" fillId="0" borderId="0" xfId="0" applyNumberFormat="1" applyFont="1" applyAlignment="1" applyProtection="1">
      <alignment vertical="center"/>
    </xf>
    <xf numFmtId="0" fontId="69" fillId="7" borderId="0" xfId="0" applyFont="1" applyFill="1" applyAlignment="1" applyProtection="1">
      <alignment vertical="center"/>
    </xf>
    <xf numFmtId="6" fontId="69" fillId="7" borderId="0" xfId="0" applyNumberFormat="1" applyFont="1" applyFill="1" applyAlignment="1" applyProtection="1">
      <alignment vertical="center"/>
    </xf>
    <xf numFmtId="0" fontId="69" fillId="7" borderId="0" xfId="0" applyFont="1" applyFill="1" applyBorder="1" applyAlignment="1" applyProtection="1">
      <alignment horizontal="center" vertical="center"/>
    </xf>
    <xf numFmtId="6" fontId="66" fillId="7" borderId="0" xfId="2" applyNumberFormat="1" applyFont="1" applyFill="1" applyBorder="1" applyAlignment="1" applyProtection="1">
      <alignment horizontal="right" vertical="center"/>
    </xf>
    <xf numFmtId="6" fontId="68" fillId="0" borderId="0" xfId="2" applyNumberFormat="1" applyFont="1" applyBorder="1" applyAlignment="1" applyProtection="1">
      <alignment horizontal="center" vertical="center"/>
    </xf>
    <xf numFmtId="0" fontId="47" fillId="0" borderId="0" xfId="0" applyFont="1" applyAlignment="1">
      <alignment horizontal="center"/>
    </xf>
    <xf numFmtId="0" fontId="19" fillId="0" borderId="18" xfId="0" applyFont="1" applyBorder="1" applyAlignment="1">
      <alignment horizontal="left" vertical="center" wrapText="1"/>
    </xf>
    <xf numFmtId="6" fontId="8" fillId="0" borderId="0" xfId="0" applyNumberFormat="1" applyFont="1" applyAlignment="1">
      <alignment vertical="center"/>
    </xf>
    <xf numFmtId="1" fontId="8" fillId="0" borderId="0" xfId="0" applyNumberFormat="1" applyFont="1" applyAlignment="1">
      <alignment vertical="center"/>
    </xf>
    <xf numFmtId="0" fontId="9" fillId="0" borderId="0" xfId="0" applyFont="1" applyBorder="1" applyAlignment="1">
      <alignment vertical="center"/>
    </xf>
    <xf numFmtId="0" fontId="2" fillId="0" borderId="0" xfId="0" applyFont="1" applyBorder="1" applyAlignment="1">
      <alignment vertical="center"/>
    </xf>
    <xf numFmtId="0" fontId="19" fillId="0" borderId="2" xfId="0" applyFont="1" applyBorder="1" applyAlignment="1">
      <alignment horizontal="left" vertical="top" wrapText="1"/>
    </xf>
    <xf numFmtId="0" fontId="21" fillId="4" borderId="0" xfId="0" applyFont="1" applyFill="1" applyAlignment="1">
      <alignment horizontal="center" vertical="center" wrapText="1"/>
    </xf>
    <xf numFmtId="0" fontId="21" fillId="4" borderId="0" xfId="0" applyFont="1" applyFill="1" applyAlignment="1" applyProtection="1">
      <alignment horizontal="center" vertical="center"/>
    </xf>
    <xf numFmtId="0" fontId="14" fillId="0" borderId="0" xfId="0" applyFont="1" applyProtection="1"/>
    <xf numFmtId="0" fontId="37" fillId="0" borderId="0" xfId="0" applyFont="1" applyAlignment="1">
      <alignment vertical="center"/>
    </xf>
    <xf numFmtId="0" fontId="19" fillId="8" borderId="2" xfId="2" applyNumberFormat="1" applyFont="1" applyFill="1" applyBorder="1" applyAlignment="1" applyProtection="1">
      <alignment horizontal="center" vertical="center"/>
    </xf>
    <xf numFmtId="9" fontId="19" fillId="4" borderId="2" xfId="3" applyFont="1" applyFill="1" applyBorder="1" applyAlignment="1" applyProtection="1">
      <alignment horizontal="right" vertical="center" wrapText="1"/>
      <protection locked="0"/>
    </xf>
    <xf numFmtId="0" fontId="17" fillId="0" borderId="18" xfId="2" applyNumberFormat="1" applyFont="1" applyBorder="1" applyAlignment="1" applyProtection="1">
      <alignment horizontal="center" vertical="center"/>
    </xf>
    <xf numFmtId="0" fontId="17" fillId="4" borderId="2" xfId="0" applyNumberFormat="1" applyFont="1" applyFill="1" applyBorder="1" applyAlignment="1" applyProtection="1">
      <alignment horizontal="center" vertical="center"/>
      <protection locked="0"/>
    </xf>
    <xf numFmtId="0" fontId="21" fillId="0" borderId="0" xfId="0" applyFont="1" applyFill="1" applyAlignment="1" applyProtection="1">
      <alignment vertical="center"/>
    </xf>
    <xf numFmtId="0" fontId="19" fillId="0" borderId="2" xfId="0" applyFont="1" applyBorder="1" applyAlignment="1">
      <alignment horizontal="right" vertical="top" wrapText="1"/>
    </xf>
    <xf numFmtId="0" fontId="19" fillId="0" borderId="2" xfId="0" applyFont="1" applyBorder="1" applyAlignment="1">
      <alignment horizontal="left" vertical="top" wrapText="1"/>
    </xf>
    <xf numFmtId="0" fontId="43" fillId="14" borderId="0" xfId="0" applyFont="1" applyFill="1" applyAlignment="1">
      <alignment horizontal="center" vertical="center"/>
    </xf>
    <xf numFmtId="171" fontId="19" fillId="0" borderId="35" xfId="2" applyNumberFormat="1" applyFont="1" applyFill="1" applyBorder="1" applyAlignment="1" applyProtection="1">
      <alignment horizontal="center" vertical="center"/>
    </xf>
    <xf numFmtId="0" fontId="14" fillId="7" borderId="0" xfId="0" applyFont="1" applyFill="1" applyProtection="1"/>
    <xf numFmtId="176" fontId="17" fillId="4" borderId="2" xfId="3" quotePrefix="1" applyNumberFormat="1" applyFont="1" applyFill="1" applyBorder="1" applyAlignment="1" applyProtection="1">
      <alignment horizontal="center" vertical="center"/>
      <protection locked="0"/>
    </xf>
    <xf numFmtId="175" fontId="17" fillId="7" borderId="0" xfId="0" applyNumberFormat="1" applyFont="1" applyFill="1"/>
    <xf numFmtId="177" fontId="17" fillId="7" borderId="0" xfId="0" applyNumberFormat="1" applyFont="1" applyFill="1"/>
    <xf numFmtId="0" fontId="17" fillId="4" borderId="2" xfId="2" applyNumberFormat="1" applyFont="1" applyFill="1" applyBorder="1" applyAlignment="1" applyProtection="1">
      <alignment horizontal="left" vertical="center" wrapText="1"/>
      <protection locked="0"/>
    </xf>
    <xf numFmtId="0" fontId="43" fillId="17" borderId="0" xfId="0" applyFont="1" applyFill="1" applyAlignment="1">
      <alignment vertical="center"/>
    </xf>
    <xf numFmtId="0" fontId="47" fillId="17" borderId="0" xfId="0" applyFont="1" applyFill="1" applyAlignment="1">
      <alignment vertical="center"/>
    </xf>
    <xf numFmtId="9" fontId="0" fillId="0" borderId="0" xfId="3" applyFont="1" applyAlignment="1">
      <alignment horizontal="center" vertical="center"/>
    </xf>
    <xf numFmtId="5" fontId="0" fillId="7" borderId="0" xfId="0" applyNumberFormat="1" applyFill="1" applyBorder="1" applyAlignment="1">
      <alignment horizontal="center"/>
    </xf>
    <xf numFmtId="9" fontId="2" fillId="0" borderId="0" xfId="3" applyFont="1" applyAlignment="1">
      <alignment horizontal="center"/>
    </xf>
    <xf numFmtId="6" fontId="0" fillId="0" borderId="0" xfId="0" applyNumberFormat="1" applyAlignment="1">
      <alignment horizontal="center" vertical="center"/>
    </xf>
    <xf numFmtId="9" fontId="72" fillId="0" borderId="0" xfId="0" applyNumberFormat="1" applyFont="1" applyAlignment="1">
      <alignment horizontal="left" vertical="center"/>
    </xf>
    <xf numFmtId="0" fontId="43" fillId="14" borderId="0" xfId="0" applyFont="1" applyFill="1" applyAlignment="1">
      <alignment horizontal="center" vertical="center"/>
    </xf>
    <xf numFmtId="0" fontId="19" fillId="0" borderId="12" xfId="2" applyNumberFormat="1" applyFont="1" applyBorder="1" applyAlignment="1" applyProtection="1">
      <alignment horizontal="left"/>
    </xf>
    <xf numFmtId="0" fontId="19" fillId="0" borderId="13" xfId="2" applyNumberFormat="1" applyFont="1" applyBorder="1" applyAlignment="1" applyProtection="1">
      <alignment horizontal="left"/>
    </xf>
    <xf numFmtId="0" fontId="19" fillId="0" borderId="4" xfId="2" applyNumberFormat="1" applyFont="1" applyBorder="1" applyAlignment="1" applyProtection="1">
      <alignment horizontal="left"/>
    </xf>
    <xf numFmtId="171" fontId="0" fillId="0" borderId="0" xfId="0" applyNumberFormat="1" applyAlignment="1">
      <alignment horizontal="center" vertical="center"/>
    </xf>
    <xf numFmtId="0" fontId="2" fillId="0" borderId="9" xfId="0" applyFont="1" applyBorder="1" applyAlignment="1">
      <alignment vertical="center"/>
    </xf>
    <xf numFmtId="0" fontId="2" fillId="0" borderId="0" xfId="0" applyFont="1" applyAlignment="1">
      <alignment horizontal="center" vertical="center"/>
    </xf>
    <xf numFmtId="0" fontId="21" fillId="0" borderId="12" xfId="0" applyFont="1" applyBorder="1" applyAlignment="1">
      <alignment horizontal="left" vertical="top" wrapText="1" indent="1"/>
    </xf>
    <xf numFmtId="0" fontId="6" fillId="7" borderId="0" xfId="0" applyFont="1" applyFill="1" applyAlignment="1">
      <alignment vertical="center"/>
    </xf>
    <xf numFmtId="0" fontId="15" fillId="7" borderId="0" xfId="0" applyFont="1" applyFill="1" applyAlignment="1">
      <alignment horizontal="left" vertical="center"/>
    </xf>
    <xf numFmtId="0" fontId="3" fillId="7" borderId="0" xfId="0" applyFont="1" applyFill="1" applyAlignment="1">
      <alignment vertical="center"/>
    </xf>
    <xf numFmtId="0" fontId="37" fillId="7" borderId="0" xfId="0" applyFont="1" applyFill="1" applyAlignment="1">
      <alignment horizontal="left"/>
    </xf>
    <xf numFmtId="0" fontId="21" fillId="7" borderId="0" xfId="0" applyFont="1" applyFill="1" applyBorder="1" applyAlignment="1">
      <alignment vertical="top" wrapText="1"/>
    </xf>
    <xf numFmtId="0" fontId="19" fillId="7" borderId="0" xfId="0" applyFont="1" applyFill="1" applyBorder="1"/>
    <xf numFmtId="7" fontId="19" fillId="4" borderId="2" xfId="2" applyNumberFormat="1" applyFont="1" applyFill="1" applyBorder="1" applyAlignment="1" applyProtection="1">
      <alignment horizontal="center" vertical="center" wrapText="1"/>
      <protection locked="0"/>
    </xf>
    <xf numFmtId="1" fontId="19" fillId="4" borderId="2" xfId="2" applyNumberFormat="1" applyFont="1" applyFill="1" applyBorder="1" applyAlignment="1" applyProtection="1">
      <alignment horizontal="center" vertical="center" wrapText="1"/>
      <protection locked="0"/>
    </xf>
    <xf numFmtId="0" fontId="19" fillId="4" borderId="2" xfId="2" applyNumberFormat="1" applyFont="1" applyFill="1" applyBorder="1" applyAlignment="1" applyProtection="1">
      <alignment horizontal="center" vertical="center" wrapText="1"/>
      <protection locked="0"/>
    </xf>
    <xf numFmtId="3" fontId="19" fillId="4" borderId="2" xfId="2" applyNumberFormat="1" applyFont="1" applyFill="1" applyBorder="1" applyAlignment="1" applyProtection="1">
      <alignment horizontal="center" vertical="center" wrapText="1"/>
      <protection locked="0"/>
    </xf>
    <xf numFmtId="0" fontId="14" fillId="7" borderId="0" xfId="0" applyFont="1" applyFill="1" applyAlignment="1">
      <alignment horizontal="left"/>
    </xf>
    <xf numFmtId="1" fontId="14" fillId="7" borderId="0" xfId="0" applyNumberFormat="1" applyFont="1" applyFill="1"/>
    <xf numFmtId="0" fontId="19" fillId="0" borderId="2" xfId="2" applyNumberFormat="1" applyFont="1" applyFill="1" applyBorder="1" applyAlignment="1" applyProtection="1">
      <alignment horizontal="center" vertical="center" wrapText="1"/>
    </xf>
    <xf numFmtId="171" fontId="21" fillId="0" borderId="2" xfId="2" applyNumberFormat="1" applyFont="1" applyFill="1" applyBorder="1" applyAlignment="1" applyProtection="1">
      <alignment horizontal="center" vertical="center" wrapText="1"/>
    </xf>
    <xf numFmtId="0" fontId="19" fillId="4" borderId="4" xfId="2" applyNumberFormat="1" applyFont="1" applyFill="1" applyBorder="1" applyAlignment="1" applyProtection="1">
      <alignment horizontal="center" vertical="top" wrapText="1"/>
      <protection locked="0"/>
    </xf>
    <xf numFmtId="0" fontId="74" fillId="7" borderId="0" xfId="0" applyFont="1" applyFill="1"/>
    <xf numFmtId="0" fontId="54" fillId="0" borderId="12" xfId="0" applyFont="1" applyFill="1" applyBorder="1" applyAlignment="1">
      <alignment horizontal="left" vertical="center" wrapText="1"/>
    </xf>
    <xf numFmtId="5" fontId="19" fillId="0" borderId="12" xfId="2" applyNumberFormat="1" applyFont="1" applyBorder="1" applyAlignment="1" applyProtection="1">
      <alignment horizontal="center"/>
    </xf>
    <xf numFmtId="5" fontId="19" fillId="0" borderId="2" xfId="2" applyNumberFormat="1" applyFont="1" applyBorder="1" applyAlignment="1" applyProtection="1">
      <alignment horizontal="center"/>
    </xf>
    <xf numFmtId="5" fontId="21" fillId="0" borderId="12" xfId="2" applyNumberFormat="1" applyFont="1" applyBorder="1" applyAlignment="1" applyProtection="1">
      <alignment horizontal="center"/>
    </xf>
    <xf numFmtId="5" fontId="21" fillId="0" borderId="2" xfId="2" applyNumberFormat="1" applyFont="1" applyBorder="1" applyAlignment="1" applyProtection="1">
      <alignment horizontal="center"/>
    </xf>
    <xf numFmtId="5" fontId="19" fillId="0" borderId="12" xfId="0" applyNumberFormat="1" applyFont="1" applyBorder="1" applyAlignment="1" applyProtection="1">
      <alignment horizontal="center"/>
    </xf>
    <xf numFmtId="5" fontId="19" fillId="0" borderId="2" xfId="0" applyNumberFormat="1" applyFont="1" applyBorder="1" applyAlignment="1" applyProtection="1">
      <alignment horizontal="center"/>
    </xf>
    <xf numFmtId="0" fontId="17" fillId="0" borderId="17" xfId="0" applyNumberFormat="1" applyFont="1" applyBorder="1" applyAlignment="1" applyProtection="1">
      <alignment vertical="center"/>
    </xf>
    <xf numFmtId="165" fontId="8" fillId="0" borderId="0" xfId="3" applyNumberFormat="1" applyFont="1" applyAlignment="1">
      <alignment vertical="center"/>
    </xf>
    <xf numFmtId="0" fontId="75" fillId="0" borderId="0" xfId="0" applyFont="1" applyAlignment="1">
      <alignment vertical="center"/>
    </xf>
    <xf numFmtId="5" fontId="76" fillId="0" borderId="0" xfId="0" applyNumberFormat="1" applyFont="1" applyFill="1" applyAlignment="1">
      <alignment vertical="center"/>
    </xf>
    <xf numFmtId="0" fontId="71" fillId="7" borderId="0" xfId="0" applyFont="1" applyFill="1"/>
    <xf numFmtId="5" fontId="33" fillId="0" borderId="15" xfId="2" applyNumberFormat="1" applyFont="1" applyBorder="1" applyAlignment="1" applyProtection="1">
      <alignment horizontal="center" vertical="center"/>
    </xf>
    <xf numFmtId="5" fontId="33" fillId="0" borderId="19" xfId="2" applyNumberFormat="1" applyFont="1" applyBorder="1" applyAlignment="1" applyProtection="1">
      <alignment horizontal="center" vertical="center"/>
    </xf>
    <xf numFmtId="5" fontId="33" fillId="0" borderId="0" xfId="2" applyNumberFormat="1" applyFont="1" applyBorder="1" applyAlignment="1" applyProtection="1">
      <alignment horizontal="center" vertical="center"/>
    </xf>
    <xf numFmtId="5" fontId="33" fillId="0" borderId="20" xfId="2" applyNumberFormat="1" applyFont="1" applyBorder="1" applyAlignment="1" applyProtection="1">
      <alignment horizontal="center" vertical="center"/>
    </xf>
    <xf numFmtId="5" fontId="32" fillId="0" borderId="14" xfId="2" applyNumberFormat="1" applyFont="1" applyBorder="1" applyAlignment="1" applyProtection="1">
      <alignment horizontal="center" vertical="center"/>
    </xf>
    <xf numFmtId="5" fontId="32" fillId="0" borderId="6" xfId="2" applyNumberFormat="1" applyFont="1" applyBorder="1" applyAlignment="1" applyProtection="1">
      <alignment horizontal="center" vertical="center"/>
    </xf>
    <xf numFmtId="5" fontId="33" fillId="0" borderId="0" xfId="0" applyNumberFormat="1" applyFont="1" applyAlignment="1">
      <alignment horizontal="center" vertical="center"/>
    </xf>
    <xf numFmtId="5" fontId="33" fillId="0" borderId="0" xfId="2" applyNumberFormat="1" applyFont="1" applyAlignment="1">
      <alignment horizontal="center" vertical="center"/>
    </xf>
    <xf numFmtId="5" fontId="33" fillId="0" borderId="0" xfId="0" applyNumberFormat="1" applyFont="1" applyAlignment="1">
      <alignment vertical="center"/>
    </xf>
    <xf numFmtId="5" fontId="33" fillId="0" borderId="15" xfId="2" applyNumberFormat="1" applyFont="1" applyBorder="1" applyAlignment="1">
      <alignment horizontal="center" vertical="center"/>
    </xf>
    <xf numFmtId="5" fontId="33" fillId="0" borderId="19" xfId="2" applyNumberFormat="1" applyFont="1" applyBorder="1" applyAlignment="1">
      <alignment horizontal="center" vertical="center"/>
    </xf>
    <xf numFmtId="5" fontId="32" fillId="0" borderId="14" xfId="2" applyNumberFormat="1" applyFont="1" applyBorder="1" applyAlignment="1">
      <alignment horizontal="center" vertical="center"/>
    </xf>
    <xf numFmtId="5" fontId="32" fillId="0" borderId="6" xfId="2" applyNumberFormat="1" applyFont="1" applyBorder="1" applyAlignment="1">
      <alignment horizontal="center" vertical="center"/>
    </xf>
    <xf numFmtId="5" fontId="32" fillId="0" borderId="0" xfId="2" applyNumberFormat="1" applyFont="1" applyBorder="1" applyAlignment="1">
      <alignment horizontal="center" vertical="center"/>
    </xf>
    <xf numFmtId="5" fontId="32" fillId="0" borderId="20" xfId="2" applyNumberFormat="1" applyFont="1" applyBorder="1" applyAlignment="1">
      <alignment horizontal="center" vertical="center"/>
    </xf>
    <xf numFmtId="5" fontId="33" fillId="0" borderId="0" xfId="2" applyNumberFormat="1" applyFont="1" applyBorder="1" applyAlignment="1">
      <alignment horizontal="center" vertical="center"/>
    </xf>
    <xf numFmtId="5" fontId="33" fillId="0" borderId="20" xfId="2" applyNumberFormat="1" applyFont="1" applyBorder="1" applyAlignment="1">
      <alignment horizontal="center" vertical="center"/>
    </xf>
    <xf numFmtId="5" fontId="33" fillId="0" borderId="0" xfId="0" applyNumberFormat="1" applyFont="1" applyBorder="1" applyAlignment="1">
      <alignment horizontal="center" vertical="center"/>
    </xf>
    <xf numFmtId="5" fontId="33" fillId="0" borderId="20" xfId="0" applyNumberFormat="1" applyFont="1" applyBorder="1" applyAlignment="1">
      <alignment horizontal="center" vertical="center"/>
    </xf>
    <xf numFmtId="5" fontId="45" fillId="4" borderId="2" xfId="2" applyNumberFormat="1" applyFont="1" applyFill="1" applyBorder="1" applyAlignment="1" applyProtection="1">
      <alignment horizontal="center"/>
      <protection locked="0"/>
    </xf>
    <xf numFmtId="0" fontId="43" fillId="14" borderId="0" xfId="0" applyFont="1" applyFill="1" applyAlignment="1">
      <alignment horizontal="center" vertical="center"/>
    </xf>
    <xf numFmtId="0" fontId="54" fillId="0" borderId="12" xfId="0" applyFont="1" applyFill="1" applyBorder="1" applyAlignment="1">
      <alignment horizontal="center" vertical="center" wrapText="1"/>
    </xf>
    <xf numFmtId="0" fontId="17" fillId="7" borderId="0" xfId="0" applyFont="1" applyFill="1" applyAlignment="1">
      <alignment horizontal="center" vertical="center"/>
    </xf>
    <xf numFmtId="0" fontId="54" fillId="7" borderId="0" xfId="0" applyFont="1" applyFill="1" applyBorder="1" applyAlignment="1">
      <alignment vertical="top" wrapText="1"/>
    </xf>
    <xf numFmtId="0" fontId="43" fillId="14" borderId="0" xfId="0" applyFont="1" applyFill="1" applyAlignment="1">
      <alignment horizontal="center" vertical="center"/>
    </xf>
    <xf numFmtId="5" fontId="19" fillId="7" borderId="0" xfId="0" applyNumberFormat="1" applyFont="1" applyFill="1"/>
    <xf numFmtId="165" fontId="19" fillId="7" borderId="0" xfId="3" applyNumberFormat="1" applyFont="1" applyFill="1"/>
    <xf numFmtId="5" fontId="21" fillId="7" borderId="0" xfId="0" applyNumberFormat="1" applyFont="1" applyFill="1"/>
    <xf numFmtId="0" fontId="19" fillId="7" borderId="0" xfId="0" applyFont="1" applyFill="1" applyAlignment="1">
      <alignment horizontal="right"/>
    </xf>
    <xf numFmtId="0" fontId="27" fillId="7" borderId="0" xfId="0" applyFont="1" applyFill="1"/>
    <xf numFmtId="0" fontId="2" fillId="0" borderId="9" xfId="0" applyFont="1" applyBorder="1" applyAlignment="1" applyProtection="1">
      <alignment vertical="center"/>
      <protection locked="0"/>
    </xf>
    <xf numFmtId="0" fontId="21" fillId="2" borderId="2" xfId="0" applyFont="1" applyFill="1" applyBorder="1" applyAlignment="1">
      <alignment horizontal="left" vertical="center" wrapText="1"/>
    </xf>
    <xf numFmtId="165" fontId="19" fillId="7" borderId="0" xfId="3" quotePrefix="1" applyNumberFormat="1" applyFont="1" applyFill="1" applyBorder="1" applyAlignment="1" applyProtection="1">
      <alignment horizontal="right" vertical="center"/>
      <protection locked="0"/>
    </xf>
    <xf numFmtId="0" fontId="17" fillId="7" borderId="0" xfId="0" quotePrefix="1" applyFont="1" applyFill="1" applyBorder="1" applyAlignment="1">
      <alignment horizontal="left" vertical="top" wrapText="1"/>
    </xf>
    <xf numFmtId="0" fontId="17" fillId="7" borderId="0" xfId="0" applyFont="1" applyFill="1" applyBorder="1" applyAlignment="1">
      <alignment horizontal="left" vertical="top" wrapText="1"/>
    </xf>
    <xf numFmtId="0" fontId="17" fillId="7" borderId="0" xfId="0" quotePrefix="1" applyFont="1" applyFill="1" applyBorder="1" applyAlignment="1">
      <alignment horizontal="left" vertical="top" wrapText="1"/>
    </xf>
    <xf numFmtId="0" fontId="20" fillId="7" borderId="0" xfId="0" applyFont="1" applyFill="1" applyBorder="1" applyAlignment="1">
      <alignment horizontal="left" vertical="top" wrapText="1"/>
    </xf>
    <xf numFmtId="0" fontId="21" fillId="3" borderId="0" xfId="0" applyFont="1" applyFill="1" applyBorder="1" applyAlignment="1">
      <alignment horizontal="left" vertical="top" wrapText="1"/>
    </xf>
    <xf numFmtId="0" fontId="20" fillId="2" borderId="26" xfId="0" applyFont="1" applyFill="1" applyBorder="1" applyAlignment="1">
      <alignment horizontal="left" indent="1"/>
    </xf>
    <xf numFmtId="0" fontId="20" fillId="2" borderId="27" xfId="0" applyFont="1" applyFill="1" applyBorder="1" applyAlignment="1">
      <alignment horizontal="left" indent="1"/>
    </xf>
    <xf numFmtId="0" fontId="20" fillId="2" borderId="28" xfId="0" applyFont="1" applyFill="1" applyBorder="1" applyAlignment="1">
      <alignment horizontal="left" indent="1"/>
    </xf>
    <xf numFmtId="0" fontId="21" fillId="3" borderId="0" xfId="0" applyFont="1" applyFill="1" applyBorder="1" applyAlignment="1">
      <alignment vertical="top" wrapText="1"/>
    </xf>
    <xf numFmtId="0" fontId="19" fillId="0" borderId="0" xfId="0" applyFont="1" applyBorder="1" applyAlignment="1">
      <alignment vertical="top" wrapText="1"/>
    </xf>
    <xf numFmtId="0" fontId="21" fillId="3" borderId="24" xfId="0" applyFont="1" applyFill="1" applyBorder="1" applyAlignment="1">
      <alignment vertical="top" wrapText="1"/>
    </xf>
    <xf numFmtId="0" fontId="15" fillId="0" borderId="0" xfId="0" applyFont="1" applyAlignment="1">
      <alignment horizontal="center"/>
    </xf>
    <xf numFmtId="0" fontId="16" fillId="0" borderId="0" xfId="0" applyFont="1" applyAlignment="1"/>
    <xf numFmtId="164" fontId="15" fillId="0" borderId="0" xfId="0" applyNumberFormat="1" applyFont="1" applyBorder="1" applyAlignment="1">
      <alignment horizontal="center"/>
    </xf>
    <xf numFmtId="164" fontId="18" fillId="0" borderId="0" xfId="0" applyNumberFormat="1" applyFont="1" applyBorder="1" applyAlignment="1">
      <alignment horizontal="center"/>
    </xf>
    <xf numFmtId="0" fontId="18" fillId="0" borderId="0" xfId="0" applyFont="1" applyAlignment="1"/>
    <xf numFmtId="164" fontId="20" fillId="2" borderId="26" xfId="0" applyNumberFormat="1" applyFont="1" applyFill="1" applyBorder="1" applyAlignment="1">
      <alignment horizontal="center"/>
    </xf>
    <xf numFmtId="164" fontId="20" fillId="2" borderId="27" xfId="0" applyNumberFormat="1" applyFont="1" applyFill="1" applyBorder="1" applyAlignment="1">
      <alignment horizontal="center"/>
    </xf>
    <xf numFmtId="164" fontId="20" fillId="2" borderId="28" xfId="0" applyNumberFormat="1" applyFont="1" applyFill="1" applyBorder="1" applyAlignment="1">
      <alignment horizontal="center"/>
    </xf>
    <xf numFmtId="0" fontId="17" fillId="4" borderId="29" xfId="0" applyFont="1" applyFill="1" applyBorder="1" applyAlignment="1" applyProtection="1">
      <protection locked="0"/>
    </xf>
    <xf numFmtId="0" fontId="19" fillId="0" borderId="30" xfId="0" applyFont="1" applyBorder="1" applyAlignment="1" applyProtection="1">
      <protection locked="0"/>
    </xf>
    <xf numFmtId="0" fontId="17" fillId="4" borderId="12" xfId="0" applyFont="1" applyFill="1" applyBorder="1" applyAlignment="1" applyProtection="1">
      <protection locked="0"/>
    </xf>
    <xf numFmtId="0" fontId="19" fillId="0" borderId="31" xfId="0" applyFont="1" applyBorder="1" applyAlignment="1" applyProtection="1">
      <protection locked="0"/>
    </xf>
    <xf numFmtId="14" fontId="17" fillId="4" borderId="12" xfId="0" applyNumberFormat="1" applyFont="1" applyFill="1" applyBorder="1" applyAlignment="1" applyProtection="1">
      <alignment horizontal="left"/>
      <protection locked="0"/>
    </xf>
    <xf numFmtId="0" fontId="19" fillId="0" borderId="31" xfId="0" applyFont="1" applyBorder="1" applyAlignment="1" applyProtection="1">
      <alignment horizontal="left"/>
      <protection locked="0"/>
    </xf>
    <xf numFmtId="164" fontId="62" fillId="0" borderId="0" xfId="0" applyNumberFormat="1" applyFont="1" applyFill="1" applyBorder="1" applyAlignment="1">
      <alignment horizontal="center"/>
    </xf>
    <xf numFmtId="0" fontId="62" fillId="0" borderId="0" xfId="0" applyFont="1" applyFill="1" applyAlignment="1"/>
    <xf numFmtId="0" fontId="19" fillId="4" borderId="12" xfId="2" applyNumberFormat="1" applyFont="1" applyFill="1" applyBorder="1" applyAlignment="1" applyProtection="1">
      <alignment horizontal="left" vertical="top" wrapText="1"/>
      <protection locked="0"/>
    </xf>
    <xf numFmtId="0" fontId="19" fillId="4" borderId="13" xfId="2" applyNumberFormat="1" applyFont="1" applyFill="1" applyBorder="1" applyAlignment="1" applyProtection="1">
      <alignment horizontal="left" vertical="top" wrapText="1"/>
      <protection locked="0"/>
    </xf>
    <xf numFmtId="0" fontId="19" fillId="4" borderId="4" xfId="2" applyNumberFormat="1" applyFont="1" applyFill="1" applyBorder="1" applyAlignment="1" applyProtection="1">
      <alignment horizontal="left" vertical="top" wrapText="1"/>
      <protection locked="0"/>
    </xf>
    <xf numFmtId="0" fontId="25" fillId="0" borderId="33" xfId="0" applyFont="1" applyBorder="1" applyAlignment="1">
      <alignment vertical="center"/>
    </xf>
    <xf numFmtId="0" fontId="25" fillId="0" borderId="2" xfId="0" applyFont="1" applyBorder="1" applyAlignment="1">
      <alignment vertical="center"/>
    </xf>
    <xf numFmtId="0" fontId="15" fillId="0" borderId="0" xfId="0" applyFont="1" applyAlignment="1">
      <alignment horizontal="left" vertical="center" wrapText="1"/>
    </xf>
    <xf numFmtId="0" fontId="19" fillId="0" borderId="0" xfId="0" applyFont="1" applyAlignment="1">
      <alignment horizontal="left" vertical="top" wrapText="1"/>
    </xf>
    <xf numFmtId="6" fontId="19" fillId="4" borderId="12" xfId="0" applyNumberFormat="1" applyFont="1" applyFill="1" applyBorder="1" applyAlignment="1" applyProtection="1">
      <alignment horizontal="center" vertical="center" wrapText="1"/>
      <protection locked="0"/>
    </xf>
    <xf numFmtId="6" fontId="19" fillId="4" borderId="4" xfId="0" applyNumberFormat="1" applyFont="1" applyFill="1" applyBorder="1" applyAlignment="1" applyProtection="1">
      <alignment horizontal="center" vertical="center" wrapText="1"/>
      <protection locked="0"/>
    </xf>
    <xf numFmtId="0" fontId="19" fillId="0" borderId="33" xfId="0" applyFont="1" applyBorder="1" applyAlignment="1">
      <alignment horizontal="left" vertical="center"/>
    </xf>
    <xf numFmtId="0" fontId="19" fillId="0" borderId="2" xfId="0" applyFont="1" applyBorder="1" applyAlignment="1">
      <alignment horizontal="left" vertical="center"/>
    </xf>
    <xf numFmtId="0" fontId="19" fillId="0" borderId="3" xfId="0" applyFont="1" applyBorder="1" applyAlignment="1">
      <alignment vertical="center"/>
    </xf>
    <xf numFmtId="0" fontId="19" fillId="0" borderId="13" xfId="0" applyFont="1" applyBorder="1" applyAlignment="1">
      <alignment vertical="center"/>
    </xf>
    <xf numFmtId="0" fontId="19" fillId="0" borderId="4" xfId="0" applyFont="1" applyBorder="1" applyAlignment="1">
      <alignment vertical="center"/>
    </xf>
    <xf numFmtId="0" fontId="19" fillId="0" borderId="7" xfId="0" applyFont="1" applyBorder="1" applyAlignment="1">
      <alignment vertical="center"/>
    </xf>
    <xf numFmtId="0" fontId="19" fillId="0" borderId="25" xfId="0" applyFont="1" applyBorder="1" applyAlignment="1">
      <alignment vertical="center"/>
    </xf>
    <xf numFmtId="0" fontId="19" fillId="0" borderId="8" xfId="0" applyFont="1" applyBorder="1" applyAlignment="1">
      <alignment vertical="center"/>
    </xf>
    <xf numFmtId="0" fontId="25" fillId="0" borderId="34" xfId="0" applyFont="1" applyBorder="1" applyAlignment="1">
      <alignment vertical="center"/>
    </xf>
    <xf numFmtId="0" fontId="25" fillId="0" borderId="35" xfId="0" applyFont="1" applyBorder="1" applyAlignment="1">
      <alignment vertical="center"/>
    </xf>
    <xf numFmtId="0" fontId="19" fillId="0" borderId="33" xfId="0" applyFont="1" applyFill="1" applyBorder="1" applyAlignment="1" applyProtection="1">
      <alignment horizontal="left" vertical="center"/>
    </xf>
    <xf numFmtId="0" fontId="19" fillId="0" borderId="2" xfId="0" applyFont="1" applyFill="1" applyBorder="1" applyAlignment="1" applyProtection="1">
      <alignment horizontal="left" vertical="center"/>
    </xf>
    <xf numFmtId="0" fontId="45" fillId="15" borderId="12" xfId="0" applyFont="1" applyFill="1" applyBorder="1" applyAlignment="1" applyProtection="1">
      <alignment horizontal="left" vertical="center"/>
      <protection locked="0"/>
    </xf>
    <xf numFmtId="0" fontId="45" fillId="15" borderId="13" xfId="0" applyFont="1" applyFill="1" applyBorder="1" applyAlignment="1" applyProtection="1">
      <alignment horizontal="left" vertical="center"/>
      <protection locked="0"/>
    </xf>
    <xf numFmtId="0" fontId="45" fillId="15" borderId="4" xfId="0" applyFont="1" applyFill="1" applyBorder="1" applyAlignment="1" applyProtection="1">
      <alignment horizontal="left" vertical="center"/>
      <protection locked="0"/>
    </xf>
    <xf numFmtId="0" fontId="15" fillId="0" borderId="0" xfId="0" quotePrefix="1" applyFont="1" applyAlignment="1">
      <alignment horizontal="left" vertical="center"/>
    </xf>
    <xf numFmtId="0" fontId="15" fillId="0" borderId="0" xfId="0" applyFont="1" applyAlignment="1">
      <alignment horizontal="left" vertical="center"/>
    </xf>
    <xf numFmtId="0" fontId="21" fillId="4" borderId="0" xfId="0" applyFont="1" applyFill="1" applyAlignment="1">
      <alignment horizontal="center" vertical="center"/>
    </xf>
    <xf numFmtId="0" fontId="19" fillId="0" borderId="0" xfId="0" applyFont="1" applyFill="1" applyBorder="1" applyAlignment="1">
      <alignment horizontal="left" vertical="center" wrapText="1"/>
    </xf>
    <xf numFmtId="0" fontId="26" fillId="10" borderId="12" xfId="0" applyFont="1" applyFill="1" applyBorder="1" applyAlignment="1">
      <alignment horizontal="center"/>
    </xf>
    <xf numFmtId="0" fontId="26" fillId="10" borderId="13" xfId="0" applyFont="1" applyFill="1" applyBorder="1" applyAlignment="1">
      <alignment horizontal="center"/>
    </xf>
    <xf numFmtId="0" fontId="26" fillId="10" borderId="4" xfId="0" applyFont="1" applyFill="1" applyBorder="1" applyAlignment="1">
      <alignment horizontal="center"/>
    </xf>
    <xf numFmtId="0" fontId="61" fillId="0" borderId="0" xfId="0" applyFont="1" applyFill="1" applyBorder="1" applyAlignment="1">
      <alignment horizontal="left" vertical="center" wrapText="1"/>
    </xf>
    <xf numFmtId="0" fontId="2" fillId="0" borderId="0" xfId="0" applyFont="1" applyAlignment="1">
      <alignment horizontal="left" vertical="top" wrapText="1"/>
    </xf>
    <xf numFmtId="0" fontId="21" fillId="0" borderId="12" xfId="0" applyFont="1" applyFill="1" applyBorder="1" applyAlignment="1">
      <alignment horizontal="left" vertical="center" wrapText="1"/>
    </xf>
    <xf numFmtId="0" fontId="21" fillId="0" borderId="4" xfId="0" applyFont="1" applyFill="1" applyBorder="1" applyAlignment="1">
      <alignment horizontal="left" vertical="center" wrapText="1"/>
    </xf>
    <xf numFmtId="0" fontId="43" fillId="14" borderId="0" xfId="0" applyFont="1" applyFill="1" applyAlignment="1">
      <alignment horizontal="center" vertical="center"/>
    </xf>
    <xf numFmtId="0" fontId="19" fillId="4" borderId="12" xfId="2" applyNumberFormat="1" applyFont="1" applyFill="1" applyBorder="1" applyAlignment="1" applyProtection="1">
      <alignment horizontal="left" vertical="center" wrapText="1"/>
      <protection locked="0"/>
    </xf>
    <xf numFmtId="0" fontId="19" fillId="4" borderId="13" xfId="2" applyNumberFormat="1" applyFont="1" applyFill="1" applyBorder="1" applyAlignment="1" applyProtection="1">
      <alignment horizontal="left" vertical="center" wrapText="1"/>
      <protection locked="0"/>
    </xf>
    <xf numFmtId="0" fontId="19" fillId="4" borderId="4" xfId="2" applyNumberFormat="1" applyFont="1" applyFill="1" applyBorder="1" applyAlignment="1" applyProtection="1">
      <alignment horizontal="left" vertical="center" wrapText="1"/>
      <protection locked="0"/>
    </xf>
    <xf numFmtId="0" fontId="19" fillId="0" borderId="0" xfId="0" applyFont="1" applyAlignment="1">
      <alignment horizontal="left" wrapText="1" indent="1"/>
    </xf>
    <xf numFmtId="0" fontId="21" fillId="2" borderId="2" xfId="0" applyFont="1" applyFill="1" applyBorder="1" applyAlignment="1">
      <alignment horizontal="left" vertical="top" wrapText="1"/>
    </xf>
    <xf numFmtId="0" fontId="19" fillId="0" borderId="2" xfId="0" applyFont="1" applyBorder="1" applyAlignment="1">
      <alignment horizontal="left" vertical="top" wrapText="1"/>
    </xf>
    <xf numFmtId="0" fontId="21" fillId="2" borderId="12" xfId="0" applyFont="1" applyFill="1" applyBorder="1" applyAlignment="1">
      <alignment horizontal="left" vertical="top" wrapText="1"/>
    </xf>
    <xf numFmtId="0" fontId="21" fillId="2" borderId="13" xfId="0" applyFont="1" applyFill="1" applyBorder="1" applyAlignment="1">
      <alignment horizontal="left" vertical="top" wrapText="1"/>
    </xf>
    <xf numFmtId="0" fontId="21" fillId="2" borderId="4" xfId="0" applyFont="1" applyFill="1" applyBorder="1" applyAlignment="1">
      <alignment horizontal="left" vertical="top" wrapText="1"/>
    </xf>
    <xf numFmtId="0" fontId="21" fillId="4" borderId="0" xfId="0" applyFont="1" applyFill="1" applyAlignment="1">
      <alignment horizontal="center" vertical="center"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4" xfId="0" applyFont="1" applyBorder="1" applyAlignment="1">
      <alignment horizontal="left" vertical="top" wrapText="1"/>
    </xf>
    <xf numFmtId="0" fontId="21" fillId="7" borderId="0" xfId="0" applyFont="1" applyFill="1" applyAlignment="1">
      <alignment horizontal="left" vertical="top" wrapText="1" indent="1"/>
    </xf>
    <xf numFmtId="0" fontId="19" fillId="7" borderId="0" xfId="0" applyFont="1" applyFill="1" applyBorder="1" applyAlignment="1">
      <alignment horizontal="left" vertical="top" wrapText="1"/>
    </xf>
    <xf numFmtId="0" fontId="20" fillId="0" borderId="0" xfId="0" applyFont="1" applyBorder="1" applyAlignment="1" applyProtection="1">
      <alignment horizontal="left" vertical="top" wrapText="1"/>
    </xf>
    <xf numFmtId="0" fontId="19" fillId="7" borderId="14" xfId="0" applyFont="1" applyFill="1" applyBorder="1" applyAlignment="1">
      <alignment horizontal="left" vertical="top" wrapText="1"/>
    </xf>
    <xf numFmtId="0" fontId="17" fillId="0" borderId="0" xfId="0" applyFont="1" applyBorder="1" applyAlignment="1" applyProtection="1">
      <alignment horizontal="left" vertical="top" wrapText="1"/>
    </xf>
    <xf numFmtId="0" fontId="20" fillId="4" borderId="0" xfId="0" applyFont="1" applyFill="1" applyAlignment="1" applyProtection="1">
      <alignment horizontal="center" vertical="center"/>
    </xf>
    <xf numFmtId="0" fontId="71" fillId="7" borderId="12" xfId="0" applyFont="1" applyFill="1" applyBorder="1"/>
    <xf numFmtId="0" fontId="71" fillId="7" borderId="13" xfId="0" applyFont="1" applyFill="1" applyBorder="1"/>
    <xf numFmtId="0" fontId="71" fillId="7" borderId="4" xfId="0" applyFont="1" applyFill="1" applyBorder="1"/>
    <xf numFmtId="0" fontId="21" fillId="4" borderId="0" xfId="0" applyFont="1" applyFill="1" applyAlignment="1" applyProtection="1">
      <alignment horizontal="center" vertical="center" wrapText="1"/>
    </xf>
    <xf numFmtId="0" fontId="19" fillId="4" borderId="12" xfId="2" applyNumberFormat="1" applyFont="1" applyFill="1" applyBorder="1" applyAlignment="1" applyProtection="1">
      <alignment horizontal="center" vertical="top" wrapText="1"/>
      <protection locked="0"/>
    </xf>
    <xf numFmtId="0" fontId="19" fillId="4" borderId="13" xfId="2" applyNumberFormat="1" applyFont="1" applyFill="1" applyBorder="1" applyAlignment="1" applyProtection="1">
      <alignment horizontal="center" vertical="top" wrapText="1"/>
      <protection locked="0"/>
    </xf>
    <xf numFmtId="0" fontId="19" fillId="4" borderId="4" xfId="2" applyNumberFormat="1" applyFont="1" applyFill="1" applyBorder="1" applyAlignment="1" applyProtection="1">
      <alignment horizontal="center" vertical="top" wrapText="1"/>
      <protection locked="0"/>
    </xf>
    <xf numFmtId="0" fontId="19" fillId="7" borderId="12" xfId="0" applyFont="1" applyFill="1" applyBorder="1" applyAlignment="1" applyProtection="1">
      <alignment horizontal="left" vertical="top" wrapText="1"/>
    </xf>
    <xf numFmtId="0" fontId="19" fillId="7" borderId="13" xfId="0" applyFont="1" applyFill="1" applyBorder="1" applyAlignment="1" applyProtection="1">
      <alignment horizontal="left" vertical="top" wrapText="1"/>
    </xf>
    <xf numFmtId="0" fontId="19" fillId="7" borderId="4" xfId="0" applyFont="1" applyFill="1" applyBorder="1" applyAlignment="1" applyProtection="1">
      <alignment horizontal="left" vertical="top" wrapText="1"/>
    </xf>
    <xf numFmtId="0" fontId="21" fillId="4" borderId="0" xfId="0" applyFont="1" applyFill="1" applyAlignment="1" applyProtection="1">
      <alignment horizontal="center" vertical="center"/>
    </xf>
    <xf numFmtId="5" fontId="17" fillId="7" borderId="1" xfId="2" applyNumberFormat="1" applyFont="1" applyFill="1" applyBorder="1" applyAlignment="1" applyProtection="1">
      <alignment horizontal="left" vertical="center"/>
    </xf>
    <xf numFmtId="5" fontId="17" fillId="7" borderId="0" xfId="2" applyNumberFormat="1" applyFont="1" applyFill="1" applyBorder="1" applyAlignment="1" applyProtection="1">
      <alignment horizontal="left" vertical="center"/>
    </xf>
    <xf numFmtId="0" fontId="69" fillId="7" borderId="0" xfId="0" applyFont="1" applyFill="1" applyAlignment="1" applyProtection="1">
      <alignment horizontal="center" vertical="center" wrapText="1"/>
    </xf>
    <xf numFmtId="0" fontId="20" fillId="0" borderId="14" xfId="0" applyFont="1" applyBorder="1" applyAlignment="1" applyProtection="1">
      <alignment horizontal="center" vertical="center"/>
    </xf>
    <xf numFmtId="0" fontId="17" fillId="4" borderId="12" xfId="0" applyNumberFormat="1" applyFont="1" applyFill="1" applyBorder="1" applyAlignment="1" applyProtection="1">
      <alignment horizontal="left" vertical="center"/>
      <protection locked="0"/>
    </xf>
    <xf numFmtId="0" fontId="17" fillId="4" borderId="4" xfId="0" applyNumberFormat="1" applyFont="1" applyFill="1" applyBorder="1" applyAlignment="1" applyProtection="1">
      <alignment horizontal="left" vertical="center"/>
      <protection locked="0"/>
    </xf>
    <xf numFmtId="0" fontId="19" fillId="0" borderId="12" xfId="0" applyFont="1" applyFill="1" applyBorder="1" applyAlignment="1">
      <alignment horizontal="left" vertical="center" wrapText="1"/>
    </xf>
    <xf numFmtId="0" fontId="19" fillId="0" borderId="4" xfId="0" applyFont="1" applyFill="1" applyBorder="1" applyAlignment="1">
      <alignment horizontal="left" vertical="center" wrapText="1"/>
    </xf>
    <xf numFmtId="0" fontId="56" fillId="0" borderId="0" xfId="0" applyFont="1" applyAlignment="1">
      <alignment horizontal="center" wrapText="1"/>
    </xf>
    <xf numFmtId="0" fontId="56" fillId="0" borderId="14" xfId="0" applyFont="1" applyBorder="1" applyAlignment="1">
      <alignment horizontal="center" wrapText="1"/>
    </xf>
    <xf numFmtId="0" fontId="19" fillId="0" borderId="12" xfId="0" applyFont="1" applyFill="1" applyBorder="1" applyAlignment="1">
      <alignment horizontal="left" vertical="top" wrapText="1"/>
    </xf>
    <xf numFmtId="0" fontId="19" fillId="0" borderId="13" xfId="0" applyFont="1" applyFill="1" applyBorder="1" applyAlignment="1">
      <alignment horizontal="left" vertical="top" wrapText="1"/>
    </xf>
    <xf numFmtId="0" fontId="19" fillId="0" borderId="4" xfId="0" applyFont="1" applyFill="1" applyBorder="1" applyAlignment="1">
      <alignment horizontal="left" vertical="top" wrapText="1"/>
    </xf>
    <xf numFmtId="0" fontId="20" fillId="4" borderId="0" xfId="0" applyFont="1" applyFill="1" applyAlignment="1" applyProtection="1">
      <alignment horizontal="center" vertical="center" wrapText="1"/>
    </xf>
    <xf numFmtId="0" fontId="32" fillId="2" borderId="12" xfId="0" applyFont="1" applyFill="1" applyBorder="1" applyAlignment="1">
      <alignment horizontal="center" vertical="center"/>
    </xf>
    <xf numFmtId="0" fontId="32" fillId="2" borderId="13" xfId="0" applyFont="1" applyFill="1" applyBorder="1" applyAlignment="1">
      <alignment horizontal="center" vertical="center"/>
    </xf>
    <xf numFmtId="0" fontId="32" fillId="2" borderId="4" xfId="0" applyFont="1" applyFill="1" applyBorder="1" applyAlignment="1">
      <alignment horizontal="center" vertical="center"/>
    </xf>
    <xf numFmtId="10" fontId="33" fillId="0" borderId="12" xfId="0" applyNumberFormat="1" applyFont="1" applyBorder="1" applyAlignment="1">
      <alignment horizontal="left" vertical="center"/>
    </xf>
    <xf numFmtId="10" fontId="33" fillId="0" borderId="13" xfId="0" applyNumberFormat="1" applyFont="1" applyBorder="1" applyAlignment="1">
      <alignment horizontal="left" vertical="center"/>
    </xf>
    <xf numFmtId="10" fontId="33" fillId="0" borderId="4" xfId="0" applyNumberFormat="1" applyFont="1" applyBorder="1" applyAlignment="1">
      <alignment horizontal="left" vertical="center"/>
    </xf>
    <xf numFmtId="3" fontId="20" fillId="0" borderId="0" xfId="0" applyNumberFormat="1" applyFont="1" applyBorder="1" applyAlignment="1">
      <alignment horizontal="left" vertical="top" wrapText="1"/>
    </xf>
    <xf numFmtId="0" fontId="20" fillId="7" borderId="12" xfId="0" quotePrefix="1" applyFont="1" applyFill="1" applyBorder="1" applyAlignment="1">
      <alignment horizontal="left" vertical="top" wrapText="1"/>
    </xf>
    <xf numFmtId="0" fontId="20" fillId="7" borderId="13" xfId="0" applyFont="1" applyFill="1" applyBorder="1" applyAlignment="1">
      <alignment horizontal="left" vertical="top" wrapText="1"/>
    </xf>
    <xf numFmtId="0" fontId="20" fillId="7" borderId="4" xfId="0" applyFont="1" applyFill="1" applyBorder="1" applyAlignment="1">
      <alignment horizontal="left" vertical="top" wrapText="1"/>
    </xf>
    <xf numFmtId="0" fontId="17" fillId="7" borderId="0" xfId="0" quotePrefix="1" applyFont="1" applyFill="1" applyBorder="1" applyAlignment="1">
      <alignment horizontal="left" vertical="top" wrapText="1"/>
    </xf>
    <xf numFmtId="0" fontId="17" fillId="7" borderId="0" xfId="0" applyFont="1" applyFill="1" applyBorder="1" applyAlignment="1">
      <alignment horizontal="left" vertical="top" wrapText="1"/>
    </xf>
    <xf numFmtId="171" fontId="19" fillId="0" borderId="18" xfId="0" applyNumberFormat="1" applyFont="1" applyBorder="1" applyAlignment="1" applyProtection="1">
      <alignment horizontal="center" vertical="center"/>
    </xf>
    <xf numFmtId="171" fontId="19" fillId="0" borderId="32" xfId="0" applyNumberFormat="1" applyFont="1" applyBorder="1" applyAlignment="1" applyProtection="1">
      <alignment horizontal="center" vertical="center"/>
    </xf>
    <xf numFmtId="0" fontId="19" fillId="0" borderId="12" xfId="2" applyNumberFormat="1" applyFont="1" applyBorder="1" applyAlignment="1" applyProtection="1">
      <alignment horizontal="left"/>
    </xf>
    <xf numFmtId="0" fontId="19" fillId="0" borderId="13" xfId="2" applyNumberFormat="1" applyFont="1" applyBorder="1" applyAlignment="1" applyProtection="1">
      <alignment horizontal="left"/>
    </xf>
    <xf numFmtId="0" fontId="19" fillId="0" borderId="4" xfId="2" applyNumberFormat="1" applyFont="1" applyBorder="1" applyAlignment="1" applyProtection="1">
      <alignment horizontal="left"/>
    </xf>
    <xf numFmtId="0" fontId="21" fillId="2" borderId="12" xfId="0" applyFont="1" applyFill="1" applyBorder="1" applyAlignment="1" applyProtection="1">
      <alignment horizontal="center" vertical="center" wrapText="1"/>
    </xf>
    <xf numFmtId="0" fontId="21" fillId="2" borderId="13" xfId="0" applyFont="1" applyFill="1" applyBorder="1" applyAlignment="1" applyProtection="1">
      <alignment horizontal="center" vertical="center" wrapText="1"/>
    </xf>
    <xf numFmtId="0" fontId="21" fillId="2" borderId="4" xfId="0" applyFont="1" applyFill="1" applyBorder="1" applyAlignment="1" applyProtection="1">
      <alignment horizontal="center" vertical="center" wrapText="1"/>
    </xf>
    <xf numFmtId="165" fontId="19" fillId="0" borderId="2" xfId="3" applyNumberFormat="1" applyFont="1" applyBorder="1" applyAlignment="1" applyProtection="1">
      <alignment horizontal="center"/>
    </xf>
    <xf numFmtId="0" fontId="19" fillId="0" borderId="9" xfId="0" applyFont="1" applyFill="1" applyBorder="1" applyAlignment="1" applyProtection="1"/>
    <xf numFmtId="0" fontId="19" fillId="0" borderId="0" xfId="0" applyFont="1" applyAlignment="1" applyProtection="1"/>
    <xf numFmtId="6" fontId="19" fillId="0" borderId="0" xfId="2" applyNumberFormat="1" applyFont="1" applyFill="1" applyBorder="1" applyAlignment="1" applyProtection="1"/>
    <xf numFmtId="0" fontId="19" fillId="0" borderId="0" xfId="0" applyFont="1" applyBorder="1" applyAlignment="1" applyProtection="1"/>
    <xf numFmtId="0" fontId="21" fillId="2" borderId="2" xfId="0" applyFont="1" applyFill="1" applyBorder="1" applyAlignment="1" applyProtection="1">
      <alignment horizontal="center" vertical="center"/>
    </xf>
    <xf numFmtId="6" fontId="21" fillId="2" borderId="2" xfId="2" applyNumberFormat="1" applyFont="1" applyFill="1" applyBorder="1" applyAlignment="1" applyProtection="1">
      <alignment horizontal="center" vertical="center"/>
    </xf>
    <xf numFmtId="0" fontId="21" fillId="0" borderId="2" xfId="0" applyFont="1" applyBorder="1" applyAlignment="1" applyProtection="1">
      <alignment horizontal="left" vertical="top" wrapText="1" indent="1"/>
    </xf>
    <xf numFmtId="0" fontId="19" fillId="0" borderId="2" xfId="0" applyFont="1" applyBorder="1" applyAlignment="1" applyProtection="1">
      <alignment vertical="top" wrapText="1"/>
    </xf>
    <xf numFmtId="168" fontId="21" fillId="0" borderId="2" xfId="0" applyNumberFormat="1" applyFont="1" applyBorder="1" applyAlignment="1" applyProtection="1">
      <alignment horizontal="left" vertical="top" wrapText="1" indent="1"/>
    </xf>
    <xf numFmtId="5" fontId="19" fillId="0" borderId="2" xfId="2" applyNumberFormat="1" applyFont="1" applyBorder="1" applyAlignment="1" applyProtection="1">
      <alignment horizontal="center"/>
    </xf>
    <xf numFmtId="5" fontId="21" fillId="0" borderId="2" xfId="2" applyNumberFormat="1" applyFont="1" applyBorder="1" applyAlignment="1" applyProtection="1">
      <alignment horizontal="center"/>
    </xf>
    <xf numFmtId="6" fontId="21" fillId="0" borderId="2" xfId="2" applyNumberFormat="1" applyFont="1" applyBorder="1" applyAlignment="1" applyProtection="1">
      <alignment horizontal="center"/>
    </xf>
    <xf numFmtId="6" fontId="19" fillId="0" borderId="2" xfId="2" applyNumberFormat="1" applyFont="1" applyBorder="1" applyAlignment="1" applyProtection="1">
      <alignment horizontal="center"/>
    </xf>
  </cellXfs>
  <cellStyles count="4">
    <cellStyle name="Comma" xfId="1" builtinId="3"/>
    <cellStyle name="Currency" xfId="2" builtinId="4"/>
    <cellStyle name="Normal" xfId="0" builtinId="0"/>
    <cellStyle name="Percent" xfId="3" builtinId="5"/>
  </cellStyles>
  <dxfs count="20">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strike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3E3E3"/>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1</xdr:row>
          <xdr:rowOff>66675</xdr:rowOff>
        </xdr:from>
        <xdr:to>
          <xdr:col>4</xdr:col>
          <xdr:colOff>590550</xdr:colOff>
          <xdr:row>3</xdr:row>
          <xdr:rowOff>85725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Remove Buttons and Save as .XLSX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952500</xdr:colOff>
          <xdr:row>10</xdr:row>
          <xdr:rowOff>171450</xdr:rowOff>
        </xdr:from>
        <xdr:to>
          <xdr:col>8</xdr:col>
          <xdr:colOff>2219325</xdr:colOff>
          <xdr:row>12</xdr:row>
          <xdr:rowOff>95250</xdr:rowOff>
        </xdr:to>
        <xdr:sp macro="" textlink="">
          <xdr:nvSpPr>
            <xdr:cNvPr id="1251" name="Button 227" hidden="1">
              <a:extLst>
                <a:ext uri="{63B3BB69-23CF-44E3-9099-C40C66FF867C}">
                  <a14:compatExt spid="_x0000_s1251"/>
                </a:ext>
                <a:ext uri="{FF2B5EF4-FFF2-40B4-BE49-F238E27FC236}">
                  <a16:creationId xmlns:a16="http://schemas.microsoft.com/office/drawing/2014/main" id="{00000000-0008-0000-0200-0000E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952500</xdr:colOff>
          <xdr:row>13</xdr:row>
          <xdr:rowOff>95250</xdr:rowOff>
        </xdr:from>
        <xdr:to>
          <xdr:col>8</xdr:col>
          <xdr:colOff>2200275</xdr:colOff>
          <xdr:row>15</xdr:row>
          <xdr:rowOff>28575</xdr:rowOff>
        </xdr:to>
        <xdr:sp macro="" textlink="">
          <xdr:nvSpPr>
            <xdr:cNvPr id="1252" name="Button 228" hidden="1">
              <a:extLst>
                <a:ext uri="{63B3BB69-23CF-44E3-9099-C40C66FF867C}">
                  <a14:compatExt spid="_x0000_s1252"/>
                </a:ext>
                <a:ext uri="{FF2B5EF4-FFF2-40B4-BE49-F238E27FC236}">
                  <a16:creationId xmlns:a16="http://schemas.microsoft.com/office/drawing/2014/main" id="{00000000-0008-0000-0200-0000E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Reveal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57</xdr:row>
          <xdr:rowOff>9525</xdr:rowOff>
        </xdr:from>
        <xdr:to>
          <xdr:col>8</xdr:col>
          <xdr:colOff>2257425</xdr:colOff>
          <xdr:row>59</xdr:row>
          <xdr:rowOff>0</xdr:rowOff>
        </xdr:to>
        <xdr:sp macro="" textlink="">
          <xdr:nvSpPr>
            <xdr:cNvPr id="1317" name="Button 293" hidden="1">
              <a:extLst>
                <a:ext uri="{63B3BB69-23CF-44E3-9099-C40C66FF867C}">
                  <a14:compatExt spid="_x0000_s1317"/>
                </a:ext>
                <a:ext uri="{FF2B5EF4-FFF2-40B4-BE49-F238E27FC236}">
                  <a16:creationId xmlns:a16="http://schemas.microsoft.com/office/drawing/2014/main" id="{00000000-0008-0000-0200-00002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71</xdr:row>
          <xdr:rowOff>9525</xdr:rowOff>
        </xdr:from>
        <xdr:to>
          <xdr:col>8</xdr:col>
          <xdr:colOff>2257425</xdr:colOff>
          <xdr:row>73</xdr:row>
          <xdr:rowOff>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2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85</xdr:row>
          <xdr:rowOff>9525</xdr:rowOff>
        </xdr:from>
        <xdr:to>
          <xdr:col>8</xdr:col>
          <xdr:colOff>2257425</xdr:colOff>
          <xdr:row>87</xdr:row>
          <xdr:rowOff>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2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99</xdr:row>
          <xdr:rowOff>9525</xdr:rowOff>
        </xdr:from>
        <xdr:to>
          <xdr:col>8</xdr:col>
          <xdr:colOff>2257425</xdr:colOff>
          <xdr:row>101</xdr:row>
          <xdr:rowOff>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2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113</xdr:row>
          <xdr:rowOff>9525</xdr:rowOff>
        </xdr:from>
        <xdr:to>
          <xdr:col>8</xdr:col>
          <xdr:colOff>2257425</xdr:colOff>
          <xdr:row>115</xdr:row>
          <xdr:rowOff>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2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127</xdr:row>
          <xdr:rowOff>9525</xdr:rowOff>
        </xdr:from>
        <xdr:to>
          <xdr:col>8</xdr:col>
          <xdr:colOff>2257425</xdr:colOff>
          <xdr:row>129</xdr:row>
          <xdr:rowOff>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2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141</xdr:row>
          <xdr:rowOff>9525</xdr:rowOff>
        </xdr:from>
        <xdr:to>
          <xdr:col>8</xdr:col>
          <xdr:colOff>2257425</xdr:colOff>
          <xdr:row>143</xdr:row>
          <xdr:rowOff>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2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155</xdr:row>
          <xdr:rowOff>9525</xdr:rowOff>
        </xdr:from>
        <xdr:to>
          <xdr:col>8</xdr:col>
          <xdr:colOff>2257425</xdr:colOff>
          <xdr:row>157</xdr:row>
          <xdr:rowOff>0</xdr:rowOff>
        </xdr:to>
        <xdr:sp macro="" textlink="">
          <xdr:nvSpPr>
            <xdr:cNvPr id="1366" name="Button 342" hidden="1">
              <a:extLst>
                <a:ext uri="{63B3BB69-23CF-44E3-9099-C40C66FF867C}">
                  <a14:compatExt spid="_x0000_s1366"/>
                </a:ext>
                <a:ext uri="{FF2B5EF4-FFF2-40B4-BE49-F238E27FC236}">
                  <a16:creationId xmlns:a16="http://schemas.microsoft.com/office/drawing/2014/main" id="{00000000-0008-0000-0200-00005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Populate from AMI Rents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10</xdr:row>
          <xdr:rowOff>142875</xdr:rowOff>
        </xdr:from>
        <xdr:to>
          <xdr:col>7</xdr:col>
          <xdr:colOff>2095500</xdr:colOff>
          <xdr:row>12</xdr:row>
          <xdr:rowOff>95250</xdr:rowOff>
        </xdr:to>
        <xdr:sp macro="" textlink="">
          <xdr:nvSpPr>
            <xdr:cNvPr id="26648" name="Button 24" hidden="1">
              <a:extLst>
                <a:ext uri="{63B3BB69-23CF-44E3-9099-C40C66FF867C}">
                  <a14:compatExt spid="_x0000_s26648"/>
                </a:ext>
                <a:ext uri="{FF2B5EF4-FFF2-40B4-BE49-F238E27FC236}">
                  <a16:creationId xmlns:a16="http://schemas.microsoft.com/office/drawing/2014/main" id="{00000000-0008-0000-0700-000018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171450</xdr:colOff>
          <xdr:row>13</xdr:row>
          <xdr:rowOff>142875</xdr:rowOff>
        </xdr:from>
        <xdr:to>
          <xdr:col>7</xdr:col>
          <xdr:colOff>2095500</xdr:colOff>
          <xdr:row>15</xdr:row>
          <xdr:rowOff>85725</xdr:rowOff>
        </xdr:to>
        <xdr:sp macro="" textlink="">
          <xdr:nvSpPr>
            <xdr:cNvPr id="26649" name="Button 25" hidden="1">
              <a:extLst>
                <a:ext uri="{63B3BB69-23CF-44E3-9099-C40C66FF867C}">
                  <a14:compatExt spid="_x0000_s26649"/>
                </a:ext>
                <a:ext uri="{FF2B5EF4-FFF2-40B4-BE49-F238E27FC236}">
                  <a16:creationId xmlns:a16="http://schemas.microsoft.com/office/drawing/2014/main" id="{00000000-0008-0000-0700-000019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Reveal Columns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9</xdr:row>
          <xdr:rowOff>142875</xdr:rowOff>
        </xdr:from>
        <xdr:to>
          <xdr:col>7</xdr:col>
          <xdr:colOff>1123950</xdr:colOff>
          <xdr:row>11</xdr:row>
          <xdr:rowOff>95250</xdr:rowOff>
        </xdr:to>
        <xdr:sp macro="" textlink="">
          <xdr:nvSpPr>
            <xdr:cNvPr id="16477" name="Button 93" hidden="1">
              <a:extLst>
                <a:ext uri="{63B3BB69-23CF-44E3-9099-C40C66FF867C}">
                  <a14:compatExt spid="_x0000_s16477"/>
                </a:ext>
                <a:ext uri="{FF2B5EF4-FFF2-40B4-BE49-F238E27FC236}">
                  <a16:creationId xmlns:a16="http://schemas.microsoft.com/office/drawing/2014/main" id="{00000000-0008-0000-0900-00005D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171450</xdr:colOff>
          <xdr:row>12</xdr:row>
          <xdr:rowOff>95250</xdr:rowOff>
        </xdr:from>
        <xdr:to>
          <xdr:col>7</xdr:col>
          <xdr:colOff>1123950</xdr:colOff>
          <xdr:row>14</xdr:row>
          <xdr:rowOff>38100</xdr:rowOff>
        </xdr:to>
        <xdr:sp macro="" textlink="">
          <xdr:nvSpPr>
            <xdr:cNvPr id="16478" name="Button 94" hidden="1">
              <a:extLst>
                <a:ext uri="{63B3BB69-23CF-44E3-9099-C40C66FF867C}">
                  <a14:compatExt spid="_x0000_s16478"/>
                </a:ext>
                <a:ext uri="{FF2B5EF4-FFF2-40B4-BE49-F238E27FC236}">
                  <a16:creationId xmlns:a16="http://schemas.microsoft.com/office/drawing/2014/main" id="{00000000-0008-0000-0900-00005E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Reveal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800100</xdr:colOff>
          <xdr:row>1</xdr:row>
          <xdr:rowOff>171450</xdr:rowOff>
        </xdr:from>
        <xdr:to>
          <xdr:col>5</xdr:col>
          <xdr:colOff>2800350</xdr:colOff>
          <xdr:row>3</xdr:row>
          <xdr:rowOff>57150</xdr:rowOff>
        </xdr:to>
        <xdr:sp macro="" textlink="">
          <xdr:nvSpPr>
            <xdr:cNvPr id="5242" name="Button 122" hidden="1">
              <a:extLst>
                <a:ext uri="{63B3BB69-23CF-44E3-9099-C40C66FF867C}">
                  <a14:compatExt spid="_x0000_s5242"/>
                </a:ext>
                <a:ext uri="{FF2B5EF4-FFF2-40B4-BE49-F238E27FC236}">
                  <a16:creationId xmlns:a16="http://schemas.microsoft.com/office/drawing/2014/main" id="{00000000-0008-0000-0A00-00007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800100</xdr:colOff>
          <xdr:row>22</xdr:row>
          <xdr:rowOff>171450</xdr:rowOff>
        </xdr:from>
        <xdr:to>
          <xdr:col>5</xdr:col>
          <xdr:colOff>2800350</xdr:colOff>
          <xdr:row>24</xdr:row>
          <xdr:rowOff>57150</xdr:rowOff>
        </xdr:to>
        <xdr:sp macro="" textlink="">
          <xdr:nvSpPr>
            <xdr:cNvPr id="5243" name="Button 123" hidden="1">
              <a:extLst>
                <a:ext uri="{63B3BB69-23CF-44E3-9099-C40C66FF867C}">
                  <a14:compatExt spid="_x0000_s5243"/>
                </a:ext>
                <a:ext uri="{FF2B5EF4-FFF2-40B4-BE49-F238E27FC236}">
                  <a16:creationId xmlns:a16="http://schemas.microsoft.com/office/drawing/2014/main" id="{00000000-0008-0000-0A00-00007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Reveal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276225</xdr:colOff>
          <xdr:row>27</xdr:row>
          <xdr:rowOff>76200</xdr:rowOff>
        </xdr:from>
        <xdr:to>
          <xdr:col>4</xdr:col>
          <xdr:colOff>981075</xdr:colOff>
          <xdr:row>29</xdr:row>
          <xdr:rowOff>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C00-00000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Full 30-Year Pro Forma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29</xdr:row>
          <xdr:rowOff>142875</xdr:rowOff>
        </xdr:from>
        <xdr:to>
          <xdr:col>4</xdr:col>
          <xdr:colOff>981075</xdr:colOff>
          <xdr:row>31</xdr:row>
          <xdr:rowOff>66675</xdr:rowOff>
        </xdr:to>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C00-00000E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Pro Forma Only to Year of Sale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56</xdr:row>
          <xdr:rowOff>47625</xdr:rowOff>
        </xdr:from>
        <xdr:to>
          <xdr:col>2</xdr:col>
          <xdr:colOff>1619250</xdr:colOff>
          <xdr:row>58</xdr:row>
          <xdr:rowOff>47625</xdr:rowOff>
        </xdr:to>
        <xdr:sp macro="" textlink="">
          <xdr:nvSpPr>
            <xdr:cNvPr id="20616" name="Button 136" hidden="1">
              <a:extLst>
                <a:ext uri="{63B3BB69-23CF-44E3-9099-C40C66FF867C}">
                  <a14:compatExt spid="_x0000_s20616"/>
                </a:ext>
                <a:ext uri="{FF2B5EF4-FFF2-40B4-BE49-F238E27FC236}">
                  <a16:creationId xmlns:a16="http://schemas.microsoft.com/office/drawing/2014/main" id="{00000000-0008-0000-0D00-000088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Calculation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2124075</xdr:colOff>
          <xdr:row>56</xdr:row>
          <xdr:rowOff>57150</xdr:rowOff>
        </xdr:from>
        <xdr:to>
          <xdr:col>5</xdr:col>
          <xdr:colOff>123825</xdr:colOff>
          <xdr:row>58</xdr:row>
          <xdr:rowOff>57150</xdr:rowOff>
        </xdr:to>
        <xdr:sp macro="" textlink="">
          <xdr:nvSpPr>
            <xdr:cNvPr id="20618" name="Button 138" hidden="1">
              <a:extLst>
                <a:ext uri="{63B3BB69-23CF-44E3-9099-C40C66FF867C}">
                  <a14:compatExt spid="_x0000_s20618"/>
                </a:ext>
                <a:ext uri="{FF2B5EF4-FFF2-40B4-BE49-F238E27FC236}">
                  <a16:creationId xmlns:a16="http://schemas.microsoft.com/office/drawing/2014/main" id="{00000000-0008-0000-0D00-00008A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Reveal Calculation Rows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B1:I53"/>
  <sheetViews>
    <sheetView showGridLines="0" tabSelected="1" topLeftCell="C1" zoomScaleNormal="100" workbookViewId="0">
      <selection activeCell="C3" sqref="C3"/>
    </sheetView>
  </sheetViews>
  <sheetFormatPr defaultColWidth="9.140625" defaultRowHeight="15.75" x14ac:dyDescent="0.25"/>
  <cols>
    <col min="1" max="1" width="4" style="1" customWidth="1"/>
    <col min="2" max="2" width="2.7109375" style="1" customWidth="1"/>
    <col min="3" max="3" width="25.7109375" style="1" customWidth="1"/>
    <col min="4" max="4" width="75.7109375" style="1" customWidth="1"/>
    <col min="5" max="5" width="2.7109375" style="1" customWidth="1"/>
    <col min="6" max="6" width="2.5703125" style="1" customWidth="1"/>
    <col min="7" max="8" width="9.140625" style="1"/>
    <col min="9" max="9" width="9.140625" style="508"/>
    <col min="10" max="16384" width="9.140625" style="1"/>
  </cols>
  <sheetData>
    <row r="1" spans="2:9" s="2" customFormat="1" ht="22.5" x14ac:dyDescent="0.3">
      <c r="B1" s="29"/>
      <c r="C1" s="653" t="s">
        <v>509</v>
      </c>
      <c r="D1" s="654"/>
      <c r="E1" s="29"/>
      <c r="I1" s="508"/>
    </row>
    <row r="2" spans="2:9" s="2" customFormat="1" ht="22.5" x14ac:dyDescent="0.3">
      <c r="B2" s="29"/>
      <c r="C2" s="655" t="s">
        <v>39</v>
      </c>
      <c r="D2" s="654"/>
      <c r="E2" s="29"/>
      <c r="I2" s="509"/>
    </row>
    <row r="3" spans="2:9" x14ac:dyDescent="0.25">
      <c r="B3" s="30"/>
      <c r="C3" s="31"/>
      <c r="D3" s="30"/>
      <c r="E3" s="30"/>
    </row>
    <row r="4" spans="2:9" ht="18" x14ac:dyDescent="0.25">
      <c r="B4" s="30"/>
      <c r="C4" s="656" t="s">
        <v>35</v>
      </c>
      <c r="D4" s="657"/>
      <c r="E4" s="30"/>
    </row>
    <row r="5" spans="2:9" ht="18" x14ac:dyDescent="0.25">
      <c r="B5" s="30"/>
      <c r="C5" s="656" t="s">
        <v>34</v>
      </c>
      <c r="D5" s="657"/>
      <c r="E5" s="30"/>
    </row>
    <row r="6" spans="2:9" ht="18" x14ac:dyDescent="0.25">
      <c r="B6" s="30"/>
      <c r="C6" s="667"/>
      <c r="D6" s="668"/>
      <c r="E6" s="30"/>
    </row>
    <row r="7" spans="2:9" ht="16.5" thickBot="1" x14ac:dyDescent="0.3">
      <c r="B7" s="508"/>
      <c r="C7" s="508"/>
      <c r="D7" s="32"/>
      <c r="E7" s="30"/>
    </row>
    <row r="8" spans="2:9" x14ac:dyDescent="0.25">
      <c r="B8" s="658" t="s">
        <v>36</v>
      </c>
      <c r="C8" s="659"/>
      <c r="D8" s="659"/>
      <c r="E8" s="660"/>
    </row>
    <row r="9" spans="2:9" x14ac:dyDescent="0.25">
      <c r="B9" s="33"/>
      <c r="C9" s="34" t="s">
        <v>54</v>
      </c>
      <c r="D9" s="663" t="s">
        <v>670</v>
      </c>
      <c r="E9" s="664"/>
      <c r="H9" s="354"/>
    </row>
    <row r="10" spans="2:9" x14ac:dyDescent="0.25">
      <c r="B10" s="33"/>
      <c r="C10" s="34" t="s">
        <v>422</v>
      </c>
      <c r="D10" s="663" t="s">
        <v>686</v>
      </c>
      <c r="E10" s="664"/>
    </row>
    <row r="11" spans="2:9" x14ac:dyDescent="0.25">
      <c r="B11" s="35"/>
      <c r="C11" s="36" t="s">
        <v>38</v>
      </c>
      <c r="D11" s="663" t="s">
        <v>687</v>
      </c>
      <c r="E11" s="664"/>
    </row>
    <row r="12" spans="2:9" x14ac:dyDescent="0.25">
      <c r="B12" s="33"/>
      <c r="C12" s="34" t="s">
        <v>55</v>
      </c>
      <c r="D12" s="665">
        <v>42917</v>
      </c>
      <c r="E12" s="666"/>
    </row>
    <row r="13" spans="2:9" x14ac:dyDescent="0.25">
      <c r="B13" s="35"/>
      <c r="C13" s="34" t="s">
        <v>0</v>
      </c>
      <c r="D13" s="663" t="s">
        <v>688</v>
      </c>
      <c r="E13" s="664"/>
    </row>
    <row r="14" spans="2:9" x14ac:dyDescent="0.25">
      <c r="B14" s="33"/>
      <c r="C14" s="34" t="s">
        <v>1</v>
      </c>
      <c r="D14" s="663" t="s">
        <v>689</v>
      </c>
      <c r="E14" s="664"/>
    </row>
    <row r="15" spans="2:9" ht="16.5" thickBot="1" x14ac:dyDescent="0.3">
      <c r="B15" s="37"/>
      <c r="C15" s="38" t="s">
        <v>56</v>
      </c>
      <c r="D15" s="661" t="s">
        <v>663</v>
      </c>
      <c r="E15" s="662"/>
    </row>
    <row r="16" spans="2:9" ht="16.5" thickBot="1" x14ac:dyDescent="0.3">
      <c r="B16" s="30"/>
      <c r="C16" s="30"/>
      <c r="D16" s="30"/>
      <c r="E16" s="30"/>
    </row>
    <row r="17" spans="2:5" x14ac:dyDescent="0.25">
      <c r="B17" s="647" t="s">
        <v>454</v>
      </c>
      <c r="C17" s="648"/>
      <c r="D17" s="648"/>
      <c r="E17" s="649"/>
    </row>
    <row r="18" spans="2:5" ht="5.0999999999999996" customHeight="1" x14ac:dyDescent="0.25">
      <c r="B18" s="40"/>
      <c r="C18" s="41"/>
      <c r="D18" s="42"/>
      <c r="E18" s="43"/>
    </row>
    <row r="19" spans="2:5" ht="29.25" customHeight="1" x14ac:dyDescent="0.25">
      <c r="B19" s="40"/>
      <c r="C19" s="646" t="s">
        <v>510</v>
      </c>
      <c r="D19" s="646"/>
      <c r="E19" s="43"/>
    </row>
    <row r="20" spans="2:5" ht="77.25" customHeight="1" x14ac:dyDescent="0.25">
      <c r="B20" s="40"/>
      <c r="C20" s="646" t="s">
        <v>511</v>
      </c>
      <c r="D20" s="646"/>
      <c r="E20" s="43"/>
    </row>
    <row r="21" spans="2:5" ht="29.25" customHeight="1" x14ac:dyDescent="0.25">
      <c r="B21" s="40"/>
      <c r="C21" s="646" t="s">
        <v>747</v>
      </c>
      <c r="D21" s="646"/>
      <c r="E21" s="43"/>
    </row>
    <row r="22" spans="2:5" ht="47.25" customHeight="1" x14ac:dyDescent="0.25">
      <c r="B22" s="40"/>
      <c r="C22" s="650" t="s">
        <v>481</v>
      </c>
      <c r="D22" s="650"/>
      <c r="E22" s="43"/>
    </row>
    <row r="23" spans="2:5" ht="30.75" customHeight="1" x14ac:dyDescent="0.25">
      <c r="B23" s="40"/>
      <c r="C23" s="650" t="s">
        <v>486</v>
      </c>
      <c r="D23" s="650"/>
      <c r="E23" s="43"/>
    </row>
    <row r="24" spans="2:5" ht="105" customHeight="1" x14ac:dyDescent="0.25">
      <c r="B24" s="40"/>
      <c r="C24" s="650" t="s">
        <v>755</v>
      </c>
      <c r="D24" s="651"/>
      <c r="E24" s="43"/>
    </row>
    <row r="25" spans="2:5" ht="21" customHeight="1" thickBot="1" x14ac:dyDescent="0.3">
      <c r="B25" s="466"/>
      <c r="C25" s="652" t="s">
        <v>512</v>
      </c>
      <c r="D25" s="652"/>
      <c r="E25" s="467"/>
    </row>
    <row r="26" spans="2:5" x14ac:dyDescent="0.25">
      <c r="B26" s="30"/>
      <c r="C26" s="30"/>
      <c r="D26" s="30"/>
      <c r="E26" s="30"/>
    </row>
    <row r="27" spans="2:5" x14ac:dyDescent="0.25">
      <c r="B27" s="30"/>
      <c r="C27" s="221">
        <v>407</v>
      </c>
      <c r="D27" s="44" t="s">
        <v>480</v>
      </c>
      <c r="E27" s="30"/>
    </row>
    <row r="28" spans="2:5" x14ac:dyDescent="0.25">
      <c r="B28" s="30"/>
      <c r="C28" s="413">
        <f>IF(C27=0,"",ROUND(C27*100,0))</f>
        <v>40700</v>
      </c>
      <c r="D28" s="44" t="s">
        <v>478</v>
      </c>
      <c r="E28" s="30"/>
    </row>
    <row r="29" spans="2:5" x14ac:dyDescent="0.25">
      <c r="B29" s="30"/>
      <c r="C29" s="507" t="s">
        <v>479</v>
      </c>
      <c r="D29" s="44"/>
      <c r="E29" s="30"/>
    </row>
    <row r="30" spans="2:5" x14ac:dyDescent="0.25">
      <c r="B30" s="30"/>
      <c r="C30" s="44"/>
      <c r="D30" s="44"/>
      <c r="E30" s="30"/>
    </row>
    <row r="31" spans="2:5" x14ac:dyDescent="0.25">
      <c r="B31" s="482" t="s">
        <v>424</v>
      </c>
      <c r="C31" s="44" t="s">
        <v>513</v>
      </c>
      <c r="D31" s="30"/>
      <c r="E31" s="30"/>
    </row>
    <row r="32" spans="2:5" x14ac:dyDescent="0.25">
      <c r="B32" s="30"/>
      <c r="C32" s="44" t="s">
        <v>567</v>
      </c>
      <c r="D32" s="30"/>
      <c r="E32" s="30"/>
    </row>
    <row r="33" spans="2:5" ht="16.5" thickBot="1" x14ac:dyDescent="0.3">
      <c r="B33" s="30"/>
      <c r="C33" s="30"/>
      <c r="D33" s="30"/>
      <c r="E33" s="30"/>
    </row>
    <row r="34" spans="2:5" x14ac:dyDescent="0.25">
      <c r="B34" s="647" t="s">
        <v>455</v>
      </c>
      <c r="C34" s="648"/>
      <c r="D34" s="648"/>
      <c r="E34" s="649"/>
    </row>
    <row r="35" spans="2:5" ht="5.0999999999999996" customHeight="1" x14ac:dyDescent="0.25">
      <c r="B35" s="40"/>
      <c r="C35" s="41"/>
      <c r="D35" s="42"/>
      <c r="E35" s="43"/>
    </row>
    <row r="36" spans="2:5" ht="84" customHeight="1" x14ac:dyDescent="0.25">
      <c r="B36" s="40"/>
      <c r="C36" s="646" t="s">
        <v>514</v>
      </c>
      <c r="D36" s="646"/>
      <c r="E36" s="43"/>
    </row>
    <row r="37" spans="2:5" ht="102" customHeight="1" thickBot="1" x14ac:dyDescent="0.3">
      <c r="B37" s="466"/>
      <c r="C37" s="652" t="s">
        <v>756</v>
      </c>
      <c r="D37" s="652"/>
      <c r="E37" s="467"/>
    </row>
    <row r="38" spans="2:5" ht="16.5" thickBot="1" x14ac:dyDescent="0.3">
      <c r="B38" s="30"/>
      <c r="C38" s="30"/>
      <c r="D38" s="30"/>
      <c r="E38" s="30"/>
    </row>
    <row r="39" spans="2:5" x14ac:dyDescent="0.25">
      <c r="B39" s="647" t="s">
        <v>456</v>
      </c>
      <c r="C39" s="648"/>
      <c r="D39" s="648"/>
      <c r="E39" s="649"/>
    </row>
    <row r="40" spans="2:5" ht="5.0999999999999996" customHeight="1" x14ac:dyDescent="0.25">
      <c r="B40" s="40"/>
      <c r="C40" s="41"/>
      <c r="D40" s="42"/>
      <c r="E40" s="43"/>
    </row>
    <row r="41" spans="2:5" ht="139.9" customHeight="1" thickBot="1" x14ac:dyDescent="0.3">
      <c r="B41" s="466"/>
      <c r="C41" s="652" t="s">
        <v>749</v>
      </c>
      <c r="D41" s="652"/>
      <c r="E41" s="467"/>
    </row>
    <row r="42" spans="2:5" ht="16.5" thickBot="1" x14ac:dyDescent="0.3">
      <c r="B42" s="30"/>
      <c r="C42" s="30"/>
      <c r="D42" s="30"/>
      <c r="E42" s="30"/>
    </row>
    <row r="43" spans="2:5" x14ac:dyDescent="0.25">
      <c r="B43" s="647" t="s">
        <v>457</v>
      </c>
      <c r="C43" s="648"/>
      <c r="D43" s="648"/>
      <c r="E43" s="649"/>
    </row>
    <row r="44" spans="2:5" ht="5.0999999999999996" customHeight="1" x14ac:dyDescent="0.25">
      <c r="B44" s="40"/>
      <c r="C44" s="41"/>
      <c r="D44" s="42"/>
      <c r="E44" s="43"/>
    </row>
    <row r="45" spans="2:5" ht="252.75" customHeight="1" thickBot="1" x14ac:dyDescent="0.3">
      <c r="B45" s="466"/>
      <c r="C45" s="652" t="s">
        <v>750</v>
      </c>
      <c r="D45" s="652"/>
      <c r="E45" s="467"/>
    </row>
    <row r="46" spans="2:5" ht="16.5" thickBot="1" x14ac:dyDescent="0.3">
      <c r="B46" s="30"/>
      <c r="C46" s="30"/>
      <c r="D46" s="30"/>
      <c r="E46" s="30"/>
    </row>
    <row r="47" spans="2:5" x14ac:dyDescent="0.25">
      <c r="B47" s="647" t="s">
        <v>458</v>
      </c>
      <c r="C47" s="648"/>
      <c r="D47" s="648"/>
      <c r="E47" s="649"/>
    </row>
    <row r="48" spans="2:5" ht="5.0999999999999996" customHeight="1" x14ac:dyDescent="0.25">
      <c r="B48" s="40"/>
      <c r="C48" s="41"/>
      <c r="D48" s="42"/>
      <c r="E48" s="43"/>
    </row>
    <row r="49" spans="2:5" ht="252" customHeight="1" thickBot="1" x14ac:dyDescent="0.3">
      <c r="B49" s="466"/>
      <c r="C49" s="652" t="s">
        <v>568</v>
      </c>
      <c r="D49" s="652"/>
      <c r="E49" s="467"/>
    </row>
    <row r="50" spans="2:5" x14ac:dyDescent="0.25">
      <c r="B50" s="30"/>
      <c r="C50" s="30"/>
      <c r="D50" s="30"/>
      <c r="E50" s="30"/>
    </row>
    <row r="51" spans="2:5" x14ac:dyDescent="0.25">
      <c r="B51" s="44" t="s">
        <v>230</v>
      </c>
      <c r="C51" s="30"/>
      <c r="D51" s="30"/>
      <c r="E51" s="30"/>
    </row>
    <row r="52" spans="2:5" ht="18" customHeight="1" x14ac:dyDescent="0.25"/>
    <row r="53" spans="2:5" ht="18" customHeight="1" x14ac:dyDescent="0.25"/>
  </sheetData>
  <mergeCells count="30">
    <mergeCell ref="B47:E47"/>
    <mergeCell ref="C49:D49"/>
    <mergeCell ref="C41:D41"/>
    <mergeCell ref="B39:E39"/>
    <mergeCell ref="B43:E43"/>
    <mergeCell ref="C45:D45"/>
    <mergeCell ref="C36:D36"/>
    <mergeCell ref="C37:D37"/>
    <mergeCell ref="C1:D1"/>
    <mergeCell ref="C2:D2"/>
    <mergeCell ref="C4:D4"/>
    <mergeCell ref="C5:D5"/>
    <mergeCell ref="B8:E8"/>
    <mergeCell ref="B17:E17"/>
    <mergeCell ref="D15:E15"/>
    <mergeCell ref="D11:E11"/>
    <mergeCell ref="D12:E12"/>
    <mergeCell ref="D13:E13"/>
    <mergeCell ref="D14:E14"/>
    <mergeCell ref="D9:E9"/>
    <mergeCell ref="D10:E10"/>
    <mergeCell ref="C6:D6"/>
    <mergeCell ref="C19:D19"/>
    <mergeCell ref="B34:E34"/>
    <mergeCell ref="C22:D22"/>
    <mergeCell ref="C23:D23"/>
    <mergeCell ref="C24:D24"/>
    <mergeCell ref="C25:D25"/>
    <mergeCell ref="C20:D20"/>
    <mergeCell ref="C21:D21"/>
  </mergeCells>
  <phoneticPr fontId="0" type="noConversion"/>
  <dataValidations count="1">
    <dataValidation type="list" allowBlank="1" showInputMessage="1" showErrorMessage="1" sqref="D15:E15" xr:uid="{00000000-0002-0000-0000-000000000000}">
      <formula1>DevTypes</formula1>
    </dataValidation>
  </dataValidations>
  <printOptions horizontalCentered="1"/>
  <pageMargins left="0.5" right="0.5" top="1" bottom="1" header="0.5" footer="0.5"/>
  <pageSetup scale="61" fitToHeight="2" orientation="portrait" r:id="rId1"/>
  <headerFooter alignWithMargins="0">
    <oddHeader>&amp;L&amp;F&amp;R&amp;A</oddHeader>
    <oddFooter>&amp;LPage &amp;P of &amp;N&amp;RPrinted &amp;D</oddFooter>
  </headerFooter>
  <rowBreaks count="1" manualBreakCount="1">
    <brk id="37" min="1" max="4" man="1"/>
  </rowBreak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F70"/>
  <sheetViews>
    <sheetView workbookViewId="0">
      <selection activeCell="B23" sqref="B23"/>
    </sheetView>
  </sheetViews>
  <sheetFormatPr defaultColWidth="9.140625" defaultRowHeight="12.75" x14ac:dyDescent="0.2"/>
  <cols>
    <col min="1" max="1" width="61" style="282" customWidth="1"/>
    <col min="2" max="16384" width="9.140625" style="282"/>
  </cols>
  <sheetData>
    <row r="1" spans="1:6" s="463" customFormat="1" ht="22.5" x14ac:dyDescent="0.3">
      <c r="A1" s="463" t="s">
        <v>671</v>
      </c>
      <c r="B1" s="596" t="s">
        <v>690</v>
      </c>
    </row>
    <row r="2" spans="1:6" s="463" customFormat="1" ht="22.5" x14ac:dyDescent="0.3">
      <c r="F2" s="470"/>
    </row>
    <row r="3" spans="1:6" x14ac:dyDescent="0.2">
      <c r="A3" s="464" t="s">
        <v>460</v>
      </c>
    </row>
    <row r="4" spans="1:6" x14ac:dyDescent="0.2">
      <c r="A4" s="471" t="s">
        <v>461</v>
      </c>
      <c r="B4" s="282">
        <f>COLUMN(Requirements!$K$1)</f>
        <v>11</v>
      </c>
      <c r="F4" s="470"/>
    </row>
    <row r="5" spans="1:6" x14ac:dyDescent="0.2">
      <c r="A5" s="471" t="s">
        <v>462</v>
      </c>
      <c r="B5" s="282">
        <f>COLUMN(Requirements!$R$1)</f>
        <v>18</v>
      </c>
    </row>
    <row r="7" spans="1:6" x14ac:dyDescent="0.2">
      <c r="A7" s="471" t="s">
        <v>466</v>
      </c>
      <c r="B7" s="282">
        <f>COLUMN('LIHTC Basis'!$K$1)</f>
        <v>11</v>
      </c>
    </row>
    <row r="8" spans="1:6" x14ac:dyDescent="0.2">
      <c r="A8" s="471" t="s">
        <v>467</v>
      </c>
      <c r="B8" s="282">
        <f>COLUMN('LIHTC Basis'!$M$1)</f>
        <v>13</v>
      </c>
    </row>
    <row r="10" spans="1:6" x14ac:dyDescent="0.2">
      <c r="A10" s="471" t="s">
        <v>468</v>
      </c>
      <c r="B10" s="282">
        <f>COLUMN('First Mortgage Sizing'!$J$1)</f>
        <v>10</v>
      </c>
    </row>
    <row r="11" spans="1:6" x14ac:dyDescent="0.2">
      <c r="A11" s="471" t="s">
        <v>469</v>
      </c>
      <c r="B11" s="282">
        <f>COLUMN('First Mortgage Sizing'!K$1)</f>
        <v>11</v>
      </c>
    </row>
    <row r="12" spans="1:6" x14ac:dyDescent="0.2">
      <c r="A12" s="471"/>
    </row>
    <row r="13" spans="1:6" x14ac:dyDescent="0.2">
      <c r="A13" s="471" t="s">
        <v>470</v>
      </c>
      <c r="B13" s="282">
        <f>COLUMN('Sources and Uses'!$H$1)</f>
        <v>8</v>
      </c>
    </row>
    <row r="14" spans="1:6" x14ac:dyDescent="0.2">
      <c r="A14" s="471" t="s">
        <v>471</v>
      </c>
      <c r="B14" s="282">
        <f>COLUMN('Sources and Uses'!$Q$1)</f>
        <v>17</v>
      </c>
    </row>
    <row r="15" spans="1:6" x14ac:dyDescent="0.2">
      <c r="A15" s="471"/>
    </row>
    <row r="16" spans="1:6" x14ac:dyDescent="0.2">
      <c r="A16" s="471" t="s">
        <v>472</v>
      </c>
      <c r="B16" s="282" t="e">
        <f>COLUMN(#REF!)</f>
        <v>#REF!</v>
      </c>
    </row>
    <row r="17" spans="1:3" x14ac:dyDescent="0.2">
      <c r="A17" s="471" t="s">
        <v>473</v>
      </c>
      <c r="B17" s="282" t="e">
        <f>COLUMN(#REF!)</f>
        <v>#REF!</v>
      </c>
    </row>
    <row r="18" spans="1:3" x14ac:dyDescent="0.2">
      <c r="A18" s="471"/>
    </row>
    <row r="19" spans="1:3" x14ac:dyDescent="0.2">
      <c r="A19" s="471" t="s">
        <v>474</v>
      </c>
      <c r="B19" s="282">
        <f>COLUMN('Operating Pro Forma'!$D$1)</f>
        <v>4</v>
      </c>
    </row>
    <row r="20" spans="1:3" x14ac:dyDescent="0.2">
      <c r="A20" s="471" t="s">
        <v>475</v>
      </c>
      <c r="B20" s="282">
        <f>COLUMN('Operating Pro Forma'!AG$1)</f>
        <v>33</v>
      </c>
    </row>
    <row r="21" spans="1:3" x14ac:dyDescent="0.2">
      <c r="A21" s="471" t="s">
        <v>476</v>
      </c>
      <c r="B21" s="282">
        <f>B19+30-(30-'Pro Forma Assumptions'!D24)</f>
        <v>34</v>
      </c>
      <c r="C21" s="282" t="str">
        <f>IF(B21&gt;B20,"Not Applicable; Sale Year 30","")</f>
        <v>Not Applicable; Sale Year 30</v>
      </c>
    </row>
    <row r="22" spans="1:3" x14ac:dyDescent="0.2">
      <c r="A22" s="471" t="s">
        <v>507</v>
      </c>
      <c r="B22" s="282">
        <f>ROW('Operating Pro Forma'!A62)</f>
        <v>62</v>
      </c>
    </row>
    <row r="23" spans="1:3" x14ac:dyDescent="0.2">
      <c r="A23" s="471" t="s">
        <v>508</v>
      </c>
      <c r="B23" s="282">
        <f>ROW('Operating Pro Forma'!A102)</f>
        <v>102</v>
      </c>
    </row>
    <row r="24" spans="1:3" x14ac:dyDescent="0.2">
      <c r="A24" s="471"/>
    </row>
    <row r="25" spans="1:3" x14ac:dyDescent="0.2">
      <c r="A25" s="464" t="s">
        <v>450</v>
      </c>
    </row>
    <row r="26" spans="1:3" x14ac:dyDescent="0.2">
      <c r="A26" s="391" t="s">
        <v>159</v>
      </c>
      <c r="C26" s="470"/>
    </row>
    <row r="27" spans="1:3" x14ac:dyDescent="0.2">
      <c r="A27" s="391" t="s">
        <v>160</v>
      </c>
      <c r="C27" s="470"/>
    </row>
    <row r="28" spans="1:3" x14ac:dyDescent="0.2">
      <c r="A28" s="391" t="s">
        <v>161</v>
      </c>
      <c r="C28" s="470"/>
    </row>
    <row r="30" spans="1:3" x14ac:dyDescent="0.2">
      <c r="A30" s="464" t="s">
        <v>451</v>
      </c>
    </row>
    <row r="31" spans="1:3" x14ac:dyDescent="0.2">
      <c r="A31" s="391" t="s">
        <v>162</v>
      </c>
    </row>
    <row r="32" spans="1:3" x14ac:dyDescent="0.2">
      <c r="A32" s="391" t="s">
        <v>163</v>
      </c>
    </row>
    <row r="33" spans="1:1" x14ac:dyDescent="0.2">
      <c r="A33" s="391" t="s">
        <v>164</v>
      </c>
    </row>
    <row r="35" spans="1:1" x14ac:dyDescent="0.2">
      <c r="A35" s="464" t="s">
        <v>464</v>
      </c>
    </row>
    <row r="36" spans="1:1" x14ac:dyDescent="0.2">
      <c r="A36" s="552" t="s">
        <v>246</v>
      </c>
    </row>
    <row r="37" spans="1:1" x14ac:dyDescent="0.2">
      <c r="A37" s="552" t="s">
        <v>247</v>
      </c>
    </row>
    <row r="38" spans="1:1" x14ac:dyDescent="0.2">
      <c r="A38" s="552" t="s">
        <v>248</v>
      </c>
    </row>
    <row r="39" spans="1:1" x14ac:dyDescent="0.2">
      <c r="A39" s="246" t="str">
        <f>Requirements!K20</f>
        <v>LIHTC 50 AMI</v>
      </c>
    </row>
    <row r="40" spans="1:1" x14ac:dyDescent="0.2">
      <c r="A40" s="246" t="str">
        <f>Requirements!K21</f>
        <v>LIHTC 60 AMI</v>
      </c>
    </row>
    <row r="41" spans="1:1" x14ac:dyDescent="0.2">
      <c r="A41" s="246" t="str">
        <f>Requirements!K22</f>
        <v>LIHTC 40 AMI</v>
      </c>
    </row>
    <row r="42" spans="1:1" x14ac:dyDescent="0.2">
      <c r="A42" s="246" t="str">
        <f>Requirements!K23</f>
        <v>LIHTC 30 AMI</v>
      </c>
    </row>
    <row r="43" spans="1:1" x14ac:dyDescent="0.2">
      <c r="A43" s="246" t="str">
        <f>Requirements!K24</f>
        <v>Other 1</v>
      </c>
    </row>
    <row r="44" spans="1:1" x14ac:dyDescent="0.2">
      <c r="A44" s="246" t="str">
        <f>Requirements!K25</f>
        <v>Other 2</v>
      </c>
    </row>
    <row r="45" spans="1:1" x14ac:dyDescent="0.2">
      <c r="A45" s="246" t="str">
        <f>Requirements!K26</f>
        <v>Other 3</v>
      </c>
    </row>
    <row r="46" spans="1:1" x14ac:dyDescent="0.2">
      <c r="A46" s="246" t="str">
        <f>Requirements!K27</f>
        <v>Other 4</v>
      </c>
    </row>
    <row r="48" spans="1:1" x14ac:dyDescent="0.2">
      <c r="A48" s="464" t="s">
        <v>465</v>
      </c>
    </row>
    <row r="49" spans="1:1" x14ac:dyDescent="0.2">
      <c r="A49" s="246" t="s">
        <v>260</v>
      </c>
    </row>
    <row r="50" spans="1:1" x14ac:dyDescent="0.2">
      <c r="A50" s="246" t="s">
        <v>248</v>
      </c>
    </row>
    <row r="51" spans="1:1" x14ac:dyDescent="0.2">
      <c r="A51" s="246" t="str">
        <f>Requirements!K37</f>
        <v>LIHTC 50 AMI</v>
      </c>
    </row>
    <row r="52" spans="1:1" x14ac:dyDescent="0.2">
      <c r="A52" s="246" t="str">
        <f>Requirements!K38</f>
        <v>LIHTC 60 AMI</v>
      </c>
    </row>
    <row r="53" spans="1:1" x14ac:dyDescent="0.2">
      <c r="A53" s="246" t="str">
        <f>Requirements!K39</f>
        <v>LIHTC 40 AMI</v>
      </c>
    </row>
    <row r="54" spans="1:1" x14ac:dyDescent="0.2">
      <c r="A54" s="246" t="str">
        <f>Requirements!K40</f>
        <v>LIHTC 30 AMI</v>
      </c>
    </row>
    <row r="55" spans="1:1" x14ac:dyDescent="0.2">
      <c r="A55" s="246" t="str">
        <f>Requirements!K41</f>
        <v>Other 1</v>
      </c>
    </row>
    <row r="56" spans="1:1" x14ac:dyDescent="0.2">
      <c r="A56" s="246" t="str">
        <f>Requirements!K42</f>
        <v>Other 2</v>
      </c>
    </row>
    <row r="57" spans="1:1" x14ac:dyDescent="0.2">
      <c r="A57" s="246" t="str">
        <f>Requirements!K43</f>
        <v>Other 3</v>
      </c>
    </row>
    <row r="58" spans="1:1" x14ac:dyDescent="0.2">
      <c r="A58" s="246" t="str">
        <f>Requirements!K44</f>
        <v>Other 4</v>
      </c>
    </row>
    <row r="60" spans="1:1" x14ac:dyDescent="0.2">
      <c r="A60" s="464" t="s">
        <v>566</v>
      </c>
    </row>
    <row r="61" spans="1:1" x14ac:dyDescent="0.2">
      <c r="A61" s="255" t="s">
        <v>235</v>
      </c>
    </row>
    <row r="62" spans="1:1" x14ac:dyDescent="0.2">
      <c r="A62" s="255" t="s">
        <v>236</v>
      </c>
    </row>
    <row r="64" spans="1:1" x14ac:dyDescent="0.2">
      <c r="A64" s="464" t="s">
        <v>659</v>
      </c>
    </row>
    <row r="65" spans="1:3" x14ac:dyDescent="0.2">
      <c r="A65" s="391" t="s">
        <v>663</v>
      </c>
      <c r="C65" s="470"/>
    </row>
    <row r="66" spans="1:3" x14ac:dyDescent="0.2">
      <c r="A66" s="391" t="s">
        <v>664</v>
      </c>
      <c r="C66" s="470"/>
    </row>
    <row r="67" spans="1:3" x14ac:dyDescent="0.2">
      <c r="A67" s="391" t="s">
        <v>662</v>
      </c>
      <c r="C67" s="470"/>
    </row>
    <row r="68" spans="1:3" x14ac:dyDescent="0.2">
      <c r="A68" s="391" t="s">
        <v>660</v>
      </c>
      <c r="C68" s="470"/>
    </row>
    <row r="69" spans="1:3" x14ac:dyDescent="0.2">
      <c r="A69" s="391" t="s">
        <v>661</v>
      </c>
      <c r="C69" s="470"/>
    </row>
    <row r="70" spans="1:3" x14ac:dyDescent="0.2">
      <c r="A70" s="391" t="s">
        <v>665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aveXLSX">
                <anchor moveWithCells="1" sizeWithCells="1">
                  <from>
                    <xdr:col>2</xdr:col>
                    <xdr:colOff>323850</xdr:colOff>
                    <xdr:row>1</xdr:row>
                    <xdr:rowOff>66675</xdr:rowOff>
                  </from>
                  <to>
                    <xdr:col>4</xdr:col>
                    <xdr:colOff>590550</xdr:colOff>
                    <xdr:row>3</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A1:Z185"/>
  <sheetViews>
    <sheetView showGridLines="0" zoomScaleNormal="100" workbookViewId="0"/>
  </sheetViews>
  <sheetFormatPr defaultColWidth="16.85546875" defaultRowHeight="15" customHeight="1" x14ac:dyDescent="0.2"/>
  <cols>
    <col min="1" max="1" width="5.5703125" style="4" customWidth="1"/>
    <col min="2" max="2" width="1.85546875" style="4" customWidth="1"/>
    <col min="3" max="8" width="15.7109375" style="4" customWidth="1"/>
    <col min="9" max="9" width="38.5703125" style="4" customWidth="1"/>
    <col min="10" max="10" width="3.42578125" style="4" customWidth="1"/>
    <col min="11" max="11" width="34.85546875" style="4" customWidth="1"/>
    <col min="12" max="17" width="16.85546875" style="4" customWidth="1"/>
    <col min="18" max="18" width="17.7109375" style="4" customWidth="1"/>
    <col min="19" max="16384" width="16.85546875" style="4"/>
  </cols>
  <sheetData>
    <row r="1" spans="1:25" ht="51" customHeight="1" x14ac:dyDescent="0.2">
      <c r="C1" s="674" t="s">
        <v>423</v>
      </c>
      <c r="D1" s="674"/>
      <c r="E1" s="674"/>
      <c r="F1" s="674"/>
      <c r="G1" s="674"/>
      <c r="H1" s="47"/>
      <c r="I1" s="548" t="s">
        <v>59</v>
      </c>
    </row>
    <row r="2" spans="1:25" ht="6.75" customHeight="1" x14ac:dyDescent="0.2">
      <c r="C2" s="48"/>
      <c r="D2" s="48"/>
      <c r="E2" s="48"/>
      <c r="F2" s="48"/>
      <c r="H2" s="46"/>
      <c r="I2" s="412"/>
    </row>
    <row r="3" spans="1:25" ht="147.75" customHeight="1" x14ac:dyDescent="0.2">
      <c r="C3" s="675" t="s">
        <v>672</v>
      </c>
      <c r="D3" s="675"/>
      <c r="E3" s="675"/>
      <c r="F3" s="675"/>
      <c r="G3" s="675"/>
      <c r="H3" s="675"/>
      <c r="I3" s="675"/>
    </row>
    <row r="4" spans="1:25" ht="19.5" customHeight="1" x14ac:dyDescent="0.2">
      <c r="C4" s="412" t="str">
        <f>"Project Name - "&amp;Intro!$D$9&amp;" : "&amp;'Rents and Income'!$E$31&amp;" Units"</f>
        <v>Project Name - Sample Project : 20 Units</v>
      </c>
      <c r="D4" s="48"/>
      <c r="E4" s="48"/>
      <c r="F4" s="48"/>
      <c r="G4" s="50"/>
      <c r="H4" s="46"/>
      <c r="I4" s="412"/>
      <c r="K4" s="248"/>
    </row>
    <row r="5" spans="1:25" ht="15" customHeight="1" x14ac:dyDescent="0.2">
      <c r="C5" s="202"/>
      <c r="D5" s="202"/>
      <c r="E5" s="202"/>
      <c r="F5" s="202"/>
      <c r="G5" s="202"/>
      <c r="H5" s="202"/>
      <c r="I5" s="5"/>
      <c r="J5" s="5"/>
      <c r="K5" s="5"/>
      <c r="L5" s="5"/>
      <c r="M5" s="5"/>
      <c r="N5" s="5"/>
      <c r="O5" s="5"/>
      <c r="P5" s="5"/>
      <c r="Q5" s="5"/>
      <c r="R5" s="5"/>
      <c r="S5" s="5"/>
      <c r="T5" s="5"/>
      <c r="U5" s="5"/>
      <c r="V5" s="5"/>
      <c r="W5" s="5"/>
      <c r="X5" s="5"/>
      <c r="Y5" s="5"/>
    </row>
    <row r="6" spans="1:25" ht="15" customHeight="1" x14ac:dyDescent="0.2">
      <c r="C6" s="546" t="s">
        <v>556</v>
      </c>
      <c r="D6" s="54">
        <v>50000</v>
      </c>
      <c r="E6" s="546" t="s">
        <v>557</v>
      </c>
      <c r="F6" s="202"/>
      <c r="G6" s="202"/>
      <c r="H6" s="202"/>
      <c r="I6" s="5"/>
      <c r="J6" s="5"/>
      <c r="K6" s="5"/>
      <c r="L6" s="5"/>
      <c r="M6" s="5"/>
      <c r="N6" s="5"/>
      <c r="O6" s="5"/>
      <c r="P6" s="5"/>
      <c r="Q6" s="5"/>
      <c r="R6" s="5"/>
      <c r="S6" s="5"/>
      <c r="T6" s="5"/>
      <c r="U6" s="5"/>
      <c r="V6" s="5"/>
      <c r="W6" s="5"/>
      <c r="X6" s="5"/>
      <c r="Y6" s="5"/>
    </row>
    <row r="7" spans="1:25" ht="15" customHeight="1" x14ac:dyDescent="0.2">
      <c r="C7" s="202"/>
      <c r="D7" s="202"/>
      <c r="E7" s="202"/>
      <c r="F7" s="202"/>
      <c r="G7" s="202"/>
      <c r="H7" s="202"/>
      <c r="I7" s="5"/>
      <c r="J7" s="5"/>
      <c r="K7" s="5"/>
      <c r="L7" s="5"/>
      <c r="M7" s="5"/>
      <c r="N7" s="5"/>
      <c r="O7" s="5"/>
      <c r="P7" s="5"/>
      <c r="Q7" s="5"/>
      <c r="R7" s="5"/>
      <c r="S7" s="5"/>
      <c r="T7" s="5"/>
      <c r="U7" s="5"/>
      <c r="V7" s="5"/>
      <c r="W7" s="5"/>
      <c r="X7" s="5"/>
      <c r="Y7" s="5"/>
    </row>
    <row r="8" spans="1:25" ht="15" customHeight="1" x14ac:dyDescent="0.2">
      <c r="C8" s="669"/>
      <c r="D8" s="670"/>
      <c r="E8" s="670"/>
      <c r="F8" s="670"/>
      <c r="G8" s="670"/>
      <c r="H8" s="670"/>
      <c r="I8" s="671"/>
      <c r="J8" s="5"/>
      <c r="K8" s="5"/>
      <c r="L8" s="5"/>
      <c r="M8" s="5"/>
      <c r="N8" s="5"/>
      <c r="O8" s="5"/>
      <c r="P8" s="5"/>
      <c r="Q8" s="5"/>
      <c r="R8" s="5"/>
      <c r="S8" s="5"/>
      <c r="T8" s="5"/>
      <c r="U8" s="5"/>
      <c r="V8" s="5"/>
      <c r="W8" s="5"/>
      <c r="X8" s="5"/>
      <c r="Y8" s="5"/>
    </row>
    <row r="9" spans="1:25" ht="15" customHeight="1" thickBot="1" x14ac:dyDescent="0.25">
      <c r="C9" s="202"/>
      <c r="D9" s="202"/>
      <c r="E9" s="202"/>
      <c r="F9" s="202"/>
      <c r="G9" s="202"/>
      <c r="H9" s="202"/>
      <c r="I9" s="5"/>
      <c r="J9" s="5"/>
      <c r="K9" s="5"/>
      <c r="L9" s="5"/>
      <c r="M9" s="5"/>
      <c r="N9" s="5"/>
      <c r="O9" s="5"/>
      <c r="P9" s="5"/>
      <c r="Q9" s="5"/>
      <c r="R9" s="5"/>
      <c r="S9" s="5"/>
      <c r="T9" s="5"/>
      <c r="U9" s="5"/>
      <c r="V9" s="5"/>
      <c r="W9" s="5"/>
      <c r="X9" s="5"/>
      <c r="Y9" s="5"/>
    </row>
    <row r="10" spans="1:25" ht="15" customHeight="1" x14ac:dyDescent="0.2">
      <c r="A10" s="633" t="s">
        <v>424</v>
      </c>
      <c r="C10" s="231" t="s">
        <v>57</v>
      </c>
      <c r="D10" s="232"/>
      <c r="E10" s="232"/>
      <c r="F10" s="232"/>
      <c r="G10" s="244"/>
      <c r="H10" s="233"/>
      <c r="I10" s="234"/>
      <c r="J10" s="5"/>
      <c r="K10" s="5"/>
      <c r="L10" s="5"/>
      <c r="M10" s="5"/>
      <c r="N10" s="5"/>
      <c r="O10" s="5"/>
      <c r="P10" s="5"/>
      <c r="Q10" s="5"/>
      <c r="R10" s="5"/>
      <c r="S10" s="5"/>
      <c r="T10" s="5"/>
      <c r="U10" s="5"/>
      <c r="V10" s="5"/>
      <c r="W10" s="5"/>
      <c r="X10" s="5"/>
      <c r="Y10" s="5"/>
    </row>
    <row r="11" spans="1:25" ht="15" customHeight="1" x14ac:dyDescent="0.2">
      <c r="C11" s="672" t="s">
        <v>208</v>
      </c>
      <c r="D11" s="673"/>
      <c r="E11" s="406">
        <v>100000</v>
      </c>
      <c r="F11" s="117"/>
      <c r="G11" s="117"/>
      <c r="H11" s="117"/>
      <c r="I11" s="223"/>
      <c r="J11" s="5"/>
      <c r="K11" s="5"/>
      <c r="L11" s="5"/>
      <c r="M11" s="5"/>
      <c r="N11" s="5"/>
      <c r="O11" s="5"/>
      <c r="P11" s="5"/>
      <c r="Q11" s="5"/>
      <c r="R11" s="5"/>
      <c r="S11" s="5"/>
      <c r="T11" s="5"/>
      <c r="U11" s="5"/>
      <c r="V11" s="5"/>
    </row>
    <row r="12" spans="1:25" ht="15" customHeight="1" x14ac:dyDescent="0.2">
      <c r="C12" s="672" t="s">
        <v>26</v>
      </c>
      <c r="D12" s="673"/>
      <c r="E12" s="406">
        <v>125000</v>
      </c>
      <c r="F12" s="117"/>
      <c r="G12" s="117"/>
      <c r="H12" s="117"/>
      <c r="I12" s="223"/>
      <c r="J12" s="5"/>
      <c r="K12" s="403"/>
      <c r="L12" s="543">
        <f>+'Sources and Uses'!$D$25</f>
        <v>1400000</v>
      </c>
      <c r="M12" s="403" t="s">
        <v>553</v>
      </c>
      <c r="N12" s="544">
        <f>+'Rents and Income'!$M$31+'Rents and Income'!$N$31</f>
        <v>20</v>
      </c>
      <c r="O12" s="403" t="s">
        <v>554</v>
      </c>
      <c r="P12" s="543">
        <f>IF(N12=0,0,L12/N12)</f>
        <v>70000</v>
      </c>
      <c r="Q12" s="403" t="s">
        <v>555</v>
      </c>
      <c r="R12" s="5"/>
      <c r="S12" s="5"/>
      <c r="T12" s="5"/>
      <c r="U12" s="5"/>
      <c r="V12" s="5"/>
    </row>
    <row r="13" spans="1:25" ht="15" customHeight="1" x14ac:dyDescent="0.2">
      <c r="C13" s="672" t="s">
        <v>27</v>
      </c>
      <c r="D13" s="673"/>
      <c r="E13" s="406">
        <v>150000</v>
      </c>
      <c r="F13" s="117"/>
      <c r="G13" s="117"/>
      <c r="H13" s="117"/>
      <c r="I13" s="223"/>
      <c r="J13" s="5"/>
      <c r="K13" s="5"/>
      <c r="L13" s="5"/>
      <c r="M13" s="5"/>
      <c r="N13" s="5"/>
      <c r="O13" s="5"/>
      <c r="P13" s="5"/>
      <c r="Q13" s="5"/>
      <c r="R13" s="5"/>
      <c r="S13" s="5"/>
      <c r="T13" s="5"/>
      <c r="U13" s="5"/>
      <c r="V13" s="5"/>
    </row>
    <row r="14" spans="1:25" ht="15" customHeight="1" x14ac:dyDescent="0.2">
      <c r="C14" s="672" t="s">
        <v>28</v>
      </c>
      <c r="D14" s="673"/>
      <c r="E14" s="406">
        <v>175000</v>
      </c>
      <c r="F14" s="117"/>
      <c r="G14" s="117"/>
      <c r="H14" s="117"/>
      <c r="I14" s="223"/>
      <c r="J14" s="5"/>
      <c r="K14" s="403" t="s">
        <v>739</v>
      </c>
      <c r="L14" s="5"/>
      <c r="M14" s="5"/>
      <c r="N14" s="5"/>
      <c r="O14" s="5"/>
      <c r="P14" s="5"/>
      <c r="Q14" s="5"/>
      <c r="R14" s="5"/>
      <c r="S14" s="5"/>
      <c r="T14" s="5"/>
      <c r="U14" s="5"/>
      <c r="V14" s="5"/>
    </row>
    <row r="15" spans="1:25" ht="15" customHeight="1" x14ac:dyDescent="0.2">
      <c r="C15" s="672" t="s">
        <v>29</v>
      </c>
      <c r="D15" s="673"/>
      <c r="E15" s="406">
        <v>200000</v>
      </c>
      <c r="F15" s="117"/>
      <c r="G15" s="117"/>
      <c r="H15" s="117"/>
      <c r="I15" s="223"/>
      <c r="J15" s="5"/>
      <c r="K15" s="5"/>
      <c r="L15" s="5"/>
      <c r="M15" s="5"/>
      <c r="N15" s="5"/>
      <c r="O15" s="5"/>
      <c r="P15" s="5"/>
      <c r="Q15" s="5"/>
      <c r="R15" s="5"/>
      <c r="S15" s="5"/>
      <c r="T15" s="5"/>
      <c r="U15" s="5"/>
      <c r="V15" s="5"/>
    </row>
    <row r="16" spans="1:25" ht="15" customHeight="1" thickBot="1" x14ac:dyDescent="0.3">
      <c r="C16" s="686" t="s">
        <v>30</v>
      </c>
      <c r="D16" s="687"/>
      <c r="E16" s="560">
        <f>+E15</f>
        <v>200000</v>
      </c>
      <c r="F16" s="229" t="s">
        <v>589</v>
      </c>
      <c r="G16" s="229"/>
      <c r="H16" s="229"/>
      <c r="I16" s="230"/>
      <c r="J16" s="5"/>
      <c r="K16" s="247" t="s">
        <v>252</v>
      </c>
      <c r="L16" s="245" t="s">
        <v>251</v>
      </c>
      <c r="M16" s="245" t="s">
        <v>243</v>
      </c>
      <c r="N16" s="245" t="s">
        <v>244</v>
      </c>
      <c r="O16" s="245" t="s">
        <v>245</v>
      </c>
      <c r="P16" s="245" t="s">
        <v>249</v>
      </c>
      <c r="Q16" s="245" t="s">
        <v>250</v>
      </c>
      <c r="R16" s="5"/>
      <c r="S16" s="5"/>
      <c r="T16" s="5"/>
      <c r="U16" s="5"/>
      <c r="V16" s="5"/>
    </row>
    <row r="17" spans="1:26" ht="15" customHeight="1" x14ac:dyDescent="0.2">
      <c r="C17" s="347"/>
      <c r="D17" s="46"/>
      <c r="E17" s="46"/>
      <c r="F17" s="46"/>
      <c r="G17" s="46"/>
      <c r="H17" s="46"/>
      <c r="I17" s="5"/>
      <c r="J17" s="5"/>
      <c r="K17" s="246" t="s">
        <v>246</v>
      </c>
      <c r="L17" s="246">
        <f t="shared" ref="L17" si="0">+C$22</f>
        <v>400</v>
      </c>
      <c r="M17" s="246">
        <f t="shared" ref="M17" si="1">+D$22</f>
        <v>450</v>
      </c>
      <c r="N17" s="246">
        <f t="shared" ref="N17" si="2">+E$22</f>
        <v>500</v>
      </c>
      <c r="O17" s="246">
        <f t="shared" ref="O17" si="3">+F$22</f>
        <v>550</v>
      </c>
      <c r="P17" s="246">
        <f t="shared" ref="P17" si="4">+G$22</f>
        <v>600</v>
      </c>
      <c r="Q17" s="246">
        <f t="shared" ref="Q17" si="5">+H$22</f>
        <v>650</v>
      </c>
      <c r="R17" s="5"/>
      <c r="S17" s="5"/>
      <c r="T17" s="5"/>
      <c r="U17" s="5"/>
      <c r="V17" s="5"/>
      <c r="W17" s="5"/>
      <c r="X17" s="5"/>
      <c r="Y17" s="5"/>
    </row>
    <row r="18" spans="1:26" ht="15" customHeight="1" x14ac:dyDescent="0.2">
      <c r="C18" s="669"/>
      <c r="D18" s="670"/>
      <c r="E18" s="670"/>
      <c r="F18" s="670"/>
      <c r="G18" s="670"/>
      <c r="H18" s="670"/>
      <c r="I18" s="671"/>
      <c r="J18" s="5"/>
      <c r="K18" s="246" t="s">
        <v>247</v>
      </c>
      <c r="L18" s="246">
        <f t="shared" ref="L18" si="6">+C$24</f>
        <v>700</v>
      </c>
      <c r="M18" s="246">
        <f t="shared" ref="M18" si="7">+D$24</f>
        <v>800</v>
      </c>
      <c r="N18" s="246">
        <f t="shared" ref="N18" si="8">+E$24</f>
        <v>900</v>
      </c>
      <c r="O18" s="246">
        <f t="shared" ref="O18" si="9">+F$24</f>
        <v>1000</v>
      </c>
      <c r="P18" s="246">
        <f t="shared" ref="P18" si="10">+G$24</f>
        <v>1100</v>
      </c>
      <c r="Q18" s="246">
        <f t="shared" ref="Q18" si="11">+H$24</f>
        <v>1200</v>
      </c>
      <c r="R18" s="5"/>
      <c r="S18" s="5"/>
      <c r="T18" s="5"/>
      <c r="U18" s="5"/>
      <c r="V18" s="5"/>
      <c r="W18" s="5"/>
      <c r="X18" s="5"/>
      <c r="Y18" s="5"/>
    </row>
    <row r="19" spans="1:26" ht="15" customHeight="1" thickBot="1" x14ac:dyDescent="0.25">
      <c r="C19" s="202"/>
      <c r="D19" s="202"/>
      <c r="E19" s="202"/>
      <c r="F19" s="202"/>
      <c r="G19" s="202"/>
      <c r="H19" s="202"/>
      <c r="I19" s="5"/>
      <c r="J19" s="5"/>
      <c r="K19" s="246" t="s">
        <v>248</v>
      </c>
      <c r="L19" s="246">
        <f>+C$47</f>
        <v>800</v>
      </c>
      <c r="M19" s="246">
        <f t="shared" ref="M19" si="12">+D$47</f>
        <v>900</v>
      </c>
      <c r="N19" s="246">
        <f t="shared" ref="N19" si="13">+E$47</f>
        <v>1000</v>
      </c>
      <c r="O19" s="246">
        <f t="shared" ref="O19" si="14">+F$47</f>
        <v>1100</v>
      </c>
      <c r="P19" s="246">
        <f t="shared" ref="P19" si="15">+G$47</f>
        <v>1200</v>
      </c>
      <c r="Q19" s="246">
        <f t="shared" ref="Q19" si="16">+H$47</f>
        <v>1300</v>
      </c>
      <c r="R19" s="5"/>
      <c r="S19" s="5"/>
      <c r="T19" s="5"/>
      <c r="U19" s="5"/>
      <c r="V19" s="5"/>
      <c r="W19" s="5"/>
      <c r="X19" s="5"/>
      <c r="Y19" s="5"/>
    </row>
    <row r="20" spans="1:26" ht="15" customHeight="1" x14ac:dyDescent="0.2">
      <c r="A20" s="402" t="s">
        <v>424</v>
      </c>
      <c r="C20" s="231" t="s">
        <v>515</v>
      </c>
      <c r="D20" s="232"/>
      <c r="E20" s="232"/>
      <c r="F20" s="232"/>
      <c r="G20" s="410"/>
      <c r="H20" s="410"/>
      <c r="I20" s="409"/>
      <c r="J20" s="5"/>
      <c r="K20" s="246" t="str">
        <f>+F55</f>
        <v>LIHTC 50 AMI</v>
      </c>
      <c r="L20" s="246">
        <f>+C$59</f>
        <v>437</v>
      </c>
      <c r="M20" s="246">
        <f t="shared" ref="M20" si="17">+D$59</f>
        <v>468</v>
      </c>
      <c r="N20" s="246">
        <f t="shared" ref="N20" si="18">+E$59</f>
        <v>562</v>
      </c>
      <c r="O20" s="246">
        <f t="shared" ref="O20" si="19">+F$59</f>
        <v>650</v>
      </c>
      <c r="P20" s="246">
        <f t="shared" ref="P20" si="20">+G$59</f>
        <v>725</v>
      </c>
      <c r="Q20" s="246">
        <f t="shared" ref="Q20" si="21">+H$59</f>
        <v>800</v>
      </c>
      <c r="R20" s="5"/>
      <c r="S20" s="5"/>
      <c r="T20" s="5"/>
      <c r="U20" s="5"/>
      <c r="V20" s="5"/>
      <c r="W20" s="5"/>
      <c r="X20" s="5"/>
      <c r="Y20" s="5"/>
    </row>
    <row r="21" spans="1:26" s="7" customFormat="1" ht="15" customHeight="1" x14ac:dyDescent="0.2">
      <c r="C21" s="219" t="s">
        <v>209</v>
      </c>
      <c r="D21" s="53" t="s">
        <v>40</v>
      </c>
      <c r="E21" s="53" t="s">
        <v>41</v>
      </c>
      <c r="F21" s="53" t="s">
        <v>42</v>
      </c>
      <c r="G21" s="53" t="s">
        <v>43</v>
      </c>
      <c r="H21" s="53" t="s">
        <v>44</v>
      </c>
      <c r="I21" s="220"/>
      <c r="K21" s="246" t="str">
        <f>+F69</f>
        <v>LIHTC 60 AMI</v>
      </c>
      <c r="L21" s="246">
        <f>+C$73</f>
        <v>525</v>
      </c>
      <c r="M21" s="246">
        <f t="shared" ref="M21" si="22">+D$73</f>
        <v>562</v>
      </c>
      <c r="N21" s="246">
        <f t="shared" ref="N21" si="23">+E$73</f>
        <v>675</v>
      </c>
      <c r="O21" s="246">
        <f t="shared" ref="O21" si="24">+F$73</f>
        <v>780</v>
      </c>
      <c r="P21" s="246">
        <f t="shared" ref="P21" si="25">+G$73</f>
        <v>870</v>
      </c>
      <c r="Q21" s="246">
        <f t="shared" ref="Q21" si="26">+H$73</f>
        <v>960</v>
      </c>
      <c r="R21" s="5"/>
      <c r="S21" s="5"/>
      <c r="T21" s="5"/>
      <c r="U21" s="5"/>
      <c r="V21" s="5"/>
    </row>
    <row r="22" spans="1:26" ht="15" customHeight="1" x14ac:dyDescent="0.2">
      <c r="C22" s="221">
        <v>400</v>
      </c>
      <c r="D22" s="54">
        <v>450</v>
      </c>
      <c r="E22" s="54">
        <v>500</v>
      </c>
      <c r="F22" s="54">
        <v>550</v>
      </c>
      <c r="G22" s="54">
        <v>600</v>
      </c>
      <c r="H22" s="54">
        <v>650</v>
      </c>
      <c r="I22" s="222"/>
      <c r="J22" s="8"/>
      <c r="K22" s="246" t="str">
        <f>+F83</f>
        <v>LIHTC 40 AMI</v>
      </c>
      <c r="L22" s="246">
        <f>+C$87</f>
        <v>350</v>
      </c>
      <c r="M22" s="246">
        <f t="shared" ref="M22" si="27">+D$87</f>
        <v>375</v>
      </c>
      <c r="N22" s="246">
        <f t="shared" ref="N22" si="28">+E$87</f>
        <v>450</v>
      </c>
      <c r="O22" s="246">
        <f t="shared" ref="O22" si="29">+F$87</f>
        <v>520</v>
      </c>
      <c r="P22" s="246">
        <f t="shared" ref="P22" si="30">+G$87</f>
        <v>580</v>
      </c>
      <c r="Q22" s="246">
        <f t="shared" ref="Q22" si="31">+H$87</f>
        <v>640</v>
      </c>
      <c r="R22" s="5"/>
      <c r="S22" s="5"/>
      <c r="T22" s="5"/>
      <c r="U22" s="5"/>
      <c r="V22" s="5"/>
    </row>
    <row r="23" spans="1:26" ht="15" customHeight="1" x14ac:dyDescent="0.2">
      <c r="C23" s="219" t="s">
        <v>210</v>
      </c>
      <c r="D23" s="53" t="s">
        <v>45</v>
      </c>
      <c r="E23" s="53" t="s">
        <v>46</v>
      </c>
      <c r="F23" s="53" t="s">
        <v>47</v>
      </c>
      <c r="G23" s="53" t="s">
        <v>48</v>
      </c>
      <c r="H23" s="53" t="s">
        <v>49</v>
      </c>
      <c r="I23" s="223"/>
      <c r="J23" s="5"/>
      <c r="K23" s="246" t="str">
        <f>+F97</f>
        <v>LIHTC 30 AMI</v>
      </c>
      <c r="L23" s="246">
        <f>+C$101</f>
        <v>262</v>
      </c>
      <c r="M23" s="246">
        <f t="shared" ref="M23" si="32">+D$101</f>
        <v>281</v>
      </c>
      <c r="N23" s="246">
        <f t="shared" ref="N23" si="33">+E$101</f>
        <v>337</v>
      </c>
      <c r="O23" s="246">
        <f t="shared" ref="O23" si="34">+F$101</f>
        <v>390</v>
      </c>
      <c r="P23" s="246">
        <f t="shared" ref="P23" si="35">+G$101</f>
        <v>435</v>
      </c>
      <c r="Q23" s="246">
        <f t="shared" ref="Q23" si="36">+H$101</f>
        <v>480</v>
      </c>
      <c r="R23" s="5"/>
      <c r="S23" s="5"/>
      <c r="T23" s="5"/>
      <c r="U23" s="5"/>
      <c r="V23" s="5"/>
      <c r="W23" s="5"/>
      <c r="X23" s="5"/>
      <c r="Y23" s="5"/>
      <c r="Z23" s="5"/>
    </row>
    <row r="24" spans="1:26" ht="15" customHeight="1" x14ac:dyDescent="0.2">
      <c r="C24" s="221">
        <v>700</v>
      </c>
      <c r="D24" s="54">
        <v>800</v>
      </c>
      <c r="E24" s="54">
        <v>900</v>
      </c>
      <c r="F24" s="54">
        <v>1000</v>
      </c>
      <c r="G24" s="54">
        <v>1100</v>
      </c>
      <c r="H24" s="54">
        <v>1200</v>
      </c>
      <c r="I24" s="223"/>
      <c r="J24" s="5"/>
      <c r="K24" s="246" t="str">
        <f>+F111</f>
        <v>Other 1</v>
      </c>
      <c r="L24" s="246">
        <f>+C$115</f>
        <v>175</v>
      </c>
      <c r="M24" s="246">
        <f t="shared" ref="M24:Q24" si="37">+D$115</f>
        <v>187</v>
      </c>
      <c r="N24" s="246">
        <f t="shared" si="37"/>
        <v>225</v>
      </c>
      <c r="O24" s="246">
        <f t="shared" si="37"/>
        <v>260</v>
      </c>
      <c r="P24" s="246">
        <f t="shared" si="37"/>
        <v>290</v>
      </c>
      <c r="Q24" s="246">
        <f t="shared" si="37"/>
        <v>320</v>
      </c>
      <c r="R24" s="5"/>
      <c r="S24" s="5"/>
      <c r="T24" s="5"/>
      <c r="U24" s="5"/>
      <c r="V24" s="5"/>
      <c r="W24" s="5"/>
      <c r="X24" s="5"/>
      <c r="Y24" s="5"/>
      <c r="Z24" s="5"/>
    </row>
    <row r="25" spans="1:26" s="14" customFormat="1" ht="15" customHeight="1" x14ac:dyDescent="0.2">
      <c r="C25" s="224"/>
      <c r="D25" s="55"/>
      <c r="E25" s="55"/>
      <c r="F25" s="55"/>
      <c r="G25" s="55"/>
      <c r="H25" s="57"/>
      <c r="I25" s="225"/>
      <c r="J25" s="13"/>
      <c r="K25" s="246" t="str">
        <f>+F125</f>
        <v>Other 2</v>
      </c>
      <c r="L25" s="246">
        <f>+C$129</f>
        <v>218</v>
      </c>
      <c r="M25" s="246">
        <f t="shared" ref="M25:Q25" si="38">+D$129</f>
        <v>234</v>
      </c>
      <c r="N25" s="246">
        <f t="shared" si="38"/>
        <v>281</v>
      </c>
      <c r="O25" s="246">
        <f t="shared" si="38"/>
        <v>325</v>
      </c>
      <c r="P25" s="246">
        <f t="shared" si="38"/>
        <v>362</v>
      </c>
      <c r="Q25" s="246">
        <f t="shared" si="38"/>
        <v>400</v>
      </c>
      <c r="R25" s="13"/>
      <c r="S25" s="13"/>
      <c r="T25" s="13"/>
      <c r="U25" s="13"/>
      <c r="V25" s="13"/>
      <c r="W25" s="13"/>
      <c r="X25" s="13"/>
      <c r="Y25" s="13"/>
    </row>
    <row r="26" spans="1:26" s="14" customFormat="1" ht="15" customHeight="1" x14ac:dyDescent="0.2">
      <c r="A26" s="402" t="s">
        <v>424</v>
      </c>
      <c r="C26" s="226" t="s">
        <v>147</v>
      </c>
      <c r="D26" s="55"/>
      <c r="E26" s="55"/>
      <c r="F26" s="55"/>
      <c r="G26" s="55"/>
      <c r="H26" s="57"/>
      <c r="I26" s="225"/>
      <c r="J26" s="13"/>
      <c r="K26" s="246" t="str">
        <f>+F139</f>
        <v>Other 3</v>
      </c>
      <c r="L26" s="246">
        <f>+C$143</f>
        <v>306</v>
      </c>
      <c r="M26" s="246">
        <f t="shared" ref="M26:Q26" si="39">+D$143</f>
        <v>328</v>
      </c>
      <c r="N26" s="246">
        <f t="shared" si="39"/>
        <v>393</v>
      </c>
      <c r="O26" s="246">
        <f t="shared" si="39"/>
        <v>455</v>
      </c>
      <c r="P26" s="246">
        <f t="shared" si="39"/>
        <v>507</v>
      </c>
      <c r="Q26" s="246">
        <f t="shared" si="39"/>
        <v>560</v>
      </c>
      <c r="R26" s="13"/>
      <c r="S26" s="13"/>
      <c r="T26" s="13"/>
      <c r="U26" s="13"/>
      <c r="V26" s="13"/>
      <c r="W26" s="13"/>
      <c r="X26" s="13"/>
      <c r="Y26" s="13"/>
    </row>
    <row r="27" spans="1:26" s="7" customFormat="1" ht="15" customHeight="1" x14ac:dyDescent="0.2">
      <c r="C27" s="219" t="s">
        <v>211</v>
      </c>
      <c r="D27" s="53" t="s">
        <v>74</v>
      </c>
      <c r="E27" s="53" t="s">
        <v>75</v>
      </c>
      <c r="F27" s="53" t="s">
        <v>76</v>
      </c>
      <c r="G27" s="53" t="s">
        <v>77</v>
      </c>
      <c r="H27" s="53" t="s">
        <v>78</v>
      </c>
      <c r="I27" s="220"/>
      <c r="K27" s="246" t="str">
        <f>+F153</f>
        <v>Other 4</v>
      </c>
      <c r="L27" s="246">
        <f>+C$157</f>
        <v>700</v>
      </c>
      <c r="M27" s="246">
        <f t="shared" ref="M27:Q27" si="40">+D$157</f>
        <v>750</v>
      </c>
      <c r="N27" s="246">
        <f t="shared" si="40"/>
        <v>900</v>
      </c>
      <c r="O27" s="246">
        <f t="shared" si="40"/>
        <v>1040</v>
      </c>
      <c r="P27" s="246">
        <f t="shared" si="40"/>
        <v>1160</v>
      </c>
      <c r="Q27" s="246">
        <f t="shared" si="40"/>
        <v>1280</v>
      </c>
      <c r="R27" s="5"/>
      <c r="S27" s="5"/>
      <c r="T27" s="5"/>
      <c r="U27" s="5"/>
      <c r="V27" s="5"/>
    </row>
    <row r="28" spans="1:26" ht="15" customHeight="1" thickBot="1" x14ac:dyDescent="0.25">
      <c r="C28" s="237">
        <v>50</v>
      </c>
      <c r="D28" s="238">
        <v>65</v>
      </c>
      <c r="E28" s="238">
        <v>80</v>
      </c>
      <c r="F28" s="238">
        <v>95</v>
      </c>
      <c r="G28" s="238">
        <v>110</v>
      </c>
      <c r="H28" s="238">
        <v>125</v>
      </c>
      <c r="I28" s="239"/>
      <c r="J28" s="8"/>
      <c r="K28" s="8"/>
      <c r="N28" s="5"/>
      <c r="O28" s="5"/>
      <c r="P28" s="5"/>
      <c r="Q28" s="5"/>
      <c r="R28" s="5"/>
      <c r="S28" s="5"/>
      <c r="T28" s="5"/>
      <c r="U28" s="5"/>
      <c r="V28" s="5"/>
    </row>
    <row r="29" spans="1:26" ht="15" customHeight="1" x14ac:dyDescent="0.2">
      <c r="C29" s="545"/>
      <c r="D29" s="545"/>
      <c r="E29" s="545"/>
      <c r="F29" s="545"/>
      <c r="G29" s="545"/>
      <c r="H29" s="545"/>
      <c r="I29" s="545"/>
      <c r="J29" s="8"/>
      <c r="K29" s="8"/>
      <c r="N29" s="5"/>
      <c r="O29" s="5"/>
      <c r="P29" s="5"/>
      <c r="Q29" s="5"/>
      <c r="R29" s="5"/>
      <c r="S29" s="5"/>
      <c r="T29" s="5"/>
      <c r="U29" s="5"/>
      <c r="V29" s="5"/>
    </row>
    <row r="30" spans="1:26" ht="15" customHeight="1" x14ac:dyDescent="0.2">
      <c r="C30" s="202"/>
      <c r="D30" s="202"/>
      <c r="E30" s="202"/>
      <c r="F30" s="202"/>
      <c r="G30" s="202"/>
      <c r="H30" s="202"/>
      <c r="I30" s="5"/>
      <c r="J30" s="5"/>
      <c r="K30" s="528"/>
      <c r="L30" s="543"/>
      <c r="M30" s="403"/>
      <c r="N30" s="544"/>
      <c r="O30" s="403"/>
      <c r="P30" s="543"/>
      <c r="Q30" s="403"/>
      <c r="R30" s="5"/>
      <c r="S30" s="5"/>
      <c r="T30" s="5"/>
      <c r="U30" s="5"/>
      <c r="V30" s="5"/>
      <c r="W30" s="5"/>
      <c r="X30" s="5"/>
      <c r="Y30" s="5"/>
    </row>
    <row r="31" spans="1:26" ht="15" customHeight="1" x14ac:dyDescent="0.2">
      <c r="C31" s="202"/>
      <c r="D31" s="202"/>
      <c r="E31" s="202"/>
      <c r="F31" s="202"/>
      <c r="G31" s="202"/>
      <c r="H31" s="202"/>
      <c r="I31" s="5"/>
      <c r="J31" s="5"/>
      <c r="K31" s="528"/>
      <c r="L31" s="543"/>
      <c r="M31" s="403"/>
      <c r="N31" s="544"/>
      <c r="O31" s="403"/>
      <c r="P31" s="543"/>
      <c r="Q31" s="403"/>
      <c r="R31" s="5"/>
      <c r="S31" s="5"/>
      <c r="T31" s="5"/>
      <c r="U31" s="5"/>
      <c r="V31" s="5"/>
      <c r="W31" s="5"/>
      <c r="X31" s="5"/>
      <c r="Y31" s="5"/>
    </row>
    <row r="32" spans="1:26" ht="15" customHeight="1" x14ac:dyDescent="0.2">
      <c r="C32" s="669"/>
      <c r="D32" s="670"/>
      <c r="E32" s="670"/>
      <c r="F32" s="670"/>
      <c r="G32" s="670"/>
      <c r="H32" s="670"/>
      <c r="I32" s="671"/>
      <c r="J32" s="5"/>
      <c r="K32" s="403" t="s">
        <v>740</v>
      </c>
      <c r="L32" s="543"/>
      <c r="M32" s="403"/>
      <c r="N32" s="544"/>
      <c r="O32" s="403"/>
      <c r="P32" s="543"/>
      <c r="Q32" s="403"/>
      <c r="R32" s="5"/>
      <c r="S32" s="5"/>
      <c r="T32" s="5"/>
      <c r="U32" s="5"/>
      <c r="V32" s="5"/>
      <c r="W32" s="5"/>
      <c r="X32" s="5"/>
      <c r="Y32" s="5"/>
    </row>
    <row r="33" spans="1:26" ht="15" customHeight="1" thickBot="1" x14ac:dyDescent="0.25">
      <c r="C33" s="202"/>
      <c r="D33" s="202"/>
      <c r="E33" s="202"/>
      <c r="F33" s="202"/>
      <c r="G33" s="202"/>
      <c r="H33" s="202"/>
      <c r="I33" s="5"/>
      <c r="J33" s="5"/>
      <c r="K33" s="528"/>
      <c r="L33" s="543"/>
      <c r="M33" s="403"/>
      <c r="N33" s="544"/>
      <c r="O33" s="403"/>
      <c r="P33" s="543"/>
      <c r="Q33" s="403"/>
      <c r="R33" s="5"/>
      <c r="S33" s="5"/>
      <c r="T33" s="5"/>
      <c r="U33" s="5"/>
      <c r="V33" s="5"/>
      <c r="W33" s="5"/>
      <c r="X33" s="5"/>
      <c r="Y33" s="5"/>
    </row>
    <row r="34" spans="1:26" ht="15" customHeight="1" x14ac:dyDescent="0.25">
      <c r="A34" s="402" t="s">
        <v>424</v>
      </c>
      <c r="C34" s="231" t="s">
        <v>37</v>
      </c>
      <c r="D34" s="232"/>
      <c r="E34" s="232"/>
      <c r="F34" s="232"/>
      <c r="G34" s="410"/>
      <c r="H34" s="410"/>
      <c r="I34" s="409"/>
      <c r="J34" s="5"/>
      <c r="K34" s="247" t="s">
        <v>253</v>
      </c>
      <c r="L34" s="245" t="s">
        <v>254</v>
      </c>
      <c r="M34" s="245" t="s">
        <v>255</v>
      </c>
      <c r="N34" s="245" t="s">
        <v>256</v>
      </c>
      <c r="O34" s="245" t="s">
        <v>257</v>
      </c>
      <c r="P34" s="245" t="s">
        <v>258</v>
      </c>
      <c r="Q34" s="245" t="s">
        <v>259</v>
      </c>
      <c r="R34" s="5"/>
      <c r="S34" s="5"/>
      <c r="T34" s="5"/>
      <c r="U34" s="5"/>
      <c r="V34" s="5"/>
      <c r="W34" s="5"/>
      <c r="X34" s="5"/>
      <c r="Y34" s="5"/>
    </row>
    <row r="35" spans="1:26" ht="15.75" customHeight="1" x14ac:dyDescent="0.2">
      <c r="A35" s="14"/>
      <c r="C35" s="688" t="s">
        <v>225</v>
      </c>
      <c r="D35" s="689"/>
      <c r="E35" s="689"/>
      <c r="F35" s="690" t="s">
        <v>159</v>
      </c>
      <c r="G35" s="691"/>
      <c r="H35" s="692"/>
      <c r="I35" s="227"/>
      <c r="J35" s="5"/>
      <c r="K35" s="246" t="s">
        <v>260</v>
      </c>
      <c r="L35" s="246">
        <f>+C$28</f>
        <v>50</v>
      </c>
      <c r="M35" s="246">
        <f t="shared" ref="M35" si="41">+D$28</f>
        <v>65</v>
      </c>
      <c r="N35" s="246">
        <f t="shared" ref="N35" si="42">+E$28</f>
        <v>80</v>
      </c>
      <c r="O35" s="246">
        <f t="shared" ref="O35" si="43">+F$28</f>
        <v>95</v>
      </c>
      <c r="P35" s="246">
        <f t="shared" ref="P35" si="44">+G$28</f>
        <v>110</v>
      </c>
      <c r="Q35" s="246">
        <f t="shared" ref="Q35" si="45">+H$28</f>
        <v>125</v>
      </c>
      <c r="R35" s="403"/>
      <c r="S35" s="5"/>
      <c r="T35" s="5"/>
      <c r="U35" s="5"/>
      <c r="V35" s="5"/>
      <c r="W35" s="5"/>
      <c r="X35" s="5"/>
      <c r="Y35" s="5"/>
      <c r="Z35" s="5"/>
    </row>
    <row r="36" spans="1:26" ht="15.75" customHeight="1" x14ac:dyDescent="0.2">
      <c r="A36" s="14"/>
      <c r="C36" s="688" t="s">
        <v>165</v>
      </c>
      <c r="D36" s="689"/>
      <c r="E36" s="689"/>
      <c r="F36" s="690" t="s">
        <v>164</v>
      </c>
      <c r="G36" s="691"/>
      <c r="H36" s="692"/>
      <c r="I36" s="639" t="s">
        <v>737</v>
      </c>
      <c r="J36" s="5"/>
      <c r="K36" s="246" t="s">
        <v>248</v>
      </c>
      <c r="L36" s="246">
        <v>0</v>
      </c>
      <c r="M36" s="246">
        <v>0</v>
      </c>
      <c r="N36" s="246">
        <v>0</v>
      </c>
      <c r="O36" s="246">
        <v>0</v>
      </c>
      <c r="P36" s="246">
        <v>0</v>
      </c>
      <c r="Q36" s="246">
        <v>0</v>
      </c>
      <c r="R36" s="5"/>
      <c r="S36" s="5"/>
      <c r="T36" s="5"/>
      <c r="U36" s="5"/>
      <c r="V36" s="5"/>
      <c r="W36" s="5"/>
      <c r="X36" s="5"/>
      <c r="Y36" s="5"/>
      <c r="Z36" s="5"/>
    </row>
    <row r="37" spans="1:26" ht="15" customHeight="1" x14ac:dyDescent="0.2">
      <c r="A37" s="14"/>
      <c r="C37" s="228"/>
      <c r="D37" s="218"/>
      <c r="E37" s="529">
        <f>IF($F$35=Controls!$A$26,1,IF($F$35=Controls!$A$27,2,3))</f>
        <v>1</v>
      </c>
      <c r="F37" s="527">
        <f>IF(F36=Controls!$A$31,1,IF(F36=Controls!$A$32,2,3))</f>
        <v>3</v>
      </c>
      <c r="G37" s="217"/>
      <c r="H37" s="217"/>
      <c r="I37" s="227"/>
      <c r="J37" s="5"/>
      <c r="K37" s="246" t="str">
        <f t="shared" ref="K37:K44" si="46">+K20</f>
        <v>LIHTC 50 AMI</v>
      </c>
      <c r="L37" s="246">
        <f>+C$63</f>
        <v>11</v>
      </c>
      <c r="M37" s="246">
        <f t="shared" ref="M37" si="47">+D$63</f>
        <v>21</v>
      </c>
      <c r="N37" s="246">
        <f t="shared" ref="N37" si="48">+E$63</f>
        <v>31</v>
      </c>
      <c r="O37" s="246">
        <f t="shared" ref="O37" si="49">+F$63</f>
        <v>41</v>
      </c>
      <c r="P37" s="246">
        <f t="shared" ref="P37" si="50">+G$63</f>
        <v>51</v>
      </c>
      <c r="Q37" s="246">
        <f t="shared" ref="Q37" si="51">+H$63</f>
        <v>61</v>
      </c>
      <c r="R37" s="5"/>
      <c r="S37" s="5"/>
      <c r="T37" s="5"/>
      <c r="U37" s="5"/>
      <c r="V37" s="5"/>
      <c r="W37" s="5"/>
      <c r="X37" s="5"/>
      <c r="Y37" s="5"/>
    </row>
    <row r="38" spans="1:26" ht="15" customHeight="1" x14ac:dyDescent="0.2">
      <c r="A38" s="14"/>
      <c r="C38" s="680" t="s">
        <v>150</v>
      </c>
      <c r="D38" s="681"/>
      <c r="E38" s="681"/>
      <c r="F38" s="682"/>
      <c r="G38" s="407">
        <f>IF(E37=2,15,IF(E37=3,20,IF(F37=1,5,IF(F37=2,10,15))))</f>
        <v>15</v>
      </c>
      <c r="H38" s="117" t="s">
        <v>166</v>
      </c>
      <c r="I38" s="223"/>
      <c r="J38" s="5"/>
      <c r="K38" s="246" t="str">
        <f t="shared" si="46"/>
        <v>LIHTC 60 AMI</v>
      </c>
      <c r="L38" s="246">
        <f>+C$77</f>
        <v>12</v>
      </c>
      <c r="M38" s="246">
        <f t="shared" ref="M38" si="52">+D$77</f>
        <v>22</v>
      </c>
      <c r="N38" s="246">
        <f t="shared" ref="N38" si="53">+E$77</f>
        <v>32</v>
      </c>
      <c r="O38" s="246">
        <f t="shared" ref="O38" si="54">+F$77</f>
        <v>42</v>
      </c>
      <c r="P38" s="246">
        <f t="shared" ref="P38" si="55">+G$77</f>
        <v>52</v>
      </c>
      <c r="Q38" s="246">
        <f t="shared" ref="Q38" si="56">+H$77</f>
        <v>62</v>
      </c>
      <c r="R38" s="5"/>
      <c r="S38" s="5"/>
      <c r="T38" s="5"/>
      <c r="U38" s="5"/>
    </row>
    <row r="39" spans="1:26" ht="15" customHeight="1" x14ac:dyDescent="0.2">
      <c r="A39" s="402" t="s">
        <v>424</v>
      </c>
      <c r="C39" s="680" t="s">
        <v>152</v>
      </c>
      <c r="D39" s="681"/>
      <c r="E39" s="681"/>
      <c r="F39" s="682"/>
      <c r="G39" s="408">
        <v>15</v>
      </c>
      <c r="H39" s="117" t="s">
        <v>168</v>
      </c>
      <c r="I39" s="223"/>
      <c r="J39" s="5"/>
      <c r="K39" s="246" t="str">
        <f t="shared" si="46"/>
        <v>LIHTC 40 AMI</v>
      </c>
      <c r="L39" s="246">
        <f>+C$91</f>
        <v>13</v>
      </c>
      <c r="M39" s="246">
        <f t="shared" ref="M39" si="57">+D$91</f>
        <v>23</v>
      </c>
      <c r="N39" s="246">
        <f t="shared" ref="N39" si="58">+E$91</f>
        <v>33</v>
      </c>
      <c r="O39" s="246">
        <f t="shared" ref="O39" si="59">+F$91</f>
        <v>43</v>
      </c>
      <c r="P39" s="246">
        <f t="shared" ref="P39" si="60">+G$91</f>
        <v>53</v>
      </c>
      <c r="Q39" s="246">
        <f t="shared" ref="Q39" si="61">+H$91</f>
        <v>63</v>
      </c>
      <c r="R39" s="5"/>
      <c r="S39" s="5"/>
      <c r="T39" s="5"/>
      <c r="U39" s="5"/>
    </row>
    <row r="40" spans="1:26" ht="15" customHeight="1" thickBot="1" x14ac:dyDescent="0.25">
      <c r="A40" s="402" t="s">
        <v>424</v>
      </c>
      <c r="C40" s="683" t="s">
        <v>151</v>
      </c>
      <c r="D40" s="684"/>
      <c r="E40" s="684"/>
      <c r="F40" s="685"/>
      <c r="G40" s="411" t="str">
        <f>IF(G39=0,"Entry Missing",IF(G39&lt;G38,"No","Yes"))</f>
        <v>Yes</v>
      </c>
      <c r="H40" s="465" t="str">
        <f>IF(OR(G39=0,G39=""),"Enter PJ's Affordability Period","")</f>
        <v/>
      </c>
      <c r="I40" s="230"/>
      <c r="J40" s="5"/>
      <c r="K40" s="246" t="str">
        <f t="shared" si="46"/>
        <v>LIHTC 30 AMI</v>
      </c>
      <c r="L40" s="246">
        <f>+C$105</f>
        <v>14</v>
      </c>
      <c r="M40" s="246">
        <f t="shared" ref="M40" si="62">+D$105</f>
        <v>24</v>
      </c>
      <c r="N40" s="246">
        <f t="shared" ref="N40" si="63">+E$105</f>
        <v>34</v>
      </c>
      <c r="O40" s="246">
        <f t="shared" ref="O40" si="64">+F$105</f>
        <v>44</v>
      </c>
      <c r="P40" s="246">
        <f t="shared" ref="P40" si="65">+G$105</f>
        <v>54</v>
      </c>
      <c r="Q40" s="246">
        <f t="shared" ref="Q40" si="66">+H$105</f>
        <v>64</v>
      </c>
      <c r="R40" s="5"/>
      <c r="S40" s="5"/>
      <c r="T40" s="5"/>
      <c r="U40" s="5"/>
    </row>
    <row r="41" spans="1:26" ht="15" customHeight="1" x14ac:dyDescent="0.2">
      <c r="A41" s="14"/>
      <c r="C41" s="347" t="str">
        <f>"Note: the Template indicates underwritten HOME subsidy of "&amp;TEXT($P$12,"$#,##0")&amp;" per unit.  See the Sources and Uses and Rents and Income tabs."</f>
        <v>Note: the Template indicates underwritten HOME subsidy of $70,000 per unit.  See the Sources and Uses and Rents and Income tabs.</v>
      </c>
      <c r="D41" s="46"/>
      <c r="E41" s="46"/>
      <c r="F41" s="46"/>
      <c r="G41" s="46"/>
      <c r="H41" s="46"/>
      <c r="I41" s="5"/>
      <c r="J41" s="5"/>
      <c r="K41" s="246" t="str">
        <f t="shared" si="46"/>
        <v>Other 1</v>
      </c>
      <c r="L41" s="246">
        <f>+C$119</f>
        <v>15</v>
      </c>
      <c r="M41" s="246">
        <f t="shared" ref="M41:Q41" si="67">+D$119</f>
        <v>25</v>
      </c>
      <c r="N41" s="246">
        <f t="shared" si="67"/>
        <v>35</v>
      </c>
      <c r="O41" s="246">
        <f t="shared" si="67"/>
        <v>45</v>
      </c>
      <c r="P41" s="246">
        <f t="shared" si="67"/>
        <v>55</v>
      </c>
      <c r="Q41" s="246">
        <f t="shared" si="67"/>
        <v>65</v>
      </c>
      <c r="R41" s="5"/>
      <c r="S41" s="5"/>
      <c r="T41" s="5"/>
      <c r="U41" s="5"/>
      <c r="V41" s="5"/>
      <c r="W41" s="5"/>
      <c r="X41" s="5"/>
      <c r="Y41" s="5"/>
    </row>
    <row r="42" spans="1:26" ht="15" customHeight="1" thickBot="1" x14ac:dyDescent="0.25">
      <c r="A42" s="14"/>
      <c r="C42" s="202"/>
      <c r="D42" s="202"/>
      <c r="E42" s="202"/>
      <c r="F42" s="202"/>
      <c r="G42" s="202"/>
      <c r="H42" s="202"/>
      <c r="I42" s="5"/>
      <c r="J42" s="5"/>
      <c r="K42" s="246" t="str">
        <f t="shared" si="46"/>
        <v>Other 2</v>
      </c>
      <c r="L42" s="246">
        <f>+C$133</f>
        <v>16</v>
      </c>
      <c r="M42" s="246">
        <f t="shared" ref="M42:Q42" si="68">+D$133</f>
        <v>26</v>
      </c>
      <c r="N42" s="246">
        <f t="shared" si="68"/>
        <v>36</v>
      </c>
      <c r="O42" s="246">
        <f t="shared" si="68"/>
        <v>46</v>
      </c>
      <c r="P42" s="246">
        <f t="shared" si="68"/>
        <v>56</v>
      </c>
      <c r="Q42" s="246">
        <f t="shared" si="68"/>
        <v>66</v>
      </c>
      <c r="R42" s="5"/>
      <c r="S42" s="5"/>
      <c r="T42" s="5"/>
      <c r="U42" s="5"/>
      <c r="V42" s="5"/>
      <c r="W42" s="5"/>
      <c r="X42" s="5"/>
      <c r="Y42" s="5"/>
    </row>
    <row r="43" spans="1:26" ht="15" customHeight="1" x14ac:dyDescent="0.2">
      <c r="A43" s="402" t="s">
        <v>424</v>
      </c>
      <c r="C43" s="243" t="s">
        <v>238</v>
      </c>
      <c r="D43" s="233"/>
      <c r="E43" s="233"/>
      <c r="F43" s="233"/>
      <c r="G43" s="233"/>
      <c r="H43" s="233"/>
      <c r="I43" s="234"/>
      <c r="J43" s="5"/>
      <c r="K43" s="246" t="str">
        <f t="shared" si="46"/>
        <v>Other 3</v>
      </c>
      <c r="L43" s="246">
        <f>+C$147</f>
        <v>17</v>
      </c>
      <c r="M43" s="246">
        <f t="shared" ref="M43:Q43" si="69">+D$147</f>
        <v>27</v>
      </c>
      <c r="N43" s="246">
        <f t="shared" si="69"/>
        <v>37</v>
      </c>
      <c r="O43" s="246">
        <f t="shared" si="69"/>
        <v>47</v>
      </c>
      <c r="P43" s="246">
        <f t="shared" si="69"/>
        <v>57</v>
      </c>
      <c r="Q43" s="246">
        <f t="shared" si="69"/>
        <v>67</v>
      </c>
      <c r="R43" s="5"/>
      <c r="S43" s="5"/>
      <c r="T43" s="5"/>
      <c r="U43" s="5"/>
      <c r="V43" s="5"/>
      <c r="W43" s="5"/>
      <c r="X43" s="5"/>
      <c r="Y43" s="5"/>
    </row>
    <row r="44" spans="1:26" ht="15" customHeight="1" x14ac:dyDescent="0.2">
      <c r="A44" s="14"/>
      <c r="C44" s="235"/>
      <c r="D44" s="117"/>
      <c r="E44" s="117"/>
      <c r="F44" s="117"/>
      <c r="G44" s="117"/>
      <c r="H44" s="117"/>
      <c r="I44" s="223"/>
      <c r="J44" s="5"/>
      <c r="K44" s="246" t="str">
        <f t="shared" si="46"/>
        <v>Other 4</v>
      </c>
      <c r="L44" s="246">
        <f>+C$161</f>
        <v>18</v>
      </c>
      <c r="M44" s="246">
        <f t="shared" ref="M44:Q44" si="70">+D$161</f>
        <v>28</v>
      </c>
      <c r="N44" s="246">
        <f t="shared" si="70"/>
        <v>38</v>
      </c>
      <c r="O44" s="246">
        <f t="shared" si="70"/>
        <v>48</v>
      </c>
      <c r="P44" s="246">
        <f t="shared" si="70"/>
        <v>58</v>
      </c>
      <c r="Q44" s="246">
        <f t="shared" si="70"/>
        <v>68</v>
      </c>
      <c r="R44" s="5"/>
      <c r="S44" s="5"/>
      <c r="T44" s="5"/>
      <c r="U44" s="5"/>
      <c r="V44" s="5"/>
      <c r="W44" s="5"/>
      <c r="X44" s="5"/>
      <c r="Y44" s="5"/>
    </row>
    <row r="45" spans="1:26" ht="15" customHeight="1" x14ac:dyDescent="0.2">
      <c r="A45" s="14"/>
      <c r="C45" s="226" t="s">
        <v>516</v>
      </c>
      <c r="D45" s="236"/>
      <c r="E45" s="236"/>
      <c r="F45" s="236"/>
      <c r="G45" s="117"/>
      <c r="H45" s="117"/>
      <c r="I45" s="223"/>
      <c r="J45" s="5"/>
      <c r="K45" s="7"/>
      <c r="L45" s="7"/>
      <c r="M45" s="7"/>
      <c r="N45" s="5"/>
      <c r="O45" s="5"/>
      <c r="P45" s="5"/>
      <c r="Q45" s="5"/>
      <c r="R45" s="5"/>
      <c r="S45" s="5"/>
      <c r="T45" s="5"/>
      <c r="U45" s="5"/>
      <c r="V45" s="5"/>
      <c r="W45" s="5"/>
      <c r="X45" s="5"/>
      <c r="Y45" s="5"/>
    </row>
    <row r="46" spans="1:26" s="7" customFormat="1" ht="15" customHeight="1" x14ac:dyDescent="0.2">
      <c r="A46" s="405"/>
      <c r="C46" s="219" t="s">
        <v>211</v>
      </c>
      <c r="D46" s="53" t="s">
        <v>74</v>
      </c>
      <c r="E46" s="53" t="s">
        <v>75</v>
      </c>
      <c r="F46" s="53" t="s">
        <v>76</v>
      </c>
      <c r="G46" s="53" t="s">
        <v>77</v>
      </c>
      <c r="H46" s="53" t="s">
        <v>78</v>
      </c>
      <c r="I46" s="220"/>
      <c r="N46" s="5"/>
      <c r="O46" s="5"/>
      <c r="P46" s="5"/>
      <c r="Q46" s="5"/>
      <c r="R46" s="5"/>
      <c r="S46" s="5"/>
      <c r="T46" s="5"/>
      <c r="U46" s="5"/>
      <c r="V46" s="5"/>
    </row>
    <row r="47" spans="1:26" ht="15" customHeight="1" thickBot="1" x14ac:dyDescent="0.25">
      <c r="A47" s="14"/>
      <c r="C47" s="237">
        <f>+C24+100</f>
        <v>800</v>
      </c>
      <c r="D47" s="238">
        <f t="shared" ref="D47:H47" si="71">+D24+100</f>
        <v>900</v>
      </c>
      <c r="E47" s="238">
        <f t="shared" si="71"/>
        <v>1000</v>
      </c>
      <c r="F47" s="238">
        <f t="shared" si="71"/>
        <v>1100</v>
      </c>
      <c r="G47" s="238">
        <f t="shared" si="71"/>
        <v>1200</v>
      </c>
      <c r="H47" s="238">
        <f t="shared" si="71"/>
        <v>1300</v>
      </c>
      <c r="I47" s="239"/>
      <c r="J47" s="8"/>
      <c r="K47" s="8"/>
      <c r="N47" s="5"/>
      <c r="O47" s="5"/>
      <c r="P47" s="5"/>
      <c r="Q47" s="5"/>
      <c r="R47" s="5"/>
      <c r="S47" s="5"/>
      <c r="T47" s="5"/>
      <c r="U47" s="5"/>
      <c r="V47" s="5"/>
    </row>
    <row r="48" spans="1:26" ht="15" customHeight="1" x14ac:dyDescent="0.2">
      <c r="A48" s="14"/>
      <c r="C48" s="202"/>
      <c r="D48" s="202"/>
      <c r="E48" s="202"/>
      <c r="F48" s="202"/>
      <c r="G48" s="202"/>
      <c r="H48" s="202"/>
      <c r="I48" s="5"/>
      <c r="J48" s="5"/>
      <c r="K48" s="5"/>
      <c r="L48" s="5"/>
      <c r="M48" s="5"/>
      <c r="N48" s="5"/>
      <c r="O48" s="5"/>
      <c r="P48" s="5"/>
      <c r="Q48" s="5"/>
      <c r="R48" s="5"/>
      <c r="S48" s="5"/>
      <c r="T48" s="5"/>
      <c r="U48" s="5"/>
      <c r="V48" s="5"/>
      <c r="W48" s="5"/>
      <c r="X48" s="5"/>
      <c r="Y48" s="5"/>
    </row>
    <row r="49" spans="1:25" ht="15" customHeight="1" x14ac:dyDescent="0.2">
      <c r="A49" s="14"/>
      <c r="C49" s="669"/>
      <c r="D49" s="670"/>
      <c r="E49" s="670"/>
      <c r="F49" s="670"/>
      <c r="G49" s="670"/>
      <c r="H49" s="670"/>
      <c r="I49" s="671"/>
      <c r="J49" s="5"/>
      <c r="K49" s="5"/>
      <c r="L49" s="5"/>
      <c r="M49" s="5"/>
      <c r="N49" s="5"/>
      <c r="O49" s="5"/>
      <c r="P49" s="5"/>
      <c r="Q49" s="5"/>
      <c r="R49" s="5"/>
      <c r="S49" s="5"/>
      <c r="T49" s="5"/>
      <c r="U49" s="5"/>
      <c r="V49" s="5"/>
      <c r="W49" s="5"/>
      <c r="X49" s="5"/>
      <c r="Y49" s="5"/>
    </row>
    <row r="50" spans="1:25" ht="15" customHeight="1" x14ac:dyDescent="0.2">
      <c r="A50" s="14"/>
      <c r="C50" s="202"/>
      <c r="D50" s="202"/>
      <c r="E50" s="202"/>
      <c r="F50" s="202"/>
      <c r="G50" s="202"/>
      <c r="H50" s="202"/>
      <c r="I50" s="5"/>
      <c r="J50" s="5"/>
      <c r="K50" s="5"/>
      <c r="L50" s="5"/>
      <c r="M50" s="5"/>
      <c r="N50" s="5"/>
      <c r="O50" s="5"/>
      <c r="P50" s="5"/>
      <c r="Q50" s="5"/>
      <c r="R50" s="5"/>
      <c r="S50" s="5"/>
      <c r="T50" s="5"/>
      <c r="U50" s="5"/>
      <c r="V50" s="5"/>
      <c r="W50" s="5"/>
      <c r="X50" s="5"/>
      <c r="Y50" s="5"/>
    </row>
    <row r="51" spans="1:25" ht="130.5" customHeight="1" x14ac:dyDescent="0.2">
      <c r="A51" s="14"/>
      <c r="C51" s="675" t="s">
        <v>738</v>
      </c>
      <c r="D51" s="675"/>
      <c r="E51" s="675"/>
      <c r="F51" s="675"/>
      <c r="G51" s="675"/>
      <c r="H51" s="675"/>
      <c r="I51" s="675"/>
      <c r="J51" s="5"/>
      <c r="K51" s="510"/>
      <c r="L51" s="5"/>
      <c r="M51" s="5"/>
      <c r="N51" s="5"/>
      <c r="O51" s="5"/>
      <c r="P51" s="5"/>
      <c r="Q51" s="5"/>
      <c r="R51" s="5"/>
      <c r="S51" s="5"/>
      <c r="T51" s="5"/>
      <c r="U51" s="5"/>
      <c r="V51" s="5"/>
      <c r="W51" s="5"/>
      <c r="X51" s="5"/>
      <c r="Y51" s="5"/>
    </row>
    <row r="52" spans="1:25" ht="15" customHeight="1" thickBot="1" x14ac:dyDescent="0.25">
      <c r="A52" s="14"/>
      <c r="C52" s="202"/>
      <c r="D52" s="202"/>
      <c r="E52" s="202"/>
      <c r="F52" s="202"/>
      <c r="G52" s="202"/>
      <c r="H52" s="202"/>
      <c r="I52" s="5"/>
      <c r="J52" s="5"/>
      <c r="K52" s="5"/>
      <c r="L52" s="5"/>
      <c r="M52" s="5"/>
      <c r="N52" s="5"/>
      <c r="O52" s="5"/>
      <c r="P52" s="5"/>
      <c r="Q52" s="5"/>
      <c r="R52" s="5"/>
      <c r="S52" s="5"/>
      <c r="T52" s="5"/>
      <c r="U52" s="5"/>
      <c r="V52" s="5"/>
      <c r="W52" s="5"/>
      <c r="X52" s="5"/>
      <c r="Y52" s="5"/>
    </row>
    <row r="53" spans="1:25" ht="15" customHeight="1" x14ac:dyDescent="0.2">
      <c r="A53" s="404"/>
      <c r="C53" s="243" t="s">
        <v>239</v>
      </c>
      <c r="D53" s="233"/>
      <c r="E53" s="233"/>
      <c r="F53" s="233"/>
      <c r="G53" s="233"/>
      <c r="H53" s="233"/>
      <c r="I53" s="234"/>
      <c r="J53" s="5"/>
      <c r="K53" s="5"/>
      <c r="L53" s="5"/>
      <c r="M53" s="5"/>
      <c r="N53" s="5"/>
      <c r="O53" s="5"/>
      <c r="P53" s="5"/>
      <c r="Q53" s="5"/>
      <c r="R53" s="5"/>
      <c r="S53" s="5"/>
      <c r="T53" s="5"/>
      <c r="U53" s="5"/>
      <c r="V53" s="5"/>
      <c r="W53" s="5"/>
      <c r="X53" s="5"/>
      <c r="Y53" s="5"/>
    </row>
    <row r="54" spans="1:25" ht="15" customHeight="1" x14ac:dyDescent="0.2">
      <c r="C54" s="240"/>
      <c r="D54" s="117"/>
      <c r="E54" s="117"/>
      <c r="F54" s="117"/>
      <c r="G54" s="117"/>
      <c r="H54" s="117"/>
      <c r="I54" s="223"/>
      <c r="J54" s="5"/>
      <c r="K54" s="5"/>
      <c r="L54" s="5"/>
      <c r="M54" s="5"/>
      <c r="N54" s="5"/>
      <c r="O54" s="5"/>
      <c r="P54" s="5"/>
      <c r="Q54" s="5"/>
      <c r="R54" s="5"/>
      <c r="S54" s="5"/>
      <c r="T54" s="5"/>
      <c r="U54" s="5"/>
      <c r="V54" s="5"/>
      <c r="W54" s="5"/>
      <c r="X54" s="5"/>
      <c r="Y54" s="5"/>
    </row>
    <row r="55" spans="1:25" ht="15" customHeight="1" x14ac:dyDescent="0.2">
      <c r="C55" s="678" t="s">
        <v>167</v>
      </c>
      <c r="D55" s="679"/>
      <c r="E55" s="679"/>
      <c r="F55" s="676" t="s">
        <v>678</v>
      </c>
      <c r="G55" s="677"/>
      <c r="H55" s="553">
        <v>0.49999999999999994</v>
      </c>
      <c r="I55" s="578" t="s">
        <v>603</v>
      </c>
      <c r="J55" s="5"/>
      <c r="K55" s="248"/>
      <c r="L55" s="5"/>
      <c r="M55" s="5"/>
      <c r="N55" s="5"/>
      <c r="O55" s="5"/>
      <c r="P55" s="5"/>
      <c r="Q55" s="5"/>
      <c r="R55" s="5"/>
      <c r="S55" s="5"/>
      <c r="T55" s="5"/>
      <c r="U55" s="5"/>
      <c r="V55" s="5"/>
      <c r="W55" s="5"/>
      <c r="X55" s="5"/>
      <c r="Y55" s="5"/>
    </row>
    <row r="56" spans="1:25" s="20" customFormat="1" ht="15" customHeight="1" x14ac:dyDescent="0.2">
      <c r="C56" s="241"/>
      <c r="D56" s="57"/>
      <c r="E56" s="57"/>
      <c r="F56" s="57"/>
      <c r="G56" s="58"/>
      <c r="H56" s="57"/>
      <c r="I56" s="225"/>
      <c r="J56" s="19"/>
      <c r="K56" s="19"/>
      <c r="L56" s="19"/>
      <c r="M56" s="19"/>
      <c r="N56" s="19"/>
      <c r="O56" s="19"/>
      <c r="P56" s="19"/>
      <c r="Q56" s="19"/>
      <c r="R56" s="19"/>
      <c r="S56" s="19"/>
      <c r="T56" s="19"/>
      <c r="U56" s="19"/>
    </row>
    <row r="57" spans="1:25" ht="15" customHeight="1" x14ac:dyDescent="0.2">
      <c r="C57" s="226" t="str">
        <f>"Gross Rent Limits for "&amp;TRIM(F55)&amp;" (monthly)"</f>
        <v>Gross Rent Limits for LIHTC 50 AMI (monthly)</v>
      </c>
      <c r="D57" s="236"/>
      <c r="E57" s="236"/>
      <c r="F57" s="236"/>
      <c r="G57" s="117"/>
      <c r="H57" s="117"/>
      <c r="I57" s="223"/>
      <c r="J57" s="5"/>
      <c r="K57" s="5"/>
      <c r="L57" s="579">
        <v>3</v>
      </c>
      <c r="M57" s="579">
        <f>+L57+1</f>
        <v>4</v>
      </c>
      <c r="N57" s="579">
        <f>+M57+1</f>
        <v>5</v>
      </c>
      <c r="O57" s="579">
        <f>+N57+1</f>
        <v>6</v>
      </c>
      <c r="P57" s="579">
        <f>+O57+1</f>
        <v>7</v>
      </c>
      <c r="Q57" s="579">
        <f>+P57+1</f>
        <v>8</v>
      </c>
      <c r="R57" s="5"/>
      <c r="S57" s="5"/>
      <c r="T57" s="5"/>
      <c r="U57" s="5"/>
      <c r="V57" s="5"/>
      <c r="W57" s="5"/>
      <c r="X57" s="5"/>
      <c r="Y57" s="5"/>
    </row>
    <row r="58" spans="1:25" s="7" customFormat="1" ht="15" customHeight="1" x14ac:dyDescent="0.2">
      <c r="C58" s="219" t="s">
        <v>211</v>
      </c>
      <c r="D58" s="53" t="s">
        <v>74</v>
      </c>
      <c r="E58" s="53" t="s">
        <v>75</v>
      </c>
      <c r="F58" s="53" t="s">
        <v>76</v>
      </c>
      <c r="G58" s="53" t="s">
        <v>77</v>
      </c>
      <c r="H58" s="53" t="s">
        <v>78</v>
      </c>
      <c r="I58" s="220"/>
      <c r="L58" s="219" t="s">
        <v>211</v>
      </c>
      <c r="M58" s="53" t="s">
        <v>74</v>
      </c>
      <c r="N58" s="53" t="s">
        <v>75</v>
      </c>
      <c r="O58" s="53" t="s">
        <v>76</v>
      </c>
      <c r="P58" s="53" t="s">
        <v>77</v>
      </c>
      <c r="Q58" s="53" t="s">
        <v>78</v>
      </c>
      <c r="R58" s="5"/>
      <c r="S58" s="5"/>
      <c r="T58" s="5"/>
      <c r="U58" s="5"/>
      <c r="V58" s="5"/>
    </row>
    <row r="59" spans="1:25" ht="15" customHeight="1" x14ac:dyDescent="0.2">
      <c r="C59" s="221">
        <v>437</v>
      </c>
      <c r="D59" s="54">
        <v>468</v>
      </c>
      <c r="E59" s="54">
        <v>562</v>
      </c>
      <c r="F59" s="54">
        <v>650</v>
      </c>
      <c r="G59" s="54">
        <v>725</v>
      </c>
      <c r="H59" s="54">
        <v>800</v>
      </c>
      <c r="I59" s="222"/>
      <c r="J59" s="8"/>
      <c r="K59" s="248"/>
      <c r="L59" s="577">
        <f t="shared" ref="L59:Q59" si="72">VLOOKUP($H55,$A$173:$H$185,L57,FALSE)</f>
        <v>437</v>
      </c>
      <c r="M59" s="577">
        <f t="shared" si="72"/>
        <v>468</v>
      </c>
      <c r="N59" s="577">
        <f t="shared" si="72"/>
        <v>562</v>
      </c>
      <c r="O59" s="577">
        <f t="shared" si="72"/>
        <v>650</v>
      </c>
      <c r="P59" s="577">
        <f t="shared" si="72"/>
        <v>725</v>
      </c>
      <c r="Q59" s="577">
        <f t="shared" si="72"/>
        <v>800</v>
      </c>
      <c r="R59" s="5"/>
      <c r="S59" s="5"/>
      <c r="T59" s="5"/>
      <c r="U59" s="5"/>
      <c r="V59" s="5"/>
    </row>
    <row r="60" spans="1:25" s="14" customFormat="1" ht="15" customHeight="1" x14ac:dyDescent="0.2">
      <c r="C60" s="224"/>
      <c r="D60" s="55"/>
      <c r="E60" s="55"/>
      <c r="F60" s="55"/>
      <c r="G60" s="55"/>
      <c r="H60" s="57"/>
      <c r="I60" s="225"/>
      <c r="J60" s="13"/>
      <c r="K60" s="13"/>
      <c r="L60" s="13"/>
      <c r="M60" s="13"/>
      <c r="N60" s="13"/>
      <c r="O60" s="13"/>
      <c r="P60" s="13"/>
      <c r="Q60" s="13"/>
      <c r="R60" s="13"/>
      <c r="S60" s="13"/>
      <c r="T60" s="13"/>
      <c r="U60" s="13"/>
      <c r="V60" s="13"/>
      <c r="W60" s="13"/>
      <c r="X60" s="13"/>
      <c r="Y60" s="13"/>
    </row>
    <row r="61" spans="1:25" s="14" customFormat="1" ht="15" customHeight="1" x14ac:dyDescent="0.2">
      <c r="C61" s="226" t="str">
        <f>"Utility Allowances for "&amp;TRIM(F55)&amp;" (monthly)"</f>
        <v>Utility Allowances for LIHTC 50 AMI (monthly)</v>
      </c>
      <c r="D61" s="55"/>
      <c r="E61" s="55"/>
      <c r="F61" s="55"/>
      <c r="G61" s="55"/>
      <c r="H61" s="57"/>
      <c r="I61" s="225"/>
      <c r="J61" s="13"/>
      <c r="K61" s="511"/>
      <c r="L61" s="13"/>
      <c r="M61" s="13"/>
      <c r="N61" s="13"/>
      <c r="O61" s="13"/>
      <c r="P61" s="13"/>
      <c r="Q61" s="13"/>
      <c r="R61" s="13"/>
      <c r="S61" s="13"/>
      <c r="T61" s="13"/>
      <c r="U61" s="13"/>
      <c r="V61" s="13"/>
      <c r="W61" s="13"/>
      <c r="X61" s="13"/>
      <c r="Y61" s="13"/>
    </row>
    <row r="62" spans="1:25" s="7" customFormat="1" ht="15" customHeight="1" x14ac:dyDescent="0.2">
      <c r="C62" s="219" t="s">
        <v>211</v>
      </c>
      <c r="D62" s="53" t="s">
        <v>74</v>
      </c>
      <c r="E62" s="53" t="s">
        <v>75</v>
      </c>
      <c r="F62" s="53" t="s">
        <v>76</v>
      </c>
      <c r="G62" s="53" t="s">
        <v>77</v>
      </c>
      <c r="H62" s="53" t="s">
        <v>78</v>
      </c>
      <c r="I62" s="220"/>
      <c r="N62" s="5"/>
      <c r="O62" s="5"/>
      <c r="P62" s="5"/>
      <c r="Q62" s="5"/>
      <c r="R62" s="5"/>
      <c r="S62" s="5"/>
      <c r="T62" s="5"/>
      <c r="U62" s="5"/>
      <c r="V62" s="5"/>
    </row>
    <row r="63" spans="1:25" ht="15" customHeight="1" thickBot="1" x14ac:dyDescent="0.25">
      <c r="C63" s="237">
        <v>11</v>
      </c>
      <c r="D63" s="238">
        <v>21</v>
      </c>
      <c r="E63" s="238">
        <v>31</v>
      </c>
      <c r="F63" s="238">
        <v>41</v>
      </c>
      <c r="G63" s="238">
        <v>51</v>
      </c>
      <c r="H63" s="238">
        <v>61</v>
      </c>
      <c r="I63" s="239"/>
      <c r="J63" s="8"/>
      <c r="K63" s="248"/>
      <c r="N63" s="5"/>
      <c r="O63" s="5"/>
      <c r="P63" s="5"/>
      <c r="Q63" s="5"/>
      <c r="R63" s="5"/>
      <c r="S63" s="5"/>
      <c r="T63" s="5"/>
      <c r="U63" s="5"/>
      <c r="V63" s="5"/>
    </row>
    <row r="65" spans="1:25" ht="15" customHeight="1" x14ac:dyDescent="0.2">
      <c r="C65" s="669"/>
      <c r="D65" s="670"/>
      <c r="E65" s="670"/>
      <c r="F65" s="670"/>
      <c r="G65" s="670"/>
      <c r="H65" s="670"/>
      <c r="I65" s="671"/>
    </row>
    <row r="66" spans="1:25" ht="15" customHeight="1" thickBot="1" x14ac:dyDescent="0.25">
      <c r="C66" s="202"/>
      <c r="D66" s="202"/>
      <c r="E66" s="202"/>
      <c r="F66" s="202"/>
      <c r="G66" s="202"/>
      <c r="H66" s="202"/>
      <c r="I66" s="5"/>
      <c r="J66" s="5"/>
      <c r="K66" s="5"/>
      <c r="L66" s="5"/>
      <c r="M66" s="5"/>
      <c r="N66" s="5"/>
      <c r="O66" s="5"/>
      <c r="P66" s="5"/>
      <c r="Q66" s="5"/>
      <c r="R66" s="5"/>
      <c r="S66" s="5"/>
      <c r="T66" s="5"/>
      <c r="U66" s="5"/>
      <c r="V66" s="5"/>
      <c r="W66" s="5"/>
      <c r="X66" s="5"/>
      <c r="Y66" s="5"/>
    </row>
    <row r="67" spans="1:25" ht="15" customHeight="1" x14ac:dyDescent="0.2">
      <c r="A67" s="404"/>
      <c r="C67" s="243" t="s">
        <v>240</v>
      </c>
      <c r="D67" s="233"/>
      <c r="E67" s="233"/>
      <c r="F67" s="233"/>
      <c r="G67" s="233"/>
      <c r="H67" s="233"/>
      <c r="I67" s="242"/>
      <c r="J67" s="5"/>
      <c r="K67" s="5"/>
      <c r="L67" s="5"/>
      <c r="M67" s="5"/>
      <c r="N67" s="5"/>
      <c r="O67" s="5"/>
      <c r="P67" s="5"/>
      <c r="Q67" s="5"/>
      <c r="R67" s="5"/>
      <c r="S67" s="5"/>
      <c r="T67" s="5"/>
      <c r="U67" s="5"/>
      <c r="V67" s="5"/>
      <c r="W67" s="5"/>
      <c r="X67" s="5"/>
      <c r="Y67" s="5"/>
    </row>
    <row r="68" spans="1:25" ht="15" customHeight="1" x14ac:dyDescent="0.2">
      <c r="A68" s="14"/>
      <c r="C68" s="240"/>
      <c r="D68" s="117"/>
      <c r="E68" s="117"/>
      <c r="F68" s="117"/>
      <c r="G68" s="117"/>
      <c r="H68" s="117"/>
      <c r="I68" s="223"/>
      <c r="J68" s="5"/>
      <c r="K68" s="5"/>
      <c r="L68" s="5"/>
      <c r="M68" s="5"/>
      <c r="N68" s="5"/>
      <c r="O68" s="5"/>
      <c r="P68" s="5"/>
      <c r="Q68" s="5"/>
      <c r="R68" s="5"/>
      <c r="S68" s="5"/>
      <c r="T68" s="5"/>
      <c r="U68" s="5"/>
      <c r="V68" s="5"/>
      <c r="W68" s="5"/>
      <c r="X68" s="5"/>
      <c r="Y68" s="5"/>
    </row>
    <row r="69" spans="1:25" ht="15" customHeight="1" x14ac:dyDescent="0.2">
      <c r="A69" s="14"/>
      <c r="C69" s="678" t="s">
        <v>167</v>
      </c>
      <c r="D69" s="679"/>
      <c r="E69" s="679"/>
      <c r="F69" s="676" t="s">
        <v>679</v>
      </c>
      <c r="G69" s="677"/>
      <c r="H69" s="553">
        <v>0.6</v>
      </c>
      <c r="I69" s="578" t="s">
        <v>603</v>
      </c>
      <c r="J69" s="5"/>
      <c r="K69" s="248"/>
      <c r="L69" s="5"/>
      <c r="M69" s="5"/>
      <c r="N69" s="5"/>
      <c r="O69" s="5"/>
      <c r="P69" s="5"/>
      <c r="Q69" s="5"/>
      <c r="R69" s="5"/>
      <c r="S69" s="5"/>
      <c r="T69" s="5"/>
      <c r="U69" s="5"/>
      <c r="V69" s="5"/>
      <c r="W69" s="5"/>
      <c r="X69" s="5"/>
      <c r="Y69" s="5"/>
    </row>
    <row r="70" spans="1:25" s="20" customFormat="1" ht="15" customHeight="1" x14ac:dyDescent="0.2">
      <c r="C70" s="241"/>
      <c r="D70" s="57"/>
      <c r="E70" s="57"/>
      <c r="F70" s="57"/>
      <c r="G70" s="58"/>
      <c r="H70" s="57"/>
      <c r="I70" s="225"/>
      <c r="J70" s="19"/>
      <c r="K70" s="19"/>
      <c r="L70" s="19"/>
      <c r="M70" s="19"/>
      <c r="N70" s="19"/>
      <c r="O70" s="19"/>
      <c r="P70" s="19"/>
      <c r="Q70" s="19"/>
      <c r="R70" s="19"/>
      <c r="S70" s="19"/>
      <c r="T70" s="19"/>
      <c r="U70" s="19"/>
    </row>
    <row r="71" spans="1:25" ht="15" customHeight="1" x14ac:dyDescent="0.2">
      <c r="A71" s="14"/>
      <c r="C71" s="226" t="str">
        <f>"Gross Rent Limits for "&amp;TRIM(F69)&amp;" (monthly)"</f>
        <v>Gross Rent Limits for LIHTC 60 AMI (monthly)</v>
      </c>
      <c r="D71" s="236"/>
      <c r="E71" s="236"/>
      <c r="F71" s="236"/>
      <c r="G71" s="117"/>
      <c r="H71" s="117"/>
      <c r="I71" s="223"/>
      <c r="J71" s="5"/>
      <c r="K71" s="5"/>
      <c r="L71" s="579">
        <v>3</v>
      </c>
      <c r="M71" s="579">
        <f>+L71+1</f>
        <v>4</v>
      </c>
      <c r="N71" s="579">
        <f>+M71+1</f>
        <v>5</v>
      </c>
      <c r="O71" s="579">
        <f>+N71+1</f>
        <v>6</v>
      </c>
      <c r="P71" s="579">
        <f>+O71+1</f>
        <v>7</v>
      </c>
      <c r="Q71" s="579">
        <f>+P71+1</f>
        <v>8</v>
      </c>
      <c r="R71" s="5"/>
      <c r="S71" s="5"/>
      <c r="T71" s="5"/>
      <c r="U71" s="5"/>
      <c r="V71" s="5"/>
      <c r="W71" s="5"/>
      <c r="X71" s="5"/>
      <c r="Y71" s="5"/>
    </row>
    <row r="72" spans="1:25" s="7" customFormat="1" ht="15" customHeight="1" x14ac:dyDescent="0.2">
      <c r="A72" s="405"/>
      <c r="C72" s="219" t="s">
        <v>211</v>
      </c>
      <c r="D72" s="53" t="s">
        <v>74</v>
      </c>
      <c r="E72" s="53" t="s">
        <v>75</v>
      </c>
      <c r="F72" s="53" t="s">
        <v>76</v>
      </c>
      <c r="G72" s="53" t="s">
        <v>77</v>
      </c>
      <c r="H72" s="53" t="s">
        <v>78</v>
      </c>
      <c r="I72" s="220"/>
      <c r="L72" s="219" t="s">
        <v>211</v>
      </c>
      <c r="M72" s="53" t="s">
        <v>74</v>
      </c>
      <c r="N72" s="53" t="s">
        <v>75</v>
      </c>
      <c r="O72" s="53" t="s">
        <v>76</v>
      </c>
      <c r="P72" s="53" t="s">
        <v>77</v>
      </c>
      <c r="Q72" s="53" t="s">
        <v>78</v>
      </c>
      <c r="R72" s="5"/>
      <c r="S72" s="5"/>
      <c r="T72" s="5"/>
      <c r="U72" s="5"/>
      <c r="V72" s="5"/>
    </row>
    <row r="73" spans="1:25" ht="15" customHeight="1" x14ac:dyDescent="0.2">
      <c r="A73" s="14"/>
      <c r="C73" s="221">
        <v>525</v>
      </c>
      <c r="D73" s="54">
        <v>562</v>
      </c>
      <c r="E73" s="54">
        <v>675</v>
      </c>
      <c r="F73" s="54">
        <v>780</v>
      </c>
      <c r="G73" s="54">
        <v>870</v>
      </c>
      <c r="H73" s="54">
        <v>960</v>
      </c>
      <c r="I73" s="222"/>
      <c r="J73" s="8"/>
      <c r="K73" s="248"/>
      <c r="L73" s="577">
        <f t="shared" ref="L73:Q73" si="73">VLOOKUP($H69,$A$173:$H$185,L71,FALSE)</f>
        <v>525</v>
      </c>
      <c r="M73" s="577">
        <f t="shared" si="73"/>
        <v>562</v>
      </c>
      <c r="N73" s="577">
        <f t="shared" si="73"/>
        <v>675</v>
      </c>
      <c r="O73" s="577">
        <f t="shared" si="73"/>
        <v>780</v>
      </c>
      <c r="P73" s="577">
        <f t="shared" si="73"/>
        <v>870</v>
      </c>
      <c r="Q73" s="577">
        <f t="shared" si="73"/>
        <v>960</v>
      </c>
      <c r="R73" s="5"/>
      <c r="S73" s="5"/>
      <c r="T73" s="5"/>
      <c r="U73" s="5"/>
      <c r="V73" s="5"/>
    </row>
    <row r="74" spans="1:25" s="14" customFormat="1" ht="15" customHeight="1" x14ac:dyDescent="0.2">
      <c r="C74" s="224"/>
      <c r="D74" s="55"/>
      <c r="E74" s="55"/>
      <c r="F74" s="55"/>
      <c r="G74" s="55"/>
      <c r="H74" s="57"/>
      <c r="I74" s="225"/>
      <c r="J74" s="13"/>
      <c r="K74" s="13"/>
      <c r="L74" s="13"/>
      <c r="M74" s="13"/>
      <c r="N74" s="13"/>
      <c r="O74" s="13"/>
      <c r="P74" s="13"/>
      <c r="Q74" s="13"/>
      <c r="R74" s="13"/>
      <c r="S74" s="13"/>
      <c r="T74" s="13"/>
      <c r="U74" s="13"/>
      <c r="V74" s="13"/>
      <c r="W74" s="13"/>
      <c r="X74" s="13"/>
      <c r="Y74" s="13"/>
    </row>
    <row r="75" spans="1:25" s="14" customFormat="1" ht="15" customHeight="1" x14ac:dyDescent="0.2">
      <c r="C75" s="226" t="str">
        <f>"Utility Allowances for "&amp;TRIM(F69)&amp;" (monthly)"</f>
        <v>Utility Allowances for LIHTC 60 AMI (monthly)</v>
      </c>
      <c r="D75" s="55"/>
      <c r="E75" s="55"/>
      <c r="F75" s="55"/>
      <c r="G75" s="55"/>
      <c r="H75" s="57"/>
      <c r="I75" s="225"/>
      <c r="J75" s="13"/>
      <c r="K75" s="13"/>
      <c r="L75" s="13"/>
      <c r="M75" s="13"/>
      <c r="N75" s="13"/>
      <c r="O75" s="13"/>
      <c r="P75" s="13"/>
      <c r="Q75" s="13"/>
      <c r="R75" s="13"/>
      <c r="S75" s="13"/>
      <c r="T75" s="13"/>
      <c r="U75" s="13"/>
      <c r="V75" s="13"/>
      <c r="W75" s="13"/>
      <c r="X75" s="13"/>
      <c r="Y75" s="13"/>
    </row>
    <row r="76" spans="1:25" s="7" customFormat="1" ht="15" customHeight="1" x14ac:dyDescent="0.2">
      <c r="A76" s="405"/>
      <c r="C76" s="219" t="s">
        <v>211</v>
      </c>
      <c r="D76" s="53" t="s">
        <v>74</v>
      </c>
      <c r="E76" s="53" t="s">
        <v>75</v>
      </c>
      <c r="F76" s="53" t="s">
        <v>76</v>
      </c>
      <c r="G76" s="53" t="s">
        <v>77</v>
      </c>
      <c r="H76" s="53" t="s">
        <v>78</v>
      </c>
      <c r="I76" s="220"/>
      <c r="N76" s="5"/>
      <c r="O76" s="5"/>
      <c r="P76" s="5"/>
      <c r="Q76" s="5"/>
      <c r="R76" s="5"/>
      <c r="S76" s="5"/>
      <c r="T76" s="5"/>
      <c r="U76" s="5"/>
      <c r="V76" s="5"/>
    </row>
    <row r="77" spans="1:25" ht="15" customHeight="1" thickBot="1" x14ac:dyDescent="0.25">
      <c r="A77" s="14"/>
      <c r="C77" s="237">
        <v>12</v>
      </c>
      <c r="D77" s="238">
        <f>+C77+10</f>
        <v>22</v>
      </c>
      <c r="E77" s="238">
        <f t="shared" ref="E77:H77" si="74">+D77+10</f>
        <v>32</v>
      </c>
      <c r="F77" s="238">
        <f t="shared" si="74"/>
        <v>42</v>
      </c>
      <c r="G77" s="238">
        <f t="shared" si="74"/>
        <v>52</v>
      </c>
      <c r="H77" s="238">
        <f t="shared" si="74"/>
        <v>62</v>
      </c>
      <c r="I77" s="239"/>
      <c r="J77" s="8"/>
      <c r="K77" s="248"/>
      <c r="N77" s="5"/>
      <c r="O77" s="5"/>
      <c r="P77" s="5"/>
      <c r="Q77" s="5"/>
      <c r="R77" s="5"/>
      <c r="S77" s="5"/>
      <c r="T77" s="5"/>
      <c r="U77" s="5"/>
      <c r="V77" s="5"/>
    </row>
    <row r="78" spans="1:25" ht="15" customHeight="1" x14ac:dyDescent="0.2">
      <c r="A78" s="14"/>
      <c r="C78" s="46"/>
      <c r="D78" s="46"/>
      <c r="E78" s="46"/>
      <c r="F78" s="46"/>
      <c r="G78" s="46"/>
      <c r="H78" s="46"/>
      <c r="I78" s="5"/>
      <c r="J78" s="5"/>
      <c r="K78" s="5"/>
      <c r="L78" s="5"/>
      <c r="M78" s="5"/>
      <c r="N78" s="5"/>
      <c r="O78" s="5"/>
      <c r="P78" s="5"/>
      <c r="Q78" s="5"/>
      <c r="R78" s="5"/>
      <c r="S78" s="5"/>
      <c r="T78" s="5"/>
      <c r="U78" s="5"/>
      <c r="V78" s="5"/>
      <c r="W78" s="5"/>
      <c r="X78" s="5"/>
      <c r="Y78" s="5"/>
    </row>
    <row r="79" spans="1:25" ht="15" customHeight="1" x14ac:dyDescent="0.2">
      <c r="A79" s="14"/>
      <c r="C79" s="669"/>
      <c r="D79" s="670"/>
      <c r="E79" s="670"/>
      <c r="F79" s="670"/>
      <c r="G79" s="670"/>
      <c r="H79" s="670"/>
      <c r="I79" s="671"/>
      <c r="J79" s="5"/>
      <c r="K79" s="5"/>
      <c r="L79" s="5"/>
      <c r="M79" s="5"/>
      <c r="N79" s="5"/>
      <c r="O79" s="5"/>
      <c r="P79" s="5"/>
      <c r="Q79" s="5"/>
      <c r="R79" s="5"/>
      <c r="S79" s="5"/>
      <c r="T79" s="5"/>
      <c r="U79" s="5"/>
      <c r="V79" s="5"/>
      <c r="W79" s="5"/>
      <c r="X79" s="5"/>
      <c r="Y79" s="5"/>
    </row>
    <row r="80" spans="1:25" ht="15" customHeight="1" thickBot="1" x14ac:dyDescent="0.25">
      <c r="A80" s="14"/>
      <c r="C80" s="202"/>
      <c r="D80" s="202"/>
      <c r="E80" s="202"/>
      <c r="F80" s="202"/>
      <c r="G80" s="202"/>
      <c r="H80" s="202"/>
      <c r="I80" s="5"/>
      <c r="J80" s="5"/>
      <c r="K80" s="5"/>
      <c r="L80" s="5"/>
      <c r="M80" s="5"/>
      <c r="N80" s="5"/>
      <c r="O80" s="5"/>
      <c r="P80" s="5"/>
      <c r="Q80" s="5"/>
      <c r="R80" s="5"/>
      <c r="S80" s="5"/>
      <c r="T80" s="5"/>
      <c r="U80" s="5"/>
      <c r="V80" s="5"/>
      <c r="W80" s="5"/>
      <c r="X80" s="5"/>
      <c r="Y80" s="5"/>
    </row>
    <row r="81" spans="1:25" ht="15" customHeight="1" x14ac:dyDescent="0.2">
      <c r="A81" s="404"/>
      <c r="C81" s="243" t="s">
        <v>241</v>
      </c>
      <c r="D81" s="233"/>
      <c r="E81" s="233"/>
      <c r="F81" s="233"/>
      <c r="G81" s="233"/>
      <c r="H81" s="233"/>
      <c r="I81" s="242"/>
      <c r="J81" s="5"/>
      <c r="K81" s="5"/>
      <c r="L81" s="5"/>
      <c r="M81" s="5"/>
      <c r="N81" s="5"/>
      <c r="O81" s="5"/>
      <c r="P81" s="5"/>
      <c r="Q81" s="5"/>
      <c r="R81" s="5"/>
      <c r="S81" s="5"/>
      <c r="T81" s="5"/>
      <c r="U81" s="5"/>
      <c r="V81" s="5"/>
      <c r="W81" s="5"/>
      <c r="X81" s="5"/>
      <c r="Y81" s="5"/>
    </row>
    <row r="82" spans="1:25" ht="15" customHeight="1" x14ac:dyDescent="0.2">
      <c r="A82" s="14"/>
      <c r="C82" s="240"/>
      <c r="D82" s="117"/>
      <c r="E82" s="117"/>
      <c r="F82" s="117"/>
      <c r="G82" s="117"/>
      <c r="H82" s="117"/>
      <c r="I82" s="223"/>
      <c r="J82" s="5"/>
      <c r="K82" s="5"/>
      <c r="L82" s="5"/>
      <c r="M82" s="5"/>
      <c r="N82" s="5"/>
      <c r="O82" s="5"/>
      <c r="P82" s="5"/>
      <c r="Q82" s="5"/>
      <c r="R82" s="5"/>
      <c r="S82" s="5"/>
      <c r="T82" s="5"/>
      <c r="U82" s="5"/>
      <c r="V82" s="5"/>
      <c r="W82" s="5"/>
      <c r="X82" s="5"/>
      <c r="Y82" s="5"/>
    </row>
    <row r="83" spans="1:25" ht="15" customHeight="1" x14ac:dyDescent="0.2">
      <c r="A83" s="14"/>
      <c r="C83" s="678" t="s">
        <v>167</v>
      </c>
      <c r="D83" s="679"/>
      <c r="E83" s="679"/>
      <c r="F83" s="676" t="s">
        <v>680</v>
      </c>
      <c r="G83" s="677"/>
      <c r="H83" s="553">
        <v>0.39999999999999997</v>
      </c>
      <c r="I83" s="578" t="s">
        <v>603</v>
      </c>
      <c r="J83" s="5"/>
      <c r="K83" s="248"/>
      <c r="L83" s="5"/>
      <c r="M83" s="5"/>
      <c r="N83" s="5"/>
      <c r="O83" s="5"/>
      <c r="P83" s="5"/>
      <c r="Q83" s="5"/>
      <c r="R83" s="5"/>
      <c r="S83" s="5"/>
      <c r="T83" s="5"/>
      <c r="U83" s="5"/>
      <c r="V83" s="5"/>
      <c r="W83" s="5"/>
      <c r="X83" s="5"/>
      <c r="Y83" s="5"/>
    </row>
    <row r="84" spans="1:25" s="20" customFormat="1" ht="15" customHeight="1" x14ac:dyDescent="0.2">
      <c r="C84" s="241"/>
      <c r="D84" s="57"/>
      <c r="E84" s="57"/>
      <c r="F84" s="57"/>
      <c r="G84" s="58"/>
      <c r="H84" s="57"/>
      <c r="I84" s="225"/>
      <c r="J84" s="19"/>
      <c r="K84" s="19"/>
      <c r="L84" s="19"/>
      <c r="M84" s="19"/>
      <c r="N84" s="19"/>
      <c r="O84" s="19"/>
      <c r="P84" s="19"/>
      <c r="Q84" s="19"/>
      <c r="R84" s="19"/>
      <c r="S84" s="19"/>
      <c r="T84" s="19"/>
      <c r="U84" s="19"/>
    </row>
    <row r="85" spans="1:25" ht="15" customHeight="1" x14ac:dyDescent="0.2">
      <c r="A85" s="14"/>
      <c r="C85" s="226" t="str">
        <f>"Gross Rent Limits for "&amp;TRIM(F83)&amp;" (monthly)"</f>
        <v>Gross Rent Limits for LIHTC 40 AMI (monthly)</v>
      </c>
      <c r="D85" s="236"/>
      <c r="E85" s="236"/>
      <c r="F85" s="236"/>
      <c r="G85" s="117"/>
      <c r="H85" s="117"/>
      <c r="I85" s="223"/>
      <c r="J85" s="5"/>
      <c r="K85" s="5"/>
      <c r="L85" s="579">
        <v>3</v>
      </c>
      <c r="M85" s="579">
        <f>+L85+1</f>
        <v>4</v>
      </c>
      <c r="N85" s="579">
        <f>+M85+1</f>
        <v>5</v>
      </c>
      <c r="O85" s="579">
        <f>+N85+1</f>
        <v>6</v>
      </c>
      <c r="P85" s="579">
        <f>+O85+1</f>
        <v>7</v>
      </c>
      <c r="Q85" s="579">
        <f>+P85+1</f>
        <v>8</v>
      </c>
      <c r="R85" s="5"/>
      <c r="S85" s="5"/>
      <c r="T85" s="5"/>
      <c r="U85" s="5"/>
      <c r="V85" s="5"/>
      <c r="W85" s="5"/>
      <c r="X85" s="5"/>
      <c r="Y85" s="5"/>
    </row>
    <row r="86" spans="1:25" s="7" customFormat="1" ht="15" customHeight="1" x14ac:dyDescent="0.2">
      <c r="A86" s="405"/>
      <c r="C86" s="219" t="s">
        <v>211</v>
      </c>
      <c r="D86" s="53" t="s">
        <v>74</v>
      </c>
      <c r="E86" s="53" t="s">
        <v>75</v>
      </c>
      <c r="F86" s="53" t="s">
        <v>76</v>
      </c>
      <c r="G86" s="53" t="s">
        <v>77</v>
      </c>
      <c r="H86" s="53" t="s">
        <v>78</v>
      </c>
      <c r="I86" s="220"/>
      <c r="L86" s="219" t="s">
        <v>211</v>
      </c>
      <c r="M86" s="53" t="s">
        <v>74</v>
      </c>
      <c r="N86" s="53" t="s">
        <v>75</v>
      </c>
      <c r="O86" s="53" t="s">
        <v>76</v>
      </c>
      <c r="P86" s="53" t="s">
        <v>77</v>
      </c>
      <c r="Q86" s="53" t="s">
        <v>78</v>
      </c>
      <c r="R86" s="5"/>
      <c r="S86" s="5"/>
      <c r="T86" s="5"/>
      <c r="U86" s="5"/>
      <c r="V86" s="5"/>
    </row>
    <row r="87" spans="1:25" ht="15" customHeight="1" x14ac:dyDescent="0.2">
      <c r="A87" s="14"/>
      <c r="C87" s="221">
        <v>350</v>
      </c>
      <c r="D87" s="54">
        <v>375</v>
      </c>
      <c r="E87" s="54">
        <v>450</v>
      </c>
      <c r="F87" s="54">
        <v>520</v>
      </c>
      <c r="G87" s="54">
        <v>580</v>
      </c>
      <c r="H87" s="54">
        <v>640</v>
      </c>
      <c r="I87" s="222"/>
      <c r="J87" s="8"/>
      <c r="K87" s="248"/>
      <c r="L87" s="577">
        <f t="shared" ref="L87:Q87" si="75">VLOOKUP($H83,$A$173:$H$185,L85,FALSE)</f>
        <v>350</v>
      </c>
      <c r="M87" s="577">
        <f t="shared" si="75"/>
        <v>375</v>
      </c>
      <c r="N87" s="577">
        <f t="shared" si="75"/>
        <v>450</v>
      </c>
      <c r="O87" s="577">
        <f t="shared" si="75"/>
        <v>520</v>
      </c>
      <c r="P87" s="577">
        <f t="shared" si="75"/>
        <v>580</v>
      </c>
      <c r="Q87" s="577">
        <f t="shared" si="75"/>
        <v>640</v>
      </c>
      <c r="R87" s="5"/>
      <c r="S87" s="5"/>
      <c r="T87" s="5"/>
      <c r="U87" s="5"/>
      <c r="V87" s="5"/>
    </row>
    <row r="88" spans="1:25" s="14" customFormat="1" ht="15" customHeight="1" x14ac:dyDescent="0.2">
      <c r="C88" s="224"/>
      <c r="D88" s="55"/>
      <c r="E88" s="55"/>
      <c r="F88" s="55"/>
      <c r="G88" s="55"/>
      <c r="H88" s="57"/>
      <c r="I88" s="225"/>
      <c r="J88" s="13"/>
      <c r="K88" s="13"/>
      <c r="L88" s="13"/>
      <c r="M88" s="13"/>
      <c r="N88" s="13"/>
      <c r="O88" s="13"/>
      <c r="P88" s="13"/>
      <c r="Q88" s="13"/>
      <c r="R88" s="13"/>
      <c r="S88" s="13"/>
      <c r="T88" s="13"/>
      <c r="U88" s="13"/>
      <c r="V88" s="13"/>
      <c r="W88" s="13"/>
      <c r="X88" s="13"/>
      <c r="Y88" s="13"/>
    </row>
    <row r="89" spans="1:25" s="14" customFormat="1" ht="15" customHeight="1" x14ac:dyDescent="0.2">
      <c r="C89" s="226" t="str">
        <f>"Utility Allowances for "&amp;TRIM(F83)&amp;" (monthly)"</f>
        <v>Utility Allowances for LIHTC 40 AMI (monthly)</v>
      </c>
      <c r="D89" s="55"/>
      <c r="E89" s="55"/>
      <c r="F89" s="55"/>
      <c r="G89" s="55"/>
      <c r="H89" s="57"/>
      <c r="I89" s="225"/>
      <c r="J89" s="13"/>
      <c r="K89" s="13"/>
      <c r="L89" s="13"/>
      <c r="M89" s="13"/>
      <c r="N89" s="13"/>
      <c r="O89" s="13"/>
      <c r="P89" s="13"/>
      <c r="Q89" s="13"/>
      <c r="R89" s="13"/>
      <c r="S89" s="13"/>
      <c r="T89" s="13"/>
      <c r="U89" s="13"/>
      <c r="V89" s="13"/>
      <c r="W89" s="13"/>
      <c r="X89" s="13"/>
      <c r="Y89" s="13"/>
    </row>
    <row r="90" spans="1:25" s="7" customFormat="1" ht="15" customHeight="1" x14ac:dyDescent="0.2">
      <c r="A90" s="405"/>
      <c r="C90" s="219" t="s">
        <v>211</v>
      </c>
      <c r="D90" s="53" t="s">
        <v>74</v>
      </c>
      <c r="E90" s="53" t="s">
        <v>75</v>
      </c>
      <c r="F90" s="53" t="s">
        <v>76</v>
      </c>
      <c r="G90" s="53" t="s">
        <v>77</v>
      </c>
      <c r="H90" s="53" t="s">
        <v>78</v>
      </c>
      <c r="I90" s="220"/>
      <c r="N90" s="5"/>
      <c r="O90" s="5"/>
      <c r="P90" s="5"/>
      <c r="Q90" s="5"/>
      <c r="R90" s="5"/>
      <c r="S90" s="5"/>
      <c r="T90" s="5"/>
      <c r="U90" s="5"/>
      <c r="V90" s="5"/>
    </row>
    <row r="91" spans="1:25" ht="15" customHeight="1" thickBot="1" x14ac:dyDescent="0.25">
      <c r="A91" s="14"/>
      <c r="C91" s="237">
        <v>13</v>
      </c>
      <c r="D91" s="238">
        <f>+C91+10</f>
        <v>23</v>
      </c>
      <c r="E91" s="238">
        <f t="shared" ref="E91:H91" si="76">+D91+10</f>
        <v>33</v>
      </c>
      <c r="F91" s="238">
        <f t="shared" si="76"/>
        <v>43</v>
      </c>
      <c r="G91" s="238">
        <f t="shared" si="76"/>
        <v>53</v>
      </c>
      <c r="H91" s="238">
        <f t="shared" si="76"/>
        <v>63</v>
      </c>
      <c r="I91" s="239"/>
      <c r="J91" s="8"/>
      <c r="K91" s="248"/>
      <c r="N91" s="5"/>
      <c r="O91" s="5"/>
      <c r="P91" s="5"/>
      <c r="Q91" s="5"/>
      <c r="R91" s="5"/>
      <c r="S91" s="5"/>
      <c r="T91" s="5"/>
      <c r="U91" s="5"/>
      <c r="V91" s="5"/>
    </row>
    <row r="92" spans="1:25" ht="15" customHeight="1" x14ac:dyDescent="0.2">
      <c r="A92" s="14"/>
    </row>
    <row r="93" spans="1:25" ht="15" customHeight="1" x14ac:dyDescent="0.2">
      <c r="A93" s="14"/>
      <c r="C93" s="669"/>
      <c r="D93" s="670"/>
      <c r="E93" s="670"/>
      <c r="F93" s="670"/>
      <c r="G93" s="670"/>
      <c r="H93" s="670"/>
      <c r="I93" s="671"/>
    </row>
    <row r="94" spans="1:25" ht="15" customHeight="1" thickBot="1" x14ac:dyDescent="0.25">
      <c r="A94" s="14"/>
    </row>
    <row r="95" spans="1:25" ht="15" customHeight="1" x14ac:dyDescent="0.2">
      <c r="A95" s="404"/>
      <c r="C95" s="243" t="s">
        <v>242</v>
      </c>
      <c r="D95" s="233"/>
      <c r="E95" s="233"/>
      <c r="F95" s="233"/>
      <c r="G95" s="233"/>
      <c r="H95" s="233"/>
      <c r="I95" s="242"/>
      <c r="J95" s="5"/>
      <c r="K95" s="5"/>
      <c r="L95" s="5"/>
      <c r="M95" s="5"/>
      <c r="N95" s="5"/>
      <c r="O95" s="5"/>
      <c r="P95" s="5"/>
      <c r="Q95" s="5"/>
      <c r="R95" s="5"/>
      <c r="S95" s="5"/>
      <c r="T95" s="5"/>
      <c r="U95" s="5"/>
      <c r="V95" s="5"/>
      <c r="W95" s="5"/>
      <c r="X95" s="5"/>
      <c r="Y95" s="5"/>
    </row>
    <row r="96" spans="1:25" ht="15" customHeight="1" x14ac:dyDescent="0.2">
      <c r="C96" s="240"/>
      <c r="D96" s="117"/>
      <c r="E96" s="117"/>
      <c r="F96" s="117"/>
      <c r="G96" s="117"/>
      <c r="H96" s="117"/>
      <c r="I96" s="223"/>
      <c r="J96" s="5"/>
      <c r="K96" s="5"/>
      <c r="L96" s="5"/>
      <c r="M96" s="5"/>
      <c r="N96" s="5"/>
      <c r="O96" s="5"/>
      <c r="P96" s="5"/>
      <c r="Q96" s="5"/>
      <c r="R96" s="5"/>
      <c r="S96" s="5"/>
      <c r="T96" s="5"/>
      <c r="U96" s="5"/>
      <c r="V96" s="5"/>
      <c r="W96" s="5"/>
      <c r="X96" s="5"/>
      <c r="Y96" s="5"/>
    </row>
    <row r="97" spans="1:25" ht="15" customHeight="1" x14ac:dyDescent="0.2">
      <c r="C97" s="678" t="s">
        <v>167</v>
      </c>
      <c r="D97" s="679"/>
      <c r="E97" s="679"/>
      <c r="F97" s="676" t="s">
        <v>681</v>
      </c>
      <c r="G97" s="677"/>
      <c r="H97" s="553">
        <v>0.3</v>
      </c>
      <c r="I97" s="578" t="s">
        <v>603</v>
      </c>
      <c r="J97" s="5"/>
      <c r="K97" s="248"/>
      <c r="L97" s="5"/>
      <c r="M97" s="5"/>
      <c r="N97" s="5"/>
      <c r="O97" s="5"/>
      <c r="P97" s="5"/>
      <c r="Q97" s="5"/>
      <c r="R97" s="5"/>
      <c r="S97" s="5"/>
      <c r="T97" s="5"/>
      <c r="U97" s="5"/>
      <c r="V97" s="5"/>
      <c r="W97" s="5"/>
      <c r="X97" s="5"/>
      <c r="Y97" s="5"/>
    </row>
    <row r="98" spans="1:25" s="20" customFormat="1" ht="15" customHeight="1" x14ac:dyDescent="0.2">
      <c r="C98" s="241"/>
      <c r="D98" s="57"/>
      <c r="E98" s="57"/>
      <c r="F98" s="57"/>
      <c r="G98" s="58"/>
      <c r="H98" s="57"/>
      <c r="I98" s="225"/>
      <c r="J98" s="19"/>
      <c r="K98" s="19"/>
      <c r="L98" s="19"/>
      <c r="M98" s="19"/>
      <c r="N98" s="19"/>
      <c r="O98" s="19"/>
      <c r="P98" s="19"/>
      <c r="Q98" s="19"/>
      <c r="R98" s="19"/>
      <c r="S98" s="19"/>
      <c r="T98" s="19"/>
      <c r="U98" s="19"/>
    </row>
    <row r="99" spans="1:25" ht="15" customHeight="1" x14ac:dyDescent="0.2">
      <c r="C99" s="226" t="str">
        <f>"Gross Rent Limits for "&amp;TRIM(F97)&amp;" (monthly)"</f>
        <v>Gross Rent Limits for LIHTC 30 AMI (monthly)</v>
      </c>
      <c r="D99" s="236"/>
      <c r="E99" s="236"/>
      <c r="F99" s="236"/>
      <c r="G99" s="117"/>
      <c r="H99" s="117"/>
      <c r="I99" s="223"/>
      <c r="J99" s="5"/>
      <c r="K99" s="5"/>
      <c r="L99" s="579">
        <v>3</v>
      </c>
      <c r="M99" s="579">
        <f>+L99+1</f>
        <v>4</v>
      </c>
      <c r="N99" s="579">
        <f>+M99+1</f>
        <v>5</v>
      </c>
      <c r="O99" s="579">
        <f>+N99+1</f>
        <v>6</v>
      </c>
      <c r="P99" s="579">
        <f>+O99+1</f>
        <v>7</v>
      </c>
      <c r="Q99" s="579">
        <f>+P99+1</f>
        <v>8</v>
      </c>
      <c r="R99" s="5"/>
      <c r="S99" s="5"/>
      <c r="T99" s="5"/>
      <c r="U99" s="5"/>
      <c r="V99" s="5"/>
      <c r="W99" s="5"/>
      <c r="X99" s="5"/>
      <c r="Y99" s="5"/>
    </row>
    <row r="100" spans="1:25" s="7" customFormat="1" ht="15" customHeight="1" x14ac:dyDescent="0.2">
      <c r="C100" s="219" t="s">
        <v>211</v>
      </c>
      <c r="D100" s="53" t="s">
        <v>74</v>
      </c>
      <c r="E100" s="53" t="s">
        <v>75</v>
      </c>
      <c r="F100" s="53" t="s">
        <v>76</v>
      </c>
      <c r="G100" s="53" t="s">
        <v>77</v>
      </c>
      <c r="H100" s="53" t="s">
        <v>78</v>
      </c>
      <c r="I100" s="220"/>
      <c r="L100" s="219" t="s">
        <v>211</v>
      </c>
      <c r="M100" s="53" t="s">
        <v>74</v>
      </c>
      <c r="N100" s="53" t="s">
        <v>75</v>
      </c>
      <c r="O100" s="53" t="s">
        <v>76</v>
      </c>
      <c r="P100" s="53" t="s">
        <v>77</v>
      </c>
      <c r="Q100" s="53" t="s">
        <v>78</v>
      </c>
      <c r="R100" s="5"/>
      <c r="S100" s="5"/>
      <c r="T100" s="5"/>
      <c r="U100" s="5"/>
      <c r="V100" s="5"/>
    </row>
    <row r="101" spans="1:25" ht="15" customHeight="1" x14ac:dyDescent="0.2">
      <c r="C101" s="221">
        <v>262</v>
      </c>
      <c r="D101" s="54">
        <v>281</v>
      </c>
      <c r="E101" s="54">
        <v>337</v>
      </c>
      <c r="F101" s="54">
        <v>390</v>
      </c>
      <c r="G101" s="54">
        <v>435</v>
      </c>
      <c r="H101" s="54">
        <v>480</v>
      </c>
      <c r="I101" s="222"/>
      <c r="J101" s="8"/>
      <c r="K101" s="248"/>
      <c r="L101" s="577">
        <f t="shared" ref="L101:Q101" si="77">VLOOKUP($H97,$A$173:$H$185,L99,FALSE)</f>
        <v>262</v>
      </c>
      <c r="M101" s="577">
        <f t="shared" si="77"/>
        <v>281</v>
      </c>
      <c r="N101" s="577">
        <f t="shared" si="77"/>
        <v>337</v>
      </c>
      <c r="O101" s="577">
        <f t="shared" si="77"/>
        <v>390</v>
      </c>
      <c r="P101" s="577">
        <f t="shared" si="77"/>
        <v>435</v>
      </c>
      <c r="Q101" s="577">
        <f t="shared" si="77"/>
        <v>480</v>
      </c>
      <c r="R101" s="5"/>
      <c r="S101" s="5"/>
      <c r="T101" s="5"/>
      <c r="U101" s="5"/>
      <c r="V101" s="5"/>
    </row>
    <row r="102" spans="1:25" s="14" customFormat="1" ht="15" customHeight="1" x14ac:dyDescent="0.2">
      <c r="C102" s="224"/>
      <c r="D102" s="55"/>
      <c r="E102" s="55"/>
      <c r="F102" s="55"/>
      <c r="G102" s="55"/>
      <c r="H102" s="57"/>
      <c r="I102" s="225"/>
      <c r="J102" s="13"/>
      <c r="K102" s="13"/>
      <c r="L102" s="13"/>
      <c r="M102" s="13"/>
      <c r="N102" s="13"/>
      <c r="O102" s="13"/>
      <c r="P102" s="13"/>
      <c r="Q102" s="13"/>
      <c r="R102" s="13"/>
      <c r="S102" s="13"/>
      <c r="T102" s="13"/>
      <c r="U102" s="13"/>
      <c r="V102" s="13"/>
      <c r="W102" s="13"/>
      <c r="X102" s="13"/>
      <c r="Y102" s="13"/>
    </row>
    <row r="103" spans="1:25" s="14" customFormat="1" ht="15" customHeight="1" x14ac:dyDescent="0.2">
      <c r="C103" s="226" t="str">
        <f>"Utility Allowances for "&amp;TRIM(F97)&amp;" (monthly)"</f>
        <v>Utility Allowances for LIHTC 30 AMI (monthly)</v>
      </c>
      <c r="D103" s="55"/>
      <c r="E103" s="55"/>
      <c r="F103" s="55"/>
      <c r="G103" s="55"/>
      <c r="H103" s="57"/>
      <c r="I103" s="225"/>
      <c r="J103" s="13"/>
      <c r="K103" s="13"/>
      <c r="L103" s="13"/>
      <c r="M103" s="13"/>
      <c r="N103" s="13"/>
      <c r="O103" s="13"/>
      <c r="P103" s="13"/>
      <c r="Q103" s="13"/>
      <c r="R103" s="13"/>
      <c r="S103" s="13"/>
      <c r="T103" s="13"/>
      <c r="U103" s="13"/>
      <c r="V103" s="13"/>
      <c r="W103" s="13"/>
      <c r="X103" s="13"/>
      <c r="Y103" s="13"/>
    </row>
    <row r="104" spans="1:25" s="7" customFormat="1" ht="15" customHeight="1" x14ac:dyDescent="0.2">
      <c r="C104" s="219" t="s">
        <v>211</v>
      </c>
      <c r="D104" s="53" t="s">
        <v>74</v>
      </c>
      <c r="E104" s="53" t="s">
        <v>75</v>
      </c>
      <c r="F104" s="53" t="s">
        <v>76</v>
      </c>
      <c r="G104" s="53" t="s">
        <v>77</v>
      </c>
      <c r="H104" s="53" t="s">
        <v>78</v>
      </c>
      <c r="I104" s="220"/>
      <c r="N104" s="5"/>
      <c r="O104" s="5"/>
      <c r="P104" s="5"/>
      <c r="Q104" s="5"/>
      <c r="R104" s="5"/>
      <c r="S104" s="5"/>
      <c r="T104" s="5"/>
      <c r="U104" s="5"/>
      <c r="V104" s="5"/>
    </row>
    <row r="105" spans="1:25" ht="15" customHeight="1" thickBot="1" x14ac:dyDescent="0.25">
      <c r="C105" s="237">
        <v>14</v>
      </c>
      <c r="D105" s="238">
        <f>+C105+10</f>
        <v>24</v>
      </c>
      <c r="E105" s="238">
        <f t="shared" ref="E105:H105" si="78">+D105+10</f>
        <v>34</v>
      </c>
      <c r="F105" s="238">
        <f t="shared" si="78"/>
        <v>44</v>
      </c>
      <c r="G105" s="238">
        <f t="shared" si="78"/>
        <v>54</v>
      </c>
      <c r="H105" s="238">
        <f t="shared" si="78"/>
        <v>64</v>
      </c>
      <c r="I105" s="239"/>
      <c r="J105" s="8"/>
      <c r="K105" s="248"/>
      <c r="N105" s="5"/>
      <c r="O105" s="5"/>
      <c r="P105" s="5"/>
      <c r="Q105" s="5"/>
      <c r="R105" s="5"/>
      <c r="S105" s="5"/>
      <c r="T105" s="5"/>
      <c r="U105" s="5"/>
      <c r="V105" s="5"/>
    </row>
    <row r="106" spans="1:25" ht="15" customHeight="1" x14ac:dyDescent="0.2">
      <c r="C106" s="46"/>
      <c r="D106" s="46"/>
      <c r="E106" s="46"/>
      <c r="F106" s="46"/>
      <c r="G106" s="46"/>
      <c r="H106" s="46"/>
      <c r="I106" s="5"/>
      <c r="J106" s="5"/>
      <c r="K106" s="5"/>
      <c r="L106" s="5"/>
      <c r="M106" s="5"/>
      <c r="N106" s="5"/>
      <c r="O106" s="5"/>
      <c r="P106" s="5"/>
      <c r="Q106" s="5"/>
      <c r="R106" s="5"/>
      <c r="S106" s="5"/>
      <c r="T106" s="5"/>
      <c r="U106" s="5"/>
      <c r="V106" s="5"/>
      <c r="W106" s="5"/>
      <c r="X106" s="5"/>
      <c r="Y106" s="5"/>
    </row>
    <row r="107" spans="1:25" ht="15" customHeight="1" x14ac:dyDescent="0.2">
      <c r="C107" s="669"/>
      <c r="D107" s="670"/>
      <c r="E107" s="670"/>
      <c r="F107" s="670"/>
      <c r="G107" s="670"/>
      <c r="H107" s="670"/>
      <c r="I107" s="671"/>
      <c r="J107" s="5"/>
      <c r="K107" s="5"/>
      <c r="L107" s="5"/>
      <c r="M107" s="5"/>
      <c r="N107" s="5"/>
      <c r="O107" s="5"/>
      <c r="P107" s="5"/>
      <c r="Q107" s="5"/>
      <c r="R107" s="5"/>
      <c r="S107" s="5"/>
      <c r="T107" s="5"/>
      <c r="U107" s="5"/>
      <c r="V107" s="5"/>
      <c r="W107" s="5"/>
      <c r="X107" s="5"/>
      <c r="Y107" s="5"/>
    </row>
    <row r="108" spans="1:25" ht="15" customHeight="1" thickBot="1" x14ac:dyDescent="0.25">
      <c r="C108" s="202"/>
      <c r="D108" s="202"/>
      <c r="E108" s="202"/>
      <c r="F108" s="202"/>
      <c r="G108" s="202"/>
      <c r="H108" s="202"/>
      <c r="I108" s="5"/>
      <c r="J108" s="5"/>
      <c r="K108" s="5"/>
      <c r="L108" s="5"/>
      <c r="M108" s="5"/>
      <c r="N108" s="5"/>
      <c r="O108" s="5"/>
      <c r="P108" s="5"/>
      <c r="Q108" s="5"/>
      <c r="R108" s="5"/>
      <c r="S108" s="5"/>
      <c r="T108" s="5"/>
      <c r="U108" s="5"/>
      <c r="V108" s="5"/>
      <c r="W108" s="5"/>
      <c r="X108" s="5"/>
      <c r="Y108" s="5"/>
    </row>
    <row r="109" spans="1:25" ht="15" customHeight="1" x14ac:dyDescent="0.2">
      <c r="A109" s="404"/>
      <c r="C109" s="243" t="s">
        <v>674</v>
      </c>
      <c r="D109" s="233"/>
      <c r="E109" s="233"/>
      <c r="F109" s="233"/>
      <c r="G109" s="233"/>
      <c r="H109" s="233"/>
      <c r="I109" s="242"/>
      <c r="J109" s="5"/>
      <c r="K109" s="5"/>
      <c r="L109" s="5"/>
      <c r="M109" s="5"/>
      <c r="N109" s="5"/>
      <c r="O109" s="5"/>
      <c r="P109" s="5"/>
      <c r="Q109" s="5"/>
      <c r="R109" s="5"/>
      <c r="S109" s="5"/>
      <c r="T109" s="5"/>
      <c r="U109" s="5"/>
      <c r="V109" s="5"/>
      <c r="W109" s="5"/>
      <c r="X109" s="5"/>
      <c r="Y109" s="5"/>
    </row>
    <row r="110" spans="1:25" ht="15" customHeight="1" x14ac:dyDescent="0.2">
      <c r="C110" s="240"/>
      <c r="D110" s="117"/>
      <c r="E110" s="117"/>
      <c r="F110" s="117"/>
      <c r="G110" s="117"/>
      <c r="H110" s="117"/>
      <c r="I110" s="223"/>
      <c r="J110" s="5"/>
      <c r="K110" s="5"/>
      <c r="L110" s="5"/>
      <c r="M110" s="5"/>
      <c r="N110" s="5"/>
      <c r="O110" s="5"/>
      <c r="P110" s="5"/>
      <c r="Q110" s="5"/>
      <c r="R110" s="5"/>
      <c r="S110" s="5"/>
      <c r="T110" s="5"/>
      <c r="U110" s="5"/>
      <c r="V110" s="5"/>
      <c r="W110" s="5"/>
      <c r="X110" s="5"/>
      <c r="Y110" s="5"/>
    </row>
    <row r="111" spans="1:25" ht="15" customHeight="1" x14ac:dyDescent="0.2">
      <c r="C111" s="678" t="s">
        <v>167</v>
      </c>
      <c r="D111" s="679"/>
      <c r="E111" s="679"/>
      <c r="F111" s="676" t="s">
        <v>682</v>
      </c>
      <c r="G111" s="677"/>
      <c r="H111" s="553">
        <v>0.2</v>
      </c>
      <c r="I111" s="578" t="s">
        <v>603</v>
      </c>
      <c r="J111" s="5"/>
      <c r="K111" s="248"/>
      <c r="L111" s="5"/>
      <c r="M111" s="5"/>
      <c r="N111" s="5"/>
      <c r="O111" s="5"/>
      <c r="P111" s="5"/>
      <c r="Q111" s="5"/>
      <c r="R111" s="5"/>
      <c r="S111" s="5"/>
      <c r="T111" s="5"/>
      <c r="U111" s="5"/>
      <c r="V111" s="5"/>
      <c r="W111" s="5"/>
      <c r="X111" s="5"/>
      <c r="Y111" s="5"/>
    </row>
    <row r="112" spans="1:25" s="20" customFormat="1" ht="15" customHeight="1" x14ac:dyDescent="0.2">
      <c r="C112" s="241"/>
      <c r="D112" s="57"/>
      <c r="E112" s="57"/>
      <c r="F112" s="57"/>
      <c r="G112" s="58"/>
      <c r="H112" s="57"/>
      <c r="I112" s="225"/>
      <c r="J112" s="19"/>
      <c r="K112" s="19"/>
      <c r="L112" s="19"/>
      <c r="M112" s="19"/>
      <c r="N112" s="19"/>
      <c r="O112" s="19"/>
      <c r="P112" s="19"/>
      <c r="Q112" s="19"/>
      <c r="R112" s="19"/>
      <c r="S112" s="19"/>
      <c r="T112" s="19"/>
      <c r="U112" s="19"/>
    </row>
    <row r="113" spans="1:25" ht="15" customHeight="1" x14ac:dyDescent="0.2">
      <c r="C113" s="226" t="str">
        <f>"Gross Rent Limits for "&amp;TRIM(F111)&amp;" (monthly)"</f>
        <v>Gross Rent Limits for Other 1 (monthly)</v>
      </c>
      <c r="D113" s="236"/>
      <c r="E113" s="236"/>
      <c r="F113" s="236"/>
      <c r="G113" s="117"/>
      <c r="H113" s="117"/>
      <c r="I113" s="223"/>
      <c r="J113" s="5"/>
      <c r="K113" s="5"/>
      <c r="L113" s="579">
        <v>3</v>
      </c>
      <c r="M113" s="579">
        <f>+L113+1</f>
        <v>4</v>
      </c>
      <c r="N113" s="579">
        <f>+M113+1</f>
        <v>5</v>
      </c>
      <c r="O113" s="579">
        <f>+N113+1</f>
        <v>6</v>
      </c>
      <c r="P113" s="579">
        <f>+O113+1</f>
        <v>7</v>
      </c>
      <c r="Q113" s="579">
        <f>+P113+1</f>
        <v>8</v>
      </c>
      <c r="R113" s="5"/>
      <c r="S113" s="5"/>
      <c r="T113" s="5"/>
      <c r="U113" s="5"/>
      <c r="V113" s="5"/>
      <c r="W113" s="5"/>
      <c r="X113" s="5"/>
      <c r="Y113" s="5"/>
    </row>
    <row r="114" spans="1:25" s="7" customFormat="1" ht="15" customHeight="1" x14ac:dyDescent="0.2">
      <c r="C114" s="219" t="s">
        <v>211</v>
      </c>
      <c r="D114" s="53" t="s">
        <v>74</v>
      </c>
      <c r="E114" s="53" t="s">
        <v>75</v>
      </c>
      <c r="F114" s="53" t="s">
        <v>76</v>
      </c>
      <c r="G114" s="53" t="s">
        <v>77</v>
      </c>
      <c r="H114" s="53" t="s">
        <v>78</v>
      </c>
      <c r="I114" s="220"/>
      <c r="L114" s="219" t="s">
        <v>211</v>
      </c>
      <c r="M114" s="53" t="s">
        <v>74</v>
      </c>
      <c r="N114" s="53" t="s">
        <v>75</v>
      </c>
      <c r="O114" s="53" t="s">
        <v>76</v>
      </c>
      <c r="P114" s="53" t="s">
        <v>77</v>
      </c>
      <c r="Q114" s="53" t="s">
        <v>78</v>
      </c>
      <c r="R114" s="5"/>
      <c r="S114" s="5"/>
      <c r="T114" s="5"/>
      <c r="U114" s="5"/>
      <c r="V114" s="5"/>
    </row>
    <row r="115" spans="1:25" ht="15" customHeight="1" x14ac:dyDescent="0.2">
      <c r="C115" s="221">
        <v>175</v>
      </c>
      <c r="D115" s="54">
        <v>187</v>
      </c>
      <c r="E115" s="54">
        <v>225</v>
      </c>
      <c r="F115" s="54">
        <v>260</v>
      </c>
      <c r="G115" s="54">
        <v>290</v>
      </c>
      <c r="H115" s="54">
        <v>320</v>
      </c>
      <c r="I115" s="222"/>
      <c r="J115" s="8"/>
      <c r="K115" s="248"/>
      <c r="L115" s="577">
        <f t="shared" ref="L115:Q115" si="79">VLOOKUP($H111,$A$173:$H$185,L113,FALSE)</f>
        <v>175</v>
      </c>
      <c r="M115" s="577">
        <f t="shared" si="79"/>
        <v>187</v>
      </c>
      <c r="N115" s="577">
        <f t="shared" si="79"/>
        <v>225</v>
      </c>
      <c r="O115" s="577">
        <f t="shared" si="79"/>
        <v>260</v>
      </c>
      <c r="P115" s="577">
        <f t="shared" si="79"/>
        <v>290</v>
      </c>
      <c r="Q115" s="577">
        <f t="shared" si="79"/>
        <v>320</v>
      </c>
      <c r="R115" s="5"/>
      <c r="S115" s="5"/>
      <c r="T115" s="5"/>
      <c r="U115" s="5"/>
      <c r="V115" s="5"/>
    </row>
    <row r="116" spans="1:25" s="14" customFormat="1" ht="15" customHeight="1" x14ac:dyDescent="0.2">
      <c r="C116" s="224"/>
      <c r="D116" s="55"/>
      <c r="E116" s="55"/>
      <c r="F116" s="55"/>
      <c r="G116" s="55"/>
      <c r="H116" s="57"/>
      <c r="I116" s="225"/>
      <c r="J116" s="13"/>
      <c r="K116" s="13"/>
      <c r="L116" s="13"/>
      <c r="M116" s="13"/>
      <c r="N116" s="13"/>
      <c r="O116" s="13"/>
      <c r="P116" s="13"/>
      <c r="Q116" s="13"/>
      <c r="R116" s="13"/>
      <c r="S116" s="13"/>
      <c r="T116" s="13"/>
      <c r="U116" s="13"/>
      <c r="V116" s="13"/>
      <c r="W116" s="13"/>
      <c r="X116" s="13"/>
      <c r="Y116" s="13"/>
    </row>
    <row r="117" spans="1:25" s="14" customFormat="1" ht="15" customHeight="1" x14ac:dyDescent="0.2">
      <c r="C117" s="226" t="str">
        <f>"Utility Allowances for "&amp;TRIM(F111)&amp;" (monthly)"</f>
        <v>Utility Allowances for Other 1 (monthly)</v>
      </c>
      <c r="D117" s="55"/>
      <c r="E117" s="55"/>
      <c r="F117" s="55"/>
      <c r="G117" s="55"/>
      <c r="H117" s="57"/>
      <c r="I117" s="225"/>
      <c r="J117" s="13"/>
      <c r="K117" s="13"/>
      <c r="L117" s="13"/>
      <c r="M117" s="13"/>
      <c r="N117" s="13"/>
      <c r="O117" s="13"/>
      <c r="P117" s="13"/>
      <c r="Q117" s="13"/>
      <c r="R117" s="13"/>
      <c r="S117" s="13"/>
      <c r="T117" s="13"/>
      <c r="U117" s="13"/>
      <c r="V117" s="13"/>
      <c r="W117" s="13"/>
      <c r="X117" s="13"/>
      <c r="Y117" s="13"/>
    </row>
    <row r="118" spans="1:25" s="7" customFormat="1" ht="15" customHeight="1" x14ac:dyDescent="0.2">
      <c r="C118" s="219" t="s">
        <v>211</v>
      </c>
      <c r="D118" s="53" t="s">
        <v>74</v>
      </c>
      <c r="E118" s="53" t="s">
        <v>75</v>
      </c>
      <c r="F118" s="53" t="s">
        <v>76</v>
      </c>
      <c r="G118" s="53" t="s">
        <v>77</v>
      </c>
      <c r="H118" s="53" t="s">
        <v>78</v>
      </c>
      <c r="I118" s="220"/>
      <c r="N118" s="5"/>
      <c r="O118" s="5"/>
      <c r="P118" s="5"/>
      <c r="Q118" s="5"/>
      <c r="R118" s="5"/>
      <c r="S118" s="5"/>
      <c r="T118" s="5"/>
      <c r="U118" s="5"/>
      <c r="V118" s="5"/>
    </row>
    <row r="119" spans="1:25" ht="15" customHeight="1" thickBot="1" x14ac:dyDescent="0.25">
      <c r="C119" s="237">
        <v>15</v>
      </c>
      <c r="D119" s="238">
        <f>+C119+10</f>
        <v>25</v>
      </c>
      <c r="E119" s="238">
        <f t="shared" ref="E119:H119" si="80">+D119+10</f>
        <v>35</v>
      </c>
      <c r="F119" s="238">
        <f t="shared" si="80"/>
        <v>45</v>
      </c>
      <c r="G119" s="238">
        <f t="shared" si="80"/>
        <v>55</v>
      </c>
      <c r="H119" s="238">
        <f t="shared" si="80"/>
        <v>65</v>
      </c>
      <c r="I119" s="239"/>
      <c r="J119" s="8"/>
      <c r="K119" s="248"/>
      <c r="N119" s="5"/>
      <c r="O119" s="5"/>
      <c r="P119" s="5"/>
      <c r="Q119" s="5"/>
      <c r="R119" s="5"/>
      <c r="S119" s="5"/>
      <c r="T119" s="5"/>
      <c r="U119" s="5"/>
      <c r="V119" s="5"/>
    </row>
    <row r="120" spans="1:25" ht="15" customHeight="1" x14ac:dyDescent="0.2">
      <c r="C120" s="202"/>
      <c r="D120" s="202"/>
      <c r="E120" s="202"/>
      <c r="F120" s="202"/>
      <c r="G120" s="202"/>
      <c r="H120" s="202"/>
      <c r="I120" s="5"/>
      <c r="J120" s="5"/>
      <c r="K120" s="5"/>
      <c r="L120" s="5"/>
      <c r="M120" s="5"/>
      <c r="N120" s="5"/>
      <c r="O120" s="5"/>
      <c r="P120" s="5"/>
      <c r="Q120" s="5"/>
      <c r="R120" s="5"/>
      <c r="S120" s="5"/>
      <c r="T120" s="5"/>
      <c r="U120" s="5"/>
      <c r="V120" s="5"/>
      <c r="W120" s="5"/>
      <c r="X120" s="5"/>
      <c r="Y120" s="5"/>
    </row>
    <row r="121" spans="1:25" ht="15" customHeight="1" x14ac:dyDescent="0.2">
      <c r="C121" s="669"/>
      <c r="D121" s="670"/>
      <c r="E121" s="670"/>
      <c r="F121" s="670"/>
      <c r="G121" s="670"/>
      <c r="H121" s="670"/>
      <c r="I121" s="671"/>
      <c r="J121" s="5"/>
      <c r="K121" s="5"/>
      <c r="L121" s="5"/>
      <c r="M121" s="5"/>
      <c r="N121" s="5"/>
      <c r="O121" s="5"/>
      <c r="P121" s="5"/>
      <c r="Q121" s="5"/>
      <c r="R121" s="5"/>
      <c r="S121" s="5"/>
      <c r="T121" s="5"/>
      <c r="U121" s="5"/>
      <c r="V121" s="5"/>
      <c r="W121" s="5"/>
      <c r="X121" s="5"/>
      <c r="Y121" s="5"/>
    </row>
    <row r="122" spans="1:25" ht="15" customHeight="1" thickBot="1" x14ac:dyDescent="0.25">
      <c r="C122" s="202"/>
      <c r="D122" s="202"/>
      <c r="E122" s="202"/>
      <c r="F122" s="202"/>
      <c r="G122" s="202"/>
      <c r="H122" s="202"/>
      <c r="I122" s="5"/>
      <c r="J122" s="5"/>
      <c r="K122" s="5"/>
      <c r="L122" s="5"/>
      <c r="M122" s="5"/>
      <c r="N122" s="5"/>
      <c r="O122" s="5"/>
      <c r="P122" s="5"/>
      <c r="Q122" s="5"/>
      <c r="R122" s="5"/>
      <c r="S122" s="5"/>
      <c r="T122" s="5"/>
      <c r="U122" s="5"/>
      <c r="V122" s="5"/>
      <c r="W122" s="5"/>
      <c r="X122" s="5"/>
      <c r="Y122" s="5"/>
    </row>
    <row r="123" spans="1:25" ht="15" customHeight="1" x14ac:dyDescent="0.2">
      <c r="A123" s="404"/>
      <c r="C123" s="243" t="s">
        <v>675</v>
      </c>
      <c r="D123" s="233"/>
      <c r="E123" s="233"/>
      <c r="F123" s="233"/>
      <c r="G123" s="233"/>
      <c r="H123" s="233"/>
      <c r="I123" s="242"/>
      <c r="J123" s="5"/>
      <c r="K123" s="5"/>
      <c r="L123" s="5"/>
      <c r="M123" s="5"/>
      <c r="N123" s="5"/>
      <c r="O123" s="5"/>
      <c r="P123" s="5"/>
      <c r="Q123" s="5"/>
      <c r="R123" s="5"/>
      <c r="S123" s="5"/>
      <c r="T123" s="5"/>
      <c r="U123" s="5"/>
      <c r="V123" s="5"/>
      <c r="W123" s="5"/>
      <c r="X123" s="5"/>
      <c r="Y123" s="5"/>
    </row>
    <row r="124" spans="1:25" ht="15" customHeight="1" x14ac:dyDescent="0.2">
      <c r="C124" s="240"/>
      <c r="D124" s="117"/>
      <c r="E124" s="117"/>
      <c r="F124" s="117"/>
      <c r="G124" s="117"/>
      <c r="H124" s="117"/>
      <c r="I124" s="223"/>
      <c r="J124" s="5"/>
      <c r="K124" s="5"/>
      <c r="L124" s="5"/>
      <c r="M124" s="5"/>
      <c r="N124" s="5"/>
      <c r="O124" s="5"/>
      <c r="P124" s="5"/>
      <c r="Q124" s="5"/>
      <c r="R124" s="5"/>
      <c r="S124" s="5"/>
      <c r="T124" s="5"/>
      <c r="U124" s="5"/>
      <c r="V124" s="5"/>
      <c r="W124" s="5"/>
      <c r="X124" s="5"/>
      <c r="Y124" s="5"/>
    </row>
    <row r="125" spans="1:25" ht="15" customHeight="1" x14ac:dyDescent="0.2">
      <c r="C125" s="678" t="s">
        <v>167</v>
      </c>
      <c r="D125" s="679"/>
      <c r="E125" s="679"/>
      <c r="F125" s="676" t="s">
        <v>683</v>
      </c>
      <c r="G125" s="677"/>
      <c r="H125" s="553">
        <v>0.25</v>
      </c>
      <c r="I125" s="578" t="s">
        <v>603</v>
      </c>
      <c r="J125" s="5"/>
      <c r="K125" s="248"/>
      <c r="L125" s="5"/>
      <c r="M125" s="5"/>
      <c r="N125" s="5"/>
      <c r="O125" s="5"/>
      <c r="P125" s="5"/>
      <c r="Q125" s="5"/>
      <c r="R125" s="5"/>
      <c r="S125" s="5"/>
      <c r="T125" s="5"/>
      <c r="U125" s="5"/>
      <c r="V125" s="5"/>
      <c r="W125" s="5"/>
      <c r="X125" s="5"/>
      <c r="Y125" s="5"/>
    </row>
    <row r="126" spans="1:25" s="20" customFormat="1" ht="15" customHeight="1" x14ac:dyDescent="0.2">
      <c r="C126" s="241"/>
      <c r="D126" s="57"/>
      <c r="E126" s="57"/>
      <c r="F126" s="57"/>
      <c r="G126" s="58"/>
      <c r="H126" s="57"/>
      <c r="I126" s="225"/>
      <c r="J126" s="19"/>
      <c r="K126" s="19"/>
      <c r="L126" s="19"/>
      <c r="M126" s="19"/>
      <c r="N126" s="19"/>
      <c r="O126" s="19"/>
      <c r="P126" s="19"/>
      <c r="Q126" s="19"/>
      <c r="R126" s="19"/>
      <c r="S126" s="19"/>
      <c r="T126" s="19"/>
      <c r="U126" s="19"/>
    </row>
    <row r="127" spans="1:25" ht="15" customHeight="1" x14ac:dyDescent="0.2">
      <c r="C127" s="226" t="str">
        <f>"Gross Rent Limits for "&amp;TRIM(F125)&amp;" (monthly)"</f>
        <v>Gross Rent Limits for Other 2 (monthly)</v>
      </c>
      <c r="D127" s="236"/>
      <c r="E127" s="236"/>
      <c r="F127" s="236"/>
      <c r="G127" s="117"/>
      <c r="H127" s="117"/>
      <c r="I127" s="223"/>
      <c r="J127" s="5"/>
      <c r="K127" s="5"/>
      <c r="L127" s="579">
        <v>3</v>
      </c>
      <c r="M127" s="579">
        <f>+L127+1</f>
        <v>4</v>
      </c>
      <c r="N127" s="579">
        <f>+M127+1</f>
        <v>5</v>
      </c>
      <c r="O127" s="579">
        <f>+N127+1</f>
        <v>6</v>
      </c>
      <c r="P127" s="579">
        <f>+O127+1</f>
        <v>7</v>
      </c>
      <c r="Q127" s="579">
        <f>+P127+1</f>
        <v>8</v>
      </c>
      <c r="R127" s="5"/>
      <c r="S127" s="5"/>
      <c r="T127" s="5"/>
      <c r="U127" s="5"/>
      <c r="V127" s="5"/>
      <c r="W127" s="5"/>
      <c r="X127" s="5"/>
      <c r="Y127" s="5"/>
    </row>
    <row r="128" spans="1:25" s="7" customFormat="1" ht="15" customHeight="1" x14ac:dyDescent="0.2">
      <c r="C128" s="219" t="s">
        <v>211</v>
      </c>
      <c r="D128" s="53" t="s">
        <v>74</v>
      </c>
      <c r="E128" s="53" t="s">
        <v>75</v>
      </c>
      <c r="F128" s="53" t="s">
        <v>76</v>
      </c>
      <c r="G128" s="53" t="s">
        <v>77</v>
      </c>
      <c r="H128" s="53" t="s">
        <v>78</v>
      </c>
      <c r="I128" s="220"/>
      <c r="L128" s="219" t="s">
        <v>211</v>
      </c>
      <c r="M128" s="53" t="s">
        <v>74</v>
      </c>
      <c r="N128" s="53" t="s">
        <v>75</v>
      </c>
      <c r="O128" s="53" t="s">
        <v>76</v>
      </c>
      <c r="P128" s="53" t="s">
        <v>77</v>
      </c>
      <c r="Q128" s="53" t="s">
        <v>78</v>
      </c>
      <c r="R128" s="5"/>
      <c r="S128" s="5"/>
      <c r="T128" s="5"/>
      <c r="U128" s="5"/>
      <c r="V128" s="5"/>
    </row>
    <row r="129" spans="1:25" ht="15" customHeight="1" x14ac:dyDescent="0.2">
      <c r="C129" s="221">
        <v>218</v>
      </c>
      <c r="D129" s="54">
        <v>234</v>
      </c>
      <c r="E129" s="54">
        <v>281</v>
      </c>
      <c r="F129" s="54">
        <v>325</v>
      </c>
      <c r="G129" s="54">
        <v>362</v>
      </c>
      <c r="H129" s="54">
        <v>400</v>
      </c>
      <c r="I129" s="222"/>
      <c r="J129" s="8"/>
      <c r="K129" s="248"/>
      <c r="L129" s="577">
        <f t="shared" ref="L129:Q129" si="81">VLOOKUP($H125,$A$173:$H$185,L127,FALSE)</f>
        <v>218</v>
      </c>
      <c r="M129" s="577">
        <f t="shared" si="81"/>
        <v>234</v>
      </c>
      <c r="N129" s="577">
        <f t="shared" si="81"/>
        <v>281</v>
      </c>
      <c r="O129" s="577">
        <f t="shared" si="81"/>
        <v>325</v>
      </c>
      <c r="P129" s="577">
        <f t="shared" si="81"/>
        <v>362</v>
      </c>
      <c r="Q129" s="577">
        <f t="shared" si="81"/>
        <v>400</v>
      </c>
      <c r="R129" s="5"/>
      <c r="S129" s="5"/>
      <c r="T129" s="5"/>
      <c r="U129" s="5"/>
      <c r="V129" s="5"/>
    </row>
    <row r="130" spans="1:25" s="14" customFormat="1" ht="15" customHeight="1" x14ac:dyDescent="0.2">
      <c r="C130" s="224"/>
      <c r="D130" s="55"/>
      <c r="E130" s="55"/>
      <c r="F130" s="55"/>
      <c r="G130" s="55"/>
      <c r="H130" s="57"/>
      <c r="I130" s="225"/>
      <c r="J130" s="13"/>
      <c r="K130" s="13"/>
      <c r="L130" s="13"/>
      <c r="M130" s="13"/>
      <c r="N130" s="13"/>
      <c r="O130" s="13"/>
      <c r="P130" s="13"/>
      <c r="Q130" s="13"/>
      <c r="R130" s="13"/>
      <c r="S130" s="13"/>
      <c r="T130" s="13"/>
      <c r="U130" s="13"/>
      <c r="V130" s="13"/>
      <c r="W130" s="13"/>
      <c r="X130" s="13"/>
      <c r="Y130" s="13"/>
    </row>
    <row r="131" spans="1:25" s="14" customFormat="1" ht="15" customHeight="1" x14ac:dyDescent="0.2">
      <c r="C131" s="226" t="str">
        <f>"Utility Allowances for "&amp;TRIM(F125)&amp;" (monthly)"</f>
        <v>Utility Allowances for Other 2 (monthly)</v>
      </c>
      <c r="D131" s="55"/>
      <c r="E131" s="55"/>
      <c r="F131" s="55"/>
      <c r="G131" s="55"/>
      <c r="H131" s="57"/>
      <c r="I131" s="225"/>
      <c r="J131" s="13"/>
      <c r="K131" s="13"/>
      <c r="L131" s="13"/>
      <c r="M131" s="13"/>
      <c r="N131" s="13"/>
      <c r="O131" s="13"/>
      <c r="P131" s="13"/>
      <c r="Q131" s="13"/>
      <c r="R131" s="13"/>
      <c r="S131" s="13"/>
      <c r="T131" s="13"/>
      <c r="U131" s="13"/>
      <c r="V131" s="13"/>
      <c r="W131" s="13"/>
      <c r="X131" s="13"/>
      <c r="Y131" s="13"/>
    </row>
    <row r="132" spans="1:25" s="7" customFormat="1" ht="15" customHeight="1" x14ac:dyDescent="0.2">
      <c r="C132" s="219" t="s">
        <v>211</v>
      </c>
      <c r="D132" s="53" t="s">
        <v>74</v>
      </c>
      <c r="E132" s="53" t="s">
        <v>75</v>
      </c>
      <c r="F132" s="53" t="s">
        <v>76</v>
      </c>
      <c r="G132" s="53" t="s">
        <v>77</v>
      </c>
      <c r="H132" s="53" t="s">
        <v>78</v>
      </c>
      <c r="I132" s="220"/>
      <c r="N132" s="5"/>
      <c r="O132" s="5"/>
      <c r="P132" s="5"/>
      <c r="Q132" s="5"/>
      <c r="R132" s="5"/>
      <c r="S132" s="5"/>
      <c r="T132" s="5"/>
      <c r="U132" s="5"/>
      <c r="V132" s="5"/>
    </row>
    <row r="133" spans="1:25" ht="15" customHeight="1" thickBot="1" x14ac:dyDescent="0.25">
      <c r="C133" s="237">
        <v>16</v>
      </c>
      <c r="D133" s="238">
        <f>+C133+10</f>
        <v>26</v>
      </c>
      <c r="E133" s="238">
        <f t="shared" ref="E133:H133" si="82">+D133+10</f>
        <v>36</v>
      </c>
      <c r="F133" s="238">
        <f t="shared" si="82"/>
        <v>46</v>
      </c>
      <c r="G133" s="238">
        <f t="shared" si="82"/>
        <v>56</v>
      </c>
      <c r="H133" s="238">
        <f t="shared" si="82"/>
        <v>66</v>
      </c>
      <c r="I133" s="239"/>
      <c r="J133" s="8"/>
      <c r="K133" s="248"/>
      <c r="N133" s="5"/>
      <c r="O133" s="5"/>
      <c r="P133" s="5"/>
      <c r="Q133" s="5"/>
      <c r="R133" s="5"/>
      <c r="S133" s="5"/>
      <c r="T133" s="5"/>
      <c r="U133" s="5"/>
      <c r="V133" s="5"/>
    </row>
    <row r="134" spans="1:25" ht="15" customHeight="1" x14ac:dyDescent="0.2">
      <c r="C134" s="202"/>
      <c r="D134" s="202"/>
      <c r="E134" s="202"/>
      <c r="F134" s="202"/>
      <c r="G134" s="202"/>
      <c r="H134" s="202"/>
      <c r="I134" s="5"/>
      <c r="J134" s="5"/>
      <c r="K134" s="5"/>
      <c r="L134" s="5"/>
      <c r="M134" s="5"/>
      <c r="N134" s="5"/>
      <c r="O134" s="5"/>
      <c r="P134" s="5"/>
      <c r="Q134" s="5"/>
      <c r="R134" s="5"/>
      <c r="S134" s="5"/>
      <c r="T134" s="5"/>
      <c r="U134" s="5"/>
      <c r="V134" s="5"/>
      <c r="W134" s="5"/>
      <c r="X134" s="5"/>
      <c r="Y134" s="5"/>
    </row>
    <row r="135" spans="1:25" ht="15" customHeight="1" x14ac:dyDescent="0.2">
      <c r="C135" s="669"/>
      <c r="D135" s="670"/>
      <c r="E135" s="670"/>
      <c r="F135" s="670"/>
      <c r="G135" s="670"/>
      <c r="H135" s="670"/>
      <c r="I135" s="671"/>
      <c r="J135" s="5"/>
      <c r="K135" s="5"/>
      <c r="L135" s="5"/>
      <c r="M135" s="5"/>
      <c r="N135" s="5"/>
      <c r="O135" s="5"/>
      <c r="P135" s="5"/>
      <c r="Q135" s="5"/>
      <c r="R135" s="5"/>
      <c r="S135" s="5"/>
      <c r="T135" s="5"/>
      <c r="U135" s="5"/>
      <c r="V135" s="5"/>
      <c r="W135" s="5"/>
      <c r="X135" s="5"/>
      <c r="Y135" s="5"/>
    </row>
    <row r="136" spans="1:25" ht="15" customHeight="1" thickBot="1" x14ac:dyDescent="0.25">
      <c r="C136" s="202"/>
      <c r="D136" s="202"/>
      <c r="E136" s="202"/>
      <c r="F136" s="202"/>
      <c r="G136" s="202"/>
      <c r="H136" s="202"/>
      <c r="I136" s="5"/>
      <c r="J136" s="5"/>
      <c r="K136" s="5"/>
      <c r="L136" s="5"/>
      <c r="M136" s="5"/>
      <c r="N136" s="5"/>
      <c r="O136" s="5"/>
      <c r="P136" s="5"/>
      <c r="Q136" s="5"/>
      <c r="R136" s="5"/>
      <c r="S136" s="5"/>
      <c r="T136" s="5"/>
      <c r="U136" s="5"/>
      <c r="V136" s="5"/>
      <c r="W136" s="5"/>
      <c r="X136" s="5"/>
      <c r="Y136" s="5"/>
    </row>
    <row r="137" spans="1:25" ht="15" customHeight="1" x14ac:dyDescent="0.2">
      <c r="A137" s="404"/>
      <c r="C137" s="243" t="s">
        <v>676</v>
      </c>
      <c r="D137" s="233"/>
      <c r="E137" s="233"/>
      <c r="F137" s="233"/>
      <c r="G137" s="233"/>
      <c r="H137" s="233"/>
      <c r="I137" s="242"/>
      <c r="J137" s="5"/>
      <c r="K137" s="5"/>
      <c r="L137" s="5"/>
      <c r="M137" s="5"/>
      <c r="N137" s="5"/>
      <c r="O137" s="5"/>
      <c r="P137" s="5"/>
      <c r="Q137" s="5"/>
      <c r="R137" s="5"/>
      <c r="S137" s="5"/>
      <c r="T137" s="5"/>
      <c r="U137" s="5"/>
      <c r="V137" s="5"/>
      <c r="W137" s="5"/>
      <c r="X137" s="5"/>
      <c r="Y137" s="5"/>
    </row>
    <row r="138" spans="1:25" ht="15" customHeight="1" x14ac:dyDescent="0.2">
      <c r="C138" s="240"/>
      <c r="D138" s="117"/>
      <c r="E138" s="117"/>
      <c r="F138" s="117"/>
      <c r="G138" s="117"/>
      <c r="H138" s="117"/>
      <c r="I138" s="223"/>
      <c r="J138" s="5"/>
      <c r="K138" s="5"/>
      <c r="L138" s="5"/>
      <c r="M138" s="5"/>
      <c r="N138" s="5"/>
      <c r="O138" s="5"/>
      <c r="P138" s="5"/>
      <c r="Q138" s="5"/>
      <c r="R138" s="5"/>
      <c r="S138" s="5"/>
      <c r="T138" s="5"/>
      <c r="U138" s="5"/>
      <c r="V138" s="5"/>
      <c r="W138" s="5"/>
      <c r="X138" s="5"/>
      <c r="Y138" s="5"/>
    </row>
    <row r="139" spans="1:25" ht="15" customHeight="1" x14ac:dyDescent="0.2">
      <c r="C139" s="678" t="s">
        <v>167</v>
      </c>
      <c r="D139" s="679"/>
      <c r="E139" s="679"/>
      <c r="F139" s="676" t="s">
        <v>684</v>
      </c>
      <c r="G139" s="677"/>
      <c r="H139" s="553">
        <v>0.35</v>
      </c>
      <c r="I139" s="578" t="s">
        <v>603</v>
      </c>
      <c r="J139" s="5"/>
      <c r="K139" s="248"/>
      <c r="L139" s="5"/>
      <c r="M139" s="5"/>
      <c r="N139" s="5"/>
      <c r="O139" s="5"/>
      <c r="P139" s="5"/>
      <c r="Q139" s="5"/>
      <c r="R139" s="5"/>
      <c r="S139" s="5"/>
      <c r="T139" s="5"/>
      <c r="U139" s="5"/>
      <c r="V139" s="5"/>
      <c r="W139" s="5"/>
      <c r="X139" s="5"/>
      <c r="Y139" s="5"/>
    </row>
    <row r="140" spans="1:25" s="20" customFormat="1" ht="15" customHeight="1" x14ac:dyDescent="0.2">
      <c r="C140" s="241"/>
      <c r="D140" s="57"/>
      <c r="E140" s="57"/>
      <c r="F140" s="57"/>
      <c r="G140" s="58"/>
      <c r="H140" s="57"/>
      <c r="I140" s="225"/>
      <c r="J140" s="19"/>
      <c r="K140" s="19"/>
      <c r="L140" s="19"/>
      <c r="M140" s="19"/>
      <c r="N140" s="19"/>
      <c r="O140" s="19"/>
      <c r="P140" s="19"/>
      <c r="Q140" s="19"/>
      <c r="R140" s="19"/>
      <c r="S140" s="19"/>
      <c r="T140" s="19"/>
      <c r="U140" s="19"/>
    </row>
    <row r="141" spans="1:25" ht="15" customHeight="1" x14ac:dyDescent="0.2">
      <c r="C141" s="226" t="str">
        <f>"Gross Rent Limits for "&amp;TRIM(F139)&amp;" (monthly)"</f>
        <v>Gross Rent Limits for Other 3 (monthly)</v>
      </c>
      <c r="D141" s="236"/>
      <c r="E141" s="236"/>
      <c r="F141" s="236"/>
      <c r="G141" s="117"/>
      <c r="H141" s="117"/>
      <c r="I141" s="223"/>
      <c r="J141" s="5"/>
      <c r="K141" s="5"/>
      <c r="L141" s="579">
        <v>3</v>
      </c>
      <c r="M141" s="579">
        <f>+L141+1</f>
        <v>4</v>
      </c>
      <c r="N141" s="579">
        <f>+M141+1</f>
        <v>5</v>
      </c>
      <c r="O141" s="579">
        <f>+N141+1</f>
        <v>6</v>
      </c>
      <c r="P141" s="579">
        <f>+O141+1</f>
        <v>7</v>
      </c>
      <c r="Q141" s="579">
        <f>+P141+1</f>
        <v>8</v>
      </c>
      <c r="R141" s="5"/>
      <c r="S141" s="5"/>
      <c r="T141" s="5"/>
      <c r="U141" s="5"/>
      <c r="V141" s="5"/>
      <c r="W141" s="5"/>
      <c r="X141" s="5"/>
      <c r="Y141" s="5"/>
    </row>
    <row r="142" spans="1:25" s="7" customFormat="1" ht="15" customHeight="1" x14ac:dyDescent="0.2">
      <c r="C142" s="219" t="s">
        <v>211</v>
      </c>
      <c r="D142" s="53" t="s">
        <v>74</v>
      </c>
      <c r="E142" s="53" t="s">
        <v>75</v>
      </c>
      <c r="F142" s="53" t="s">
        <v>76</v>
      </c>
      <c r="G142" s="53" t="s">
        <v>77</v>
      </c>
      <c r="H142" s="53" t="s">
        <v>78</v>
      </c>
      <c r="I142" s="220"/>
      <c r="L142" s="219" t="s">
        <v>211</v>
      </c>
      <c r="M142" s="53" t="s">
        <v>74</v>
      </c>
      <c r="N142" s="53" t="s">
        <v>75</v>
      </c>
      <c r="O142" s="53" t="s">
        <v>76</v>
      </c>
      <c r="P142" s="53" t="s">
        <v>77</v>
      </c>
      <c r="Q142" s="53" t="s">
        <v>78</v>
      </c>
      <c r="R142" s="5"/>
      <c r="S142" s="5"/>
      <c r="T142" s="5"/>
      <c r="U142" s="5"/>
      <c r="V142" s="5"/>
    </row>
    <row r="143" spans="1:25" ht="15" customHeight="1" x14ac:dyDescent="0.2">
      <c r="C143" s="221">
        <v>306</v>
      </c>
      <c r="D143" s="54">
        <v>328</v>
      </c>
      <c r="E143" s="54">
        <v>393</v>
      </c>
      <c r="F143" s="54">
        <v>455</v>
      </c>
      <c r="G143" s="54">
        <v>507</v>
      </c>
      <c r="H143" s="54">
        <v>560</v>
      </c>
      <c r="I143" s="222"/>
      <c r="J143" s="8"/>
      <c r="K143" s="248"/>
      <c r="L143" s="577">
        <f t="shared" ref="L143:Q143" si="83">VLOOKUP($H139,$A$173:$H$185,L141,FALSE)</f>
        <v>306</v>
      </c>
      <c r="M143" s="577">
        <f t="shared" si="83"/>
        <v>328</v>
      </c>
      <c r="N143" s="577">
        <f t="shared" si="83"/>
        <v>393</v>
      </c>
      <c r="O143" s="577">
        <f t="shared" si="83"/>
        <v>455</v>
      </c>
      <c r="P143" s="577">
        <f t="shared" si="83"/>
        <v>507</v>
      </c>
      <c r="Q143" s="577">
        <f t="shared" si="83"/>
        <v>560</v>
      </c>
      <c r="R143" s="5"/>
      <c r="S143" s="5"/>
      <c r="T143" s="5"/>
      <c r="U143" s="5"/>
      <c r="V143" s="5"/>
    </row>
    <row r="144" spans="1:25" s="14" customFormat="1" ht="15" customHeight="1" x14ac:dyDescent="0.2">
      <c r="C144" s="224"/>
      <c r="D144" s="55"/>
      <c r="E144" s="55"/>
      <c r="F144" s="55"/>
      <c r="G144" s="55"/>
      <c r="H144" s="57"/>
      <c r="I144" s="225"/>
      <c r="J144" s="13"/>
      <c r="K144" s="13"/>
      <c r="L144" s="13"/>
      <c r="M144" s="13"/>
      <c r="N144" s="13"/>
      <c r="O144" s="13"/>
      <c r="P144" s="13"/>
      <c r="Q144" s="13"/>
      <c r="R144" s="13"/>
      <c r="S144" s="13"/>
      <c r="T144" s="13"/>
      <c r="U144" s="13"/>
      <c r="V144" s="13"/>
      <c r="W144" s="13"/>
      <c r="X144" s="13"/>
      <c r="Y144" s="13"/>
    </row>
    <row r="145" spans="1:25" s="14" customFormat="1" ht="15" customHeight="1" x14ac:dyDescent="0.2">
      <c r="C145" s="226" t="str">
        <f>"Utility Allowances for "&amp;TRIM(F139)&amp;" (monthly)"</f>
        <v>Utility Allowances for Other 3 (monthly)</v>
      </c>
      <c r="D145" s="55"/>
      <c r="E145" s="55"/>
      <c r="F145" s="55"/>
      <c r="G145" s="55"/>
      <c r="H145" s="57"/>
      <c r="I145" s="225"/>
      <c r="J145" s="13"/>
      <c r="K145" s="13"/>
      <c r="L145" s="13"/>
      <c r="M145" s="13"/>
      <c r="N145" s="13"/>
      <c r="O145" s="13"/>
      <c r="P145" s="13"/>
      <c r="Q145" s="13"/>
      <c r="R145" s="13"/>
      <c r="S145" s="13"/>
      <c r="T145" s="13"/>
      <c r="U145" s="13"/>
      <c r="V145" s="13"/>
      <c r="W145" s="13"/>
      <c r="X145" s="13"/>
      <c r="Y145" s="13"/>
    </row>
    <row r="146" spans="1:25" s="7" customFormat="1" ht="15" customHeight="1" x14ac:dyDescent="0.2">
      <c r="C146" s="219" t="s">
        <v>211</v>
      </c>
      <c r="D146" s="53" t="s">
        <v>74</v>
      </c>
      <c r="E146" s="53" t="s">
        <v>75</v>
      </c>
      <c r="F146" s="53" t="s">
        <v>76</v>
      </c>
      <c r="G146" s="53" t="s">
        <v>77</v>
      </c>
      <c r="H146" s="53" t="s">
        <v>78</v>
      </c>
      <c r="I146" s="220"/>
      <c r="N146" s="5"/>
      <c r="O146" s="5"/>
      <c r="P146" s="5"/>
      <c r="Q146" s="5"/>
      <c r="R146" s="5"/>
      <c r="S146" s="5"/>
      <c r="T146" s="5"/>
      <c r="U146" s="5"/>
      <c r="V146" s="5"/>
    </row>
    <row r="147" spans="1:25" ht="15" customHeight="1" thickBot="1" x14ac:dyDescent="0.25">
      <c r="C147" s="237">
        <v>17</v>
      </c>
      <c r="D147" s="238">
        <f>+C147+10</f>
        <v>27</v>
      </c>
      <c r="E147" s="238">
        <f t="shared" ref="E147:H147" si="84">+D147+10</f>
        <v>37</v>
      </c>
      <c r="F147" s="238">
        <f t="shared" si="84"/>
        <v>47</v>
      </c>
      <c r="G147" s="238">
        <f t="shared" si="84"/>
        <v>57</v>
      </c>
      <c r="H147" s="238">
        <f t="shared" si="84"/>
        <v>67</v>
      </c>
      <c r="I147" s="239"/>
      <c r="J147" s="8"/>
      <c r="K147" s="248"/>
      <c r="N147" s="5"/>
      <c r="O147" s="5"/>
      <c r="P147" s="5"/>
      <c r="Q147" s="5"/>
      <c r="R147" s="5"/>
      <c r="S147" s="5"/>
      <c r="T147" s="5"/>
      <c r="U147" s="5"/>
      <c r="V147" s="5"/>
    </row>
    <row r="148" spans="1:25" ht="15" customHeight="1" x14ac:dyDescent="0.2">
      <c r="C148" s="202"/>
      <c r="D148" s="202"/>
      <c r="E148" s="202"/>
      <c r="F148" s="202"/>
      <c r="G148" s="202"/>
      <c r="H148" s="202"/>
      <c r="I148" s="5"/>
      <c r="J148" s="5"/>
      <c r="K148" s="5"/>
      <c r="L148" s="5"/>
      <c r="M148" s="5"/>
      <c r="N148" s="5"/>
      <c r="O148" s="5"/>
      <c r="P148" s="5"/>
      <c r="Q148" s="5"/>
      <c r="R148" s="5"/>
      <c r="S148" s="5"/>
      <c r="T148" s="5"/>
      <c r="U148" s="5"/>
      <c r="V148" s="5"/>
      <c r="W148" s="5"/>
      <c r="X148" s="5"/>
      <c r="Y148" s="5"/>
    </row>
    <row r="149" spans="1:25" ht="15" customHeight="1" x14ac:dyDescent="0.2">
      <c r="C149" s="669"/>
      <c r="D149" s="670"/>
      <c r="E149" s="670"/>
      <c r="F149" s="670"/>
      <c r="G149" s="670"/>
      <c r="H149" s="670"/>
      <c r="I149" s="671"/>
      <c r="J149" s="5"/>
      <c r="K149" s="5"/>
      <c r="L149" s="5"/>
      <c r="M149" s="5"/>
      <c r="N149" s="5"/>
      <c r="O149" s="5"/>
      <c r="P149" s="5"/>
      <c r="Q149" s="5"/>
      <c r="R149" s="5"/>
      <c r="S149" s="5"/>
      <c r="T149" s="5"/>
      <c r="U149" s="5"/>
      <c r="V149" s="5"/>
      <c r="W149" s="5"/>
      <c r="X149" s="5"/>
      <c r="Y149" s="5"/>
    </row>
    <row r="150" spans="1:25" ht="15" customHeight="1" thickBot="1" x14ac:dyDescent="0.25">
      <c r="C150" s="202"/>
      <c r="D150" s="202"/>
      <c r="E150" s="202"/>
      <c r="F150" s="202"/>
      <c r="G150" s="202"/>
      <c r="H150" s="202"/>
      <c r="I150" s="5"/>
      <c r="J150" s="5"/>
      <c r="K150" s="5"/>
      <c r="L150" s="5"/>
      <c r="M150" s="5"/>
      <c r="N150" s="5"/>
      <c r="O150" s="5"/>
      <c r="P150" s="5"/>
      <c r="Q150" s="5"/>
      <c r="R150" s="5"/>
      <c r="S150" s="5"/>
      <c r="T150" s="5"/>
      <c r="U150" s="5"/>
      <c r="V150" s="5"/>
      <c r="W150" s="5"/>
      <c r="X150" s="5"/>
      <c r="Y150" s="5"/>
    </row>
    <row r="151" spans="1:25" ht="15" customHeight="1" x14ac:dyDescent="0.2">
      <c r="A151" s="404"/>
      <c r="C151" s="243" t="s">
        <v>677</v>
      </c>
      <c r="D151" s="233"/>
      <c r="E151" s="233"/>
      <c r="F151" s="233"/>
      <c r="G151" s="233"/>
      <c r="H151" s="233"/>
      <c r="I151" s="242"/>
      <c r="J151" s="5"/>
      <c r="K151" s="5"/>
      <c r="L151" s="5"/>
      <c r="M151" s="5"/>
      <c r="N151" s="5"/>
      <c r="O151" s="5"/>
      <c r="P151" s="5"/>
      <c r="Q151" s="5"/>
      <c r="R151" s="5"/>
      <c r="S151" s="5"/>
      <c r="T151" s="5"/>
      <c r="U151" s="5"/>
      <c r="V151" s="5"/>
      <c r="W151" s="5"/>
      <c r="X151" s="5"/>
      <c r="Y151" s="5"/>
    </row>
    <row r="152" spans="1:25" ht="15" customHeight="1" x14ac:dyDescent="0.2">
      <c r="C152" s="240"/>
      <c r="D152" s="117"/>
      <c r="E152" s="117"/>
      <c r="F152" s="117"/>
      <c r="G152" s="117"/>
      <c r="H152" s="117"/>
      <c r="I152" s="223"/>
      <c r="J152" s="5"/>
      <c r="K152" s="5"/>
      <c r="L152" s="5"/>
      <c r="M152" s="5"/>
      <c r="N152" s="5"/>
      <c r="O152" s="5"/>
      <c r="P152" s="5"/>
      <c r="Q152" s="5"/>
      <c r="R152" s="5"/>
      <c r="S152" s="5"/>
      <c r="T152" s="5"/>
      <c r="U152" s="5"/>
      <c r="V152" s="5"/>
      <c r="W152" s="5"/>
      <c r="X152" s="5"/>
      <c r="Y152" s="5"/>
    </row>
    <row r="153" spans="1:25" ht="15" customHeight="1" x14ac:dyDescent="0.2">
      <c r="C153" s="678" t="s">
        <v>167</v>
      </c>
      <c r="D153" s="679"/>
      <c r="E153" s="679"/>
      <c r="F153" s="676" t="s">
        <v>685</v>
      </c>
      <c r="G153" s="677"/>
      <c r="H153" s="553">
        <v>0.8</v>
      </c>
      <c r="I153" s="578" t="s">
        <v>603</v>
      </c>
      <c r="J153" s="5"/>
      <c r="K153" s="248"/>
      <c r="L153" s="5"/>
      <c r="M153" s="5"/>
      <c r="N153" s="5"/>
      <c r="O153" s="5"/>
      <c r="P153" s="5"/>
      <c r="Q153" s="5"/>
      <c r="R153" s="5"/>
      <c r="S153" s="5"/>
      <c r="T153" s="5"/>
      <c r="U153" s="5"/>
      <c r="V153" s="5"/>
      <c r="W153" s="5"/>
      <c r="X153" s="5"/>
      <c r="Y153" s="5"/>
    </row>
    <row r="154" spans="1:25" s="20" customFormat="1" ht="15" customHeight="1" x14ac:dyDescent="0.2">
      <c r="C154" s="241"/>
      <c r="D154" s="57"/>
      <c r="E154" s="57"/>
      <c r="F154" s="57"/>
      <c r="G154" s="58"/>
      <c r="H154" s="57"/>
      <c r="I154" s="225"/>
      <c r="J154" s="19"/>
      <c r="K154" s="19"/>
      <c r="L154" s="19"/>
      <c r="M154" s="19"/>
      <c r="N154" s="19"/>
      <c r="O154" s="19"/>
      <c r="P154" s="19"/>
      <c r="Q154" s="19"/>
      <c r="R154" s="19"/>
      <c r="S154" s="19"/>
      <c r="T154" s="19"/>
      <c r="U154" s="19"/>
    </row>
    <row r="155" spans="1:25" ht="15" customHeight="1" x14ac:dyDescent="0.2">
      <c r="C155" s="226" t="str">
        <f>"Gross Rent Limits for "&amp;TRIM(F153)&amp;" (monthly)"</f>
        <v>Gross Rent Limits for Other 4 (monthly)</v>
      </c>
      <c r="D155" s="236"/>
      <c r="E155" s="236"/>
      <c r="F155" s="236"/>
      <c r="G155" s="117"/>
      <c r="H155" s="117"/>
      <c r="I155" s="223"/>
      <c r="J155" s="5"/>
      <c r="K155" s="5"/>
      <c r="L155" s="579">
        <v>3</v>
      </c>
      <c r="M155" s="579">
        <f>+L155+1</f>
        <v>4</v>
      </c>
      <c r="N155" s="579">
        <f>+M155+1</f>
        <v>5</v>
      </c>
      <c r="O155" s="579">
        <f>+N155+1</f>
        <v>6</v>
      </c>
      <c r="P155" s="579">
        <f>+O155+1</f>
        <v>7</v>
      </c>
      <c r="Q155" s="579">
        <f>+P155+1</f>
        <v>8</v>
      </c>
      <c r="R155" s="5"/>
      <c r="S155" s="5"/>
      <c r="T155" s="5"/>
      <c r="U155" s="5"/>
      <c r="V155" s="5"/>
      <c r="W155" s="5"/>
      <c r="X155" s="5"/>
      <c r="Y155" s="5"/>
    </row>
    <row r="156" spans="1:25" s="7" customFormat="1" ht="15" customHeight="1" x14ac:dyDescent="0.2">
      <c r="C156" s="219" t="s">
        <v>211</v>
      </c>
      <c r="D156" s="53" t="s">
        <v>74</v>
      </c>
      <c r="E156" s="53" t="s">
        <v>75</v>
      </c>
      <c r="F156" s="53" t="s">
        <v>76</v>
      </c>
      <c r="G156" s="53" t="s">
        <v>77</v>
      </c>
      <c r="H156" s="53" t="s">
        <v>78</v>
      </c>
      <c r="I156" s="220"/>
      <c r="L156" s="219" t="s">
        <v>211</v>
      </c>
      <c r="M156" s="53" t="s">
        <v>74</v>
      </c>
      <c r="N156" s="53" t="s">
        <v>75</v>
      </c>
      <c r="O156" s="53" t="s">
        <v>76</v>
      </c>
      <c r="P156" s="53" t="s">
        <v>77</v>
      </c>
      <c r="Q156" s="53" t="s">
        <v>78</v>
      </c>
      <c r="R156" s="5"/>
      <c r="S156" s="5"/>
      <c r="T156" s="5"/>
      <c r="U156" s="5"/>
      <c r="V156" s="5"/>
    </row>
    <row r="157" spans="1:25" ht="15" customHeight="1" x14ac:dyDescent="0.2">
      <c r="C157" s="221">
        <v>700</v>
      </c>
      <c r="D157" s="54">
        <v>750</v>
      </c>
      <c r="E157" s="54">
        <v>900</v>
      </c>
      <c r="F157" s="54">
        <v>1040</v>
      </c>
      <c r="G157" s="54">
        <v>1160</v>
      </c>
      <c r="H157" s="54">
        <v>1280</v>
      </c>
      <c r="I157" s="222"/>
      <c r="J157" s="8"/>
      <c r="K157" s="248"/>
      <c r="L157" s="577">
        <f t="shared" ref="L157:Q157" si="85">VLOOKUP($H153,$A$173:$H$185,L155,FALSE)</f>
        <v>700</v>
      </c>
      <c r="M157" s="577">
        <f t="shared" si="85"/>
        <v>750</v>
      </c>
      <c r="N157" s="577">
        <f t="shared" si="85"/>
        <v>900</v>
      </c>
      <c r="O157" s="577">
        <f t="shared" si="85"/>
        <v>1040</v>
      </c>
      <c r="P157" s="577">
        <f t="shared" si="85"/>
        <v>1160</v>
      </c>
      <c r="Q157" s="577">
        <f t="shared" si="85"/>
        <v>1280</v>
      </c>
      <c r="R157" s="5"/>
      <c r="S157" s="5"/>
      <c r="T157" s="5"/>
      <c r="U157" s="5"/>
      <c r="V157" s="5"/>
    </row>
    <row r="158" spans="1:25" s="14" customFormat="1" ht="15" customHeight="1" x14ac:dyDescent="0.2">
      <c r="C158" s="224"/>
      <c r="D158" s="55"/>
      <c r="E158" s="55"/>
      <c r="F158" s="55"/>
      <c r="G158" s="55"/>
      <c r="H158" s="57"/>
      <c r="I158" s="225"/>
      <c r="J158" s="13"/>
      <c r="K158" s="13"/>
      <c r="L158" s="13"/>
      <c r="M158" s="13"/>
      <c r="N158" s="13"/>
      <c r="O158" s="13"/>
      <c r="P158" s="13"/>
      <c r="Q158" s="13"/>
      <c r="R158" s="13"/>
      <c r="S158" s="13"/>
      <c r="T158" s="13"/>
      <c r="U158" s="13"/>
      <c r="V158" s="13"/>
      <c r="W158" s="13"/>
      <c r="X158" s="13"/>
      <c r="Y158" s="13"/>
    </row>
    <row r="159" spans="1:25" s="14" customFormat="1" ht="15" customHeight="1" x14ac:dyDescent="0.2">
      <c r="C159" s="226" t="str">
        <f>"Utility Allowances for "&amp;TRIM(F153)&amp;" (monthly)"</f>
        <v>Utility Allowances for Other 4 (monthly)</v>
      </c>
      <c r="D159" s="55"/>
      <c r="E159" s="55"/>
      <c r="F159" s="55"/>
      <c r="G159" s="55"/>
      <c r="H159" s="57"/>
      <c r="I159" s="225"/>
      <c r="J159" s="13"/>
      <c r="K159" s="13"/>
      <c r="L159" s="13"/>
      <c r="M159" s="13"/>
      <c r="N159" s="13"/>
      <c r="O159" s="13"/>
      <c r="P159" s="13"/>
      <c r="Q159" s="13"/>
      <c r="R159" s="13"/>
      <c r="S159" s="13"/>
      <c r="T159" s="13"/>
      <c r="U159" s="13"/>
      <c r="V159" s="13"/>
      <c r="W159" s="13"/>
      <c r="X159" s="13"/>
      <c r="Y159" s="13"/>
    </row>
    <row r="160" spans="1:25" s="7" customFormat="1" ht="15" customHeight="1" x14ac:dyDescent="0.2">
      <c r="C160" s="219" t="s">
        <v>211</v>
      </c>
      <c r="D160" s="53" t="s">
        <v>74</v>
      </c>
      <c r="E160" s="53" t="s">
        <v>75</v>
      </c>
      <c r="F160" s="53" t="s">
        <v>76</v>
      </c>
      <c r="G160" s="53" t="s">
        <v>77</v>
      </c>
      <c r="H160" s="53" t="s">
        <v>78</v>
      </c>
      <c r="I160" s="220"/>
      <c r="N160" s="5"/>
      <c r="O160" s="5"/>
      <c r="P160" s="5"/>
      <c r="Q160" s="5"/>
      <c r="R160" s="5"/>
      <c r="S160" s="5"/>
      <c r="T160" s="5"/>
      <c r="U160" s="5"/>
      <c r="V160" s="5"/>
    </row>
    <row r="161" spans="1:25" ht="15" customHeight="1" thickBot="1" x14ac:dyDescent="0.25">
      <c r="C161" s="237">
        <v>18</v>
      </c>
      <c r="D161" s="238">
        <f>+C161+10</f>
        <v>28</v>
      </c>
      <c r="E161" s="238">
        <f t="shared" ref="E161:H161" si="86">+D161+10</f>
        <v>38</v>
      </c>
      <c r="F161" s="238">
        <f t="shared" si="86"/>
        <v>48</v>
      </c>
      <c r="G161" s="238">
        <f t="shared" si="86"/>
        <v>58</v>
      </c>
      <c r="H161" s="238">
        <f t="shared" si="86"/>
        <v>68</v>
      </c>
      <c r="I161" s="239"/>
      <c r="J161" s="8"/>
      <c r="K161" s="248"/>
      <c r="N161" s="5"/>
      <c r="O161" s="5"/>
      <c r="P161" s="5"/>
      <c r="Q161" s="5"/>
      <c r="R161" s="5"/>
      <c r="S161" s="5"/>
      <c r="T161" s="5"/>
      <c r="U161" s="5"/>
      <c r="V161" s="5"/>
    </row>
    <row r="162" spans="1:25" ht="15" customHeight="1" x14ac:dyDescent="0.2">
      <c r="C162" s="202"/>
      <c r="D162" s="202"/>
      <c r="E162" s="202"/>
      <c r="F162" s="202"/>
      <c r="G162" s="202"/>
      <c r="H162" s="202"/>
      <c r="I162" s="5"/>
      <c r="J162" s="5"/>
      <c r="K162" s="5"/>
      <c r="L162" s="5"/>
      <c r="M162" s="5"/>
      <c r="N162" s="5"/>
      <c r="O162" s="5"/>
      <c r="P162" s="5"/>
      <c r="Q162" s="5"/>
      <c r="R162" s="5"/>
      <c r="S162" s="5"/>
      <c r="T162" s="5"/>
      <c r="U162" s="5"/>
      <c r="V162" s="5"/>
      <c r="W162" s="5"/>
      <c r="X162" s="5"/>
      <c r="Y162" s="5"/>
    </row>
    <row r="163" spans="1:25" ht="15" customHeight="1" x14ac:dyDescent="0.2">
      <c r="C163" s="669"/>
      <c r="D163" s="670"/>
      <c r="E163" s="670"/>
      <c r="F163" s="670"/>
      <c r="G163" s="670"/>
      <c r="H163" s="670"/>
      <c r="I163" s="671"/>
      <c r="J163" s="5"/>
      <c r="K163" s="5"/>
      <c r="L163" s="5"/>
      <c r="M163" s="5"/>
      <c r="N163" s="5"/>
      <c r="O163" s="5"/>
      <c r="P163" s="5"/>
      <c r="Q163" s="5"/>
      <c r="R163" s="5"/>
      <c r="S163" s="5"/>
      <c r="T163" s="5"/>
      <c r="U163" s="5"/>
      <c r="V163" s="5"/>
      <c r="W163" s="5"/>
      <c r="X163" s="5"/>
      <c r="Y163" s="5"/>
    </row>
    <row r="164" spans="1:25" ht="15" customHeight="1" x14ac:dyDescent="0.2">
      <c r="C164" s="202"/>
      <c r="D164" s="202"/>
      <c r="E164" s="202"/>
      <c r="F164" s="202"/>
      <c r="G164" s="202"/>
      <c r="H164" s="202"/>
      <c r="I164" s="5"/>
      <c r="J164" s="5"/>
      <c r="K164" s="5"/>
      <c r="L164" s="5"/>
      <c r="M164" s="5"/>
      <c r="N164" s="5"/>
      <c r="O164" s="5"/>
      <c r="P164" s="5"/>
      <c r="Q164" s="5"/>
      <c r="R164" s="5"/>
      <c r="S164" s="5"/>
      <c r="T164" s="5"/>
      <c r="U164" s="5"/>
      <c r="V164" s="5"/>
      <c r="W164" s="5"/>
      <c r="X164" s="5"/>
      <c r="Y164" s="5"/>
    </row>
    <row r="165" spans="1:25" ht="15" customHeight="1" x14ac:dyDescent="0.2">
      <c r="C165" s="44" t="s">
        <v>226</v>
      </c>
      <c r="D165" s="46"/>
      <c r="E165" s="46"/>
      <c r="F165" s="46"/>
      <c r="G165" s="46"/>
      <c r="H165" s="46"/>
      <c r="I165" s="5"/>
      <c r="J165" s="5"/>
      <c r="K165" s="5"/>
      <c r="L165" s="5"/>
      <c r="M165" s="5"/>
      <c r="N165" s="5"/>
      <c r="O165" s="5"/>
      <c r="P165" s="5"/>
      <c r="Q165" s="5"/>
      <c r="R165" s="5"/>
      <c r="S165" s="5"/>
      <c r="T165" s="5"/>
      <c r="U165" s="5"/>
      <c r="V165" s="5"/>
      <c r="W165" s="5"/>
      <c r="X165" s="5"/>
      <c r="Y165" s="5"/>
    </row>
    <row r="166" spans="1:25" ht="15" customHeight="1" x14ac:dyDescent="0.2">
      <c r="C166" s="5"/>
      <c r="D166" s="5"/>
      <c r="E166" s="5"/>
      <c r="F166" s="5"/>
      <c r="G166" s="5"/>
      <c r="H166" s="5"/>
      <c r="I166" s="5"/>
      <c r="J166" s="5"/>
      <c r="K166" s="5"/>
      <c r="L166" s="5"/>
      <c r="M166" s="5"/>
      <c r="N166" s="5"/>
      <c r="O166" s="5"/>
      <c r="P166" s="5"/>
      <c r="Q166" s="5"/>
      <c r="R166" s="5"/>
      <c r="S166" s="5"/>
      <c r="T166" s="5"/>
      <c r="U166" s="5"/>
      <c r="V166" s="5"/>
      <c r="W166" s="5"/>
      <c r="X166" s="5"/>
      <c r="Y166" s="5"/>
    </row>
    <row r="167" spans="1:25" ht="15" customHeight="1" x14ac:dyDescent="0.2">
      <c r="C167" s="669"/>
      <c r="D167" s="670"/>
      <c r="E167" s="670"/>
      <c r="F167" s="670"/>
      <c r="G167" s="670"/>
      <c r="H167" s="670"/>
      <c r="I167" s="671"/>
      <c r="J167" s="5"/>
      <c r="K167" s="5"/>
      <c r="L167" s="5"/>
      <c r="M167" s="5"/>
      <c r="N167" s="5"/>
      <c r="O167" s="5"/>
      <c r="P167" s="5"/>
      <c r="Q167" s="5"/>
      <c r="R167" s="5"/>
      <c r="S167" s="5"/>
      <c r="T167" s="5"/>
      <c r="U167" s="5"/>
      <c r="V167" s="5"/>
      <c r="W167" s="5"/>
      <c r="X167" s="5"/>
      <c r="Y167" s="5"/>
    </row>
    <row r="168" spans="1:25" ht="15" customHeight="1" x14ac:dyDescent="0.2">
      <c r="C168" s="5"/>
      <c r="D168" s="5"/>
      <c r="E168" s="5"/>
      <c r="F168" s="5"/>
      <c r="G168" s="5"/>
      <c r="H168" s="5"/>
      <c r="I168" s="5"/>
      <c r="J168" s="5"/>
      <c r="K168" s="5"/>
      <c r="L168" s="5"/>
      <c r="M168" s="5"/>
      <c r="N168" s="5"/>
      <c r="O168" s="5"/>
      <c r="P168" s="5"/>
      <c r="Q168" s="5"/>
      <c r="R168" s="5"/>
      <c r="S168" s="5"/>
      <c r="T168" s="5"/>
      <c r="U168" s="5"/>
      <c r="V168" s="5"/>
      <c r="W168" s="5"/>
      <c r="X168" s="5"/>
      <c r="Y168" s="5"/>
    </row>
    <row r="169" spans="1:25" ht="15" customHeight="1" x14ac:dyDescent="0.2">
      <c r="C169" s="566" t="s">
        <v>602</v>
      </c>
      <c r="D169" s="567"/>
      <c r="E169" s="567"/>
      <c r="F169" s="567"/>
      <c r="G169" s="567"/>
      <c r="H169" s="567"/>
      <c r="I169" s="567"/>
      <c r="J169" s="403"/>
      <c r="K169" s="403"/>
      <c r="L169" s="403"/>
      <c r="M169" s="403"/>
      <c r="N169" s="403"/>
      <c r="O169" s="403"/>
      <c r="P169" s="403"/>
      <c r="Q169" s="403"/>
      <c r="R169" s="403"/>
      <c r="S169" s="403"/>
      <c r="T169" s="403"/>
      <c r="U169" s="403"/>
      <c r="V169" s="403"/>
      <c r="W169" s="403"/>
      <c r="X169" s="403"/>
      <c r="Y169" s="403"/>
    </row>
    <row r="170" spans="1:25" ht="15" customHeight="1" x14ac:dyDescent="0.2">
      <c r="C170" s="403"/>
      <c r="D170" s="403"/>
      <c r="E170" s="403"/>
      <c r="F170" s="403"/>
      <c r="G170" s="403"/>
      <c r="H170" s="403"/>
      <c r="I170" s="403"/>
      <c r="J170" s="403"/>
      <c r="K170" s="403"/>
      <c r="L170" s="403"/>
      <c r="M170" s="403"/>
      <c r="N170" s="403"/>
      <c r="O170" s="403"/>
      <c r="P170" s="403"/>
      <c r="Q170" s="403"/>
      <c r="R170" s="403"/>
      <c r="S170" s="403"/>
      <c r="T170" s="403"/>
      <c r="U170" s="403"/>
      <c r="V170" s="403"/>
      <c r="W170" s="403"/>
      <c r="X170" s="403"/>
      <c r="Y170" s="403"/>
    </row>
    <row r="171" spans="1:25" ht="15" customHeight="1" x14ac:dyDescent="0.2">
      <c r="L171" s="568">
        <v>0.7</v>
      </c>
      <c r="M171" s="568">
        <v>0.8</v>
      </c>
      <c r="N171" s="568">
        <v>0.9</v>
      </c>
      <c r="O171" s="568">
        <v>1</v>
      </c>
      <c r="P171" s="568">
        <v>1.08</v>
      </c>
      <c r="Q171" s="568">
        <v>1.1599999999999999</v>
      </c>
      <c r="R171" s="568">
        <v>1.24</v>
      </c>
      <c r="S171" s="568">
        <v>1.32</v>
      </c>
    </row>
    <row r="172" spans="1:25" ht="15" customHeight="1" x14ac:dyDescent="0.2">
      <c r="C172" s="219" t="s">
        <v>211</v>
      </c>
      <c r="D172" s="53" t="s">
        <v>74</v>
      </c>
      <c r="E172" s="53" t="s">
        <v>75</v>
      </c>
      <c r="F172" s="53" t="s">
        <v>76</v>
      </c>
      <c r="G172" s="53" t="s">
        <v>77</v>
      </c>
      <c r="H172" s="53" t="s">
        <v>78</v>
      </c>
      <c r="I172" s="53" t="s">
        <v>600</v>
      </c>
      <c r="L172" s="53" t="s">
        <v>558</v>
      </c>
      <c r="M172" s="53" t="s">
        <v>559</v>
      </c>
      <c r="N172" s="53" t="s">
        <v>560</v>
      </c>
      <c r="O172" s="53" t="s">
        <v>561</v>
      </c>
      <c r="P172" s="53" t="s">
        <v>562</v>
      </c>
      <c r="Q172" s="53" t="s">
        <v>563</v>
      </c>
      <c r="R172" s="53" t="s">
        <v>564</v>
      </c>
      <c r="S172" s="53" t="s">
        <v>565</v>
      </c>
    </row>
    <row r="173" spans="1:25" ht="15" customHeight="1" x14ac:dyDescent="0.2">
      <c r="A173" s="572">
        <f>+I173</f>
        <v>0.2</v>
      </c>
      <c r="C173" s="569">
        <f t="shared" ref="C173:C184" si="87">ROUNDDOWN(L173*0.3/12,0)</f>
        <v>175</v>
      </c>
      <c r="D173" s="569">
        <f t="shared" ref="D173:D184" si="88">ROUNDDOWN((L173+M173)/2*0.3/12,0)</f>
        <v>187</v>
      </c>
      <c r="E173" s="569">
        <f t="shared" ref="E173:E184" si="89">ROUNDDOWN(N173*0.3/12,0)</f>
        <v>225</v>
      </c>
      <c r="F173" s="569">
        <f t="shared" ref="F173:F184" si="90">ROUNDDOWN((P173+O173)/2*0.3/12,0)</f>
        <v>260</v>
      </c>
      <c r="G173" s="569">
        <f t="shared" ref="G173:G184" si="91">ROUNDDOWN(Q173*0.3/12,0)</f>
        <v>290</v>
      </c>
      <c r="H173" s="569">
        <f t="shared" ref="H173:H184" si="92">ROUNDDOWN((R173+S173)/2*0.3/12,0)</f>
        <v>320</v>
      </c>
      <c r="I173" s="570">
        <v>0.2</v>
      </c>
      <c r="L173" s="571">
        <f t="shared" ref="L173:N184" si="93">+$O173*L$171</f>
        <v>7000</v>
      </c>
      <c r="M173" s="571">
        <f t="shared" si="93"/>
        <v>8000</v>
      </c>
      <c r="N173" s="571">
        <f t="shared" si="93"/>
        <v>9000</v>
      </c>
      <c r="O173" s="571">
        <f t="shared" ref="O173:O184" si="94">+$D$6*I173</f>
        <v>10000</v>
      </c>
      <c r="P173" s="571">
        <f t="shared" ref="P173:S184" si="95">+$O173*P$171</f>
        <v>10800</v>
      </c>
      <c r="Q173" s="571">
        <f t="shared" si="95"/>
        <v>11600</v>
      </c>
      <c r="R173" s="571">
        <f t="shared" si="95"/>
        <v>12400</v>
      </c>
      <c r="S173" s="571">
        <f t="shared" si="95"/>
        <v>13200</v>
      </c>
    </row>
    <row r="174" spans="1:25" ht="15" customHeight="1" x14ac:dyDescent="0.2">
      <c r="A174" s="572">
        <f t="shared" ref="A174:A185" si="96">+I174</f>
        <v>0.25</v>
      </c>
      <c r="C174" s="569">
        <f t="shared" si="87"/>
        <v>218</v>
      </c>
      <c r="D174" s="569">
        <f t="shared" si="88"/>
        <v>234</v>
      </c>
      <c r="E174" s="569">
        <f t="shared" si="89"/>
        <v>281</v>
      </c>
      <c r="F174" s="569">
        <f t="shared" si="90"/>
        <v>325</v>
      </c>
      <c r="G174" s="569">
        <f t="shared" si="91"/>
        <v>362</v>
      </c>
      <c r="H174" s="569">
        <f t="shared" si="92"/>
        <v>400</v>
      </c>
      <c r="I174" s="570">
        <f t="shared" ref="I174:I181" si="97">+I173+5%</f>
        <v>0.25</v>
      </c>
      <c r="L174" s="571">
        <f t="shared" si="93"/>
        <v>8750</v>
      </c>
      <c r="M174" s="571">
        <f t="shared" si="93"/>
        <v>10000</v>
      </c>
      <c r="N174" s="571">
        <f t="shared" si="93"/>
        <v>11250</v>
      </c>
      <c r="O174" s="571">
        <f t="shared" si="94"/>
        <v>12500</v>
      </c>
      <c r="P174" s="571">
        <f t="shared" si="95"/>
        <v>13500</v>
      </c>
      <c r="Q174" s="571">
        <f t="shared" si="95"/>
        <v>14499.999999999998</v>
      </c>
      <c r="R174" s="571">
        <f t="shared" si="95"/>
        <v>15500</v>
      </c>
      <c r="S174" s="571">
        <f t="shared" si="95"/>
        <v>16500</v>
      </c>
    </row>
    <row r="175" spans="1:25" ht="15" customHeight="1" x14ac:dyDescent="0.2">
      <c r="A175" s="572">
        <f t="shared" si="96"/>
        <v>0.3</v>
      </c>
      <c r="C175" s="569">
        <f t="shared" si="87"/>
        <v>262</v>
      </c>
      <c r="D175" s="569">
        <f t="shared" si="88"/>
        <v>281</v>
      </c>
      <c r="E175" s="569">
        <f t="shared" si="89"/>
        <v>337</v>
      </c>
      <c r="F175" s="569">
        <f t="shared" si="90"/>
        <v>390</v>
      </c>
      <c r="G175" s="569">
        <f t="shared" si="91"/>
        <v>435</v>
      </c>
      <c r="H175" s="569">
        <f t="shared" si="92"/>
        <v>480</v>
      </c>
      <c r="I175" s="570">
        <f t="shared" si="97"/>
        <v>0.3</v>
      </c>
      <c r="L175" s="571">
        <f t="shared" si="93"/>
        <v>10500</v>
      </c>
      <c r="M175" s="571">
        <f t="shared" si="93"/>
        <v>12000</v>
      </c>
      <c r="N175" s="571">
        <f t="shared" si="93"/>
        <v>13500</v>
      </c>
      <c r="O175" s="571">
        <f t="shared" si="94"/>
        <v>15000</v>
      </c>
      <c r="P175" s="571">
        <f t="shared" si="95"/>
        <v>16200.000000000002</v>
      </c>
      <c r="Q175" s="571">
        <f t="shared" si="95"/>
        <v>17400</v>
      </c>
      <c r="R175" s="571">
        <f t="shared" si="95"/>
        <v>18600</v>
      </c>
      <c r="S175" s="571">
        <f t="shared" si="95"/>
        <v>19800</v>
      </c>
    </row>
    <row r="176" spans="1:25" ht="15" customHeight="1" x14ac:dyDescent="0.2">
      <c r="A176" s="572">
        <f t="shared" si="96"/>
        <v>0.35</v>
      </c>
      <c r="C176" s="569">
        <f t="shared" si="87"/>
        <v>306</v>
      </c>
      <c r="D176" s="569">
        <f t="shared" si="88"/>
        <v>328</v>
      </c>
      <c r="E176" s="569">
        <f t="shared" si="89"/>
        <v>393</v>
      </c>
      <c r="F176" s="569">
        <f t="shared" si="90"/>
        <v>455</v>
      </c>
      <c r="G176" s="569">
        <f t="shared" si="91"/>
        <v>507</v>
      </c>
      <c r="H176" s="569">
        <f t="shared" si="92"/>
        <v>560</v>
      </c>
      <c r="I176" s="570">
        <f t="shared" si="97"/>
        <v>0.35</v>
      </c>
      <c r="L176" s="571">
        <f t="shared" si="93"/>
        <v>12250</v>
      </c>
      <c r="M176" s="571">
        <f t="shared" si="93"/>
        <v>14000</v>
      </c>
      <c r="N176" s="571">
        <f t="shared" si="93"/>
        <v>15750</v>
      </c>
      <c r="O176" s="571">
        <f t="shared" si="94"/>
        <v>17500</v>
      </c>
      <c r="P176" s="571">
        <f t="shared" si="95"/>
        <v>18900</v>
      </c>
      <c r="Q176" s="571">
        <f t="shared" si="95"/>
        <v>20300</v>
      </c>
      <c r="R176" s="571">
        <f t="shared" si="95"/>
        <v>21700</v>
      </c>
      <c r="S176" s="571">
        <f t="shared" si="95"/>
        <v>23100</v>
      </c>
    </row>
    <row r="177" spans="1:19" ht="15" customHeight="1" x14ac:dyDescent="0.2">
      <c r="A177" s="572">
        <f t="shared" si="96"/>
        <v>0.39999999999999997</v>
      </c>
      <c r="C177" s="569">
        <f t="shared" si="87"/>
        <v>350</v>
      </c>
      <c r="D177" s="569">
        <f t="shared" si="88"/>
        <v>375</v>
      </c>
      <c r="E177" s="569">
        <f t="shared" si="89"/>
        <v>450</v>
      </c>
      <c r="F177" s="569">
        <f t="shared" si="90"/>
        <v>520</v>
      </c>
      <c r="G177" s="569">
        <f t="shared" si="91"/>
        <v>580</v>
      </c>
      <c r="H177" s="569">
        <f t="shared" si="92"/>
        <v>640</v>
      </c>
      <c r="I177" s="570">
        <f t="shared" si="97"/>
        <v>0.39999999999999997</v>
      </c>
      <c r="L177" s="571">
        <f t="shared" si="93"/>
        <v>14000</v>
      </c>
      <c r="M177" s="571">
        <f t="shared" si="93"/>
        <v>16000</v>
      </c>
      <c r="N177" s="571">
        <f t="shared" si="93"/>
        <v>18000</v>
      </c>
      <c r="O177" s="571">
        <f t="shared" si="94"/>
        <v>20000</v>
      </c>
      <c r="P177" s="571">
        <f t="shared" si="95"/>
        <v>21600</v>
      </c>
      <c r="Q177" s="571">
        <f t="shared" si="95"/>
        <v>23200</v>
      </c>
      <c r="R177" s="571">
        <f t="shared" si="95"/>
        <v>24800</v>
      </c>
      <c r="S177" s="571">
        <f t="shared" si="95"/>
        <v>26400</v>
      </c>
    </row>
    <row r="178" spans="1:19" ht="15" customHeight="1" x14ac:dyDescent="0.2">
      <c r="A178" s="572">
        <f t="shared" si="96"/>
        <v>0.44999999999999996</v>
      </c>
      <c r="C178" s="569">
        <f t="shared" si="87"/>
        <v>393</v>
      </c>
      <c r="D178" s="569">
        <f t="shared" si="88"/>
        <v>421</v>
      </c>
      <c r="E178" s="569">
        <f t="shared" si="89"/>
        <v>506</v>
      </c>
      <c r="F178" s="569">
        <f t="shared" si="90"/>
        <v>585</v>
      </c>
      <c r="G178" s="569">
        <f t="shared" si="91"/>
        <v>652</v>
      </c>
      <c r="H178" s="569">
        <f t="shared" si="92"/>
        <v>720</v>
      </c>
      <c r="I178" s="570">
        <f t="shared" si="97"/>
        <v>0.44999999999999996</v>
      </c>
      <c r="L178" s="571">
        <f t="shared" si="93"/>
        <v>15749.999999999996</v>
      </c>
      <c r="M178" s="571">
        <f t="shared" si="93"/>
        <v>17999.999999999996</v>
      </c>
      <c r="N178" s="571">
        <f t="shared" si="93"/>
        <v>20249.999999999996</v>
      </c>
      <c r="O178" s="571">
        <f t="shared" si="94"/>
        <v>22499.999999999996</v>
      </c>
      <c r="P178" s="571">
        <f t="shared" si="95"/>
        <v>24299.999999999996</v>
      </c>
      <c r="Q178" s="571">
        <f t="shared" si="95"/>
        <v>26099.999999999993</v>
      </c>
      <c r="R178" s="571">
        <f t="shared" si="95"/>
        <v>27899.999999999996</v>
      </c>
      <c r="S178" s="571">
        <f t="shared" si="95"/>
        <v>29699.999999999996</v>
      </c>
    </row>
    <row r="179" spans="1:19" ht="15" customHeight="1" x14ac:dyDescent="0.2">
      <c r="A179" s="572">
        <f t="shared" si="96"/>
        <v>0.49999999999999994</v>
      </c>
      <c r="C179" s="569">
        <f t="shared" si="87"/>
        <v>437</v>
      </c>
      <c r="D179" s="569">
        <f t="shared" si="88"/>
        <v>468</v>
      </c>
      <c r="E179" s="569">
        <f t="shared" si="89"/>
        <v>562</v>
      </c>
      <c r="F179" s="569">
        <f t="shared" si="90"/>
        <v>650</v>
      </c>
      <c r="G179" s="569">
        <f t="shared" si="91"/>
        <v>725</v>
      </c>
      <c r="H179" s="569">
        <f t="shared" si="92"/>
        <v>800</v>
      </c>
      <c r="I179" s="570">
        <f t="shared" si="97"/>
        <v>0.49999999999999994</v>
      </c>
      <c r="L179" s="571">
        <f t="shared" si="93"/>
        <v>17499.999999999996</v>
      </c>
      <c r="M179" s="571">
        <f t="shared" si="93"/>
        <v>20000</v>
      </c>
      <c r="N179" s="571">
        <f t="shared" si="93"/>
        <v>22499.999999999996</v>
      </c>
      <c r="O179" s="571">
        <f t="shared" si="94"/>
        <v>24999.999999999996</v>
      </c>
      <c r="P179" s="571">
        <f t="shared" si="95"/>
        <v>26999.999999999996</v>
      </c>
      <c r="Q179" s="571">
        <f t="shared" si="95"/>
        <v>28999.999999999993</v>
      </c>
      <c r="R179" s="571">
        <f t="shared" si="95"/>
        <v>30999.999999999996</v>
      </c>
      <c r="S179" s="571">
        <f t="shared" si="95"/>
        <v>33000</v>
      </c>
    </row>
    <row r="180" spans="1:19" ht="15" customHeight="1" x14ac:dyDescent="0.2">
      <c r="A180" s="572">
        <f t="shared" si="96"/>
        <v>0.54999999999999993</v>
      </c>
      <c r="C180" s="569">
        <f t="shared" si="87"/>
        <v>481</v>
      </c>
      <c r="D180" s="569">
        <f t="shared" si="88"/>
        <v>515</v>
      </c>
      <c r="E180" s="569">
        <f t="shared" si="89"/>
        <v>618</v>
      </c>
      <c r="F180" s="569">
        <f t="shared" si="90"/>
        <v>715</v>
      </c>
      <c r="G180" s="569">
        <f t="shared" si="91"/>
        <v>797</v>
      </c>
      <c r="H180" s="569">
        <f t="shared" si="92"/>
        <v>880</v>
      </c>
      <c r="I180" s="570">
        <f t="shared" si="97"/>
        <v>0.54999999999999993</v>
      </c>
      <c r="L180" s="571">
        <f t="shared" si="93"/>
        <v>19249.999999999996</v>
      </c>
      <c r="M180" s="571">
        <f t="shared" si="93"/>
        <v>22000</v>
      </c>
      <c r="N180" s="571">
        <f t="shared" si="93"/>
        <v>24749.999999999996</v>
      </c>
      <c r="O180" s="571">
        <f t="shared" si="94"/>
        <v>27499.999999999996</v>
      </c>
      <c r="P180" s="571">
        <f t="shared" si="95"/>
        <v>29699.999999999996</v>
      </c>
      <c r="Q180" s="571">
        <f t="shared" si="95"/>
        <v>31899.999999999993</v>
      </c>
      <c r="R180" s="571">
        <f t="shared" si="95"/>
        <v>34099.999999999993</v>
      </c>
      <c r="S180" s="571">
        <f t="shared" si="95"/>
        <v>36300</v>
      </c>
    </row>
    <row r="181" spans="1:19" ht="15" customHeight="1" x14ac:dyDescent="0.2">
      <c r="A181" s="572">
        <f t="shared" si="96"/>
        <v>0.6</v>
      </c>
      <c r="C181" s="569">
        <f t="shared" si="87"/>
        <v>525</v>
      </c>
      <c r="D181" s="569">
        <f t="shared" si="88"/>
        <v>562</v>
      </c>
      <c r="E181" s="569">
        <f t="shared" si="89"/>
        <v>675</v>
      </c>
      <c r="F181" s="569">
        <f t="shared" si="90"/>
        <v>780</v>
      </c>
      <c r="G181" s="569">
        <f t="shared" si="91"/>
        <v>870</v>
      </c>
      <c r="H181" s="569">
        <f t="shared" si="92"/>
        <v>960</v>
      </c>
      <c r="I181" s="570">
        <f t="shared" si="97"/>
        <v>0.6</v>
      </c>
      <c r="L181" s="571">
        <f t="shared" si="93"/>
        <v>21000</v>
      </c>
      <c r="M181" s="571">
        <f t="shared" si="93"/>
        <v>24000</v>
      </c>
      <c r="N181" s="571">
        <f t="shared" si="93"/>
        <v>27000</v>
      </c>
      <c r="O181" s="571">
        <f t="shared" si="94"/>
        <v>30000</v>
      </c>
      <c r="P181" s="571">
        <f t="shared" si="95"/>
        <v>32400.000000000004</v>
      </c>
      <c r="Q181" s="571">
        <f t="shared" si="95"/>
        <v>34800</v>
      </c>
      <c r="R181" s="571">
        <f t="shared" si="95"/>
        <v>37200</v>
      </c>
      <c r="S181" s="571">
        <f t="shared" si="95"/>
        <v>39600</v>
      </c>
    </row>
    <row r="182" spans="1:19" ht="15" customHeight="1" x14ac:dyDescent="0.2">
      <c r="A182" s="572">
        <f t="shared" si="96"/>
        <v>0.8</v>
      </c>
      <c r="C182" s="569">
        <f t="shared" si="87"/>
        <v>700</v>
      </c>
      <c r="D182" s="569">
        <f t="shared" si="88"/>
        <v>750</v>
      </c>
      <c r="E182" s="569">
        <f t="shared" si="89"/>
        <v>900</v>
      </c>
      <c r="F182" s="569">
        <f t="shared" si="90"/>
        <v>1040</v>
      </c>
      <c r="G182" s="569">
        <f t="shared" si="91"/>
        <v>1160</v>
      </c>
      <c r="H182" s="569">
        <f t="shared" si="92"/>
        <v>1280</v>
      </c>
      <c r="I182" s="570">
        <v>0.8</v>
      </c>
      <c r="L182" s="571">
        <f t="shared" si="93"/>
        <v>28000</v>
      </c>
      <c r="M182" s="571">
        <f t="shared" si="93"/>
        <v>32000</v>
      </c>
      <c r="N182" s="571">
        <f t="shared" si="93"/>
        <v>36000</v>
      </c>
      <c r="O182" s="571">
        <f t="shared" si="94"/>
        <v>40000</v>
      </c>
      <c r="P182" s="571">
        <f t="shared" si="95"/>
        <v>43200</v>
      </c>
      <c r="Q182" s="571">
        <f t="shared" si="95"/>
        <v>46400</v>
      </c>
      <c r="R182" s="571">
        <f t="shared" si="95"/>
        <v>49600</v>
      </c>
      <c r="S182" s="571">
        <f t="shared" si="95"/>
        <v>52800</v>
      </c>
    </row>
    <row r="183" spans="1:19" ht="15" customHeight="1" x14ac:dyDescent="0.2">
      <c r="A183" s="572">
        <f t="shared" si="96"/>
        <v>1</v>
      </c>
      <c r="C183" s="569">
        <f t="shared" si="87"/>
        <v>875</v>
      </c>
      <c r="D183" s="569">
        <f t="shared" si="88"/>
        <v>937</v>
      </c>
      <c r="E183" s="569">
        <f t="shared" si="89"/>
        <v>1125</v>
      </c>
      <c r="F183" s="569">
        <f t="shared" si="90"/>
        <v>1300</v>
      </c>
      <c r="G183" s="569">
        <f t="shared" si="91"/>
        <v>1450</v>
      </c>
      <c r="H183" s="569">
        <f t="shared" si="92"/>
        <v>1600</v>
      </c>
      <c r="I183" s="570">
        <v>1</v>
      </c>
      <c r="L183" s="571">
        <f t="shared" si="93"/>
        <v>35000</v>
      </c>
      <c r="M183" s="571">
        <f t="shared" si="93"/>
        <v>40000</v>
      </c>
      <c r="N183" s="571">
        <f t="shared" si="93"/>
        <v>45000</v>
      </c>
      <c r="O183" s="571">
        <f t="shared" si="94"/>
        <v>50000</v>
      </c>
      <c r="P183" s="571">
        <f t="shared" si="95"/>
        <v>54000</v>
      </c>
      <c r="Q183" s="571">
        <f t="shared" si="95"/>
        <v>57999.999999999993</v>
      </c>
      <c r="R183" s="571">
        <f t="shared" si="95"/>
        <v>62000</v>
      </c>
      <c r="S183" s="571">
        <f t="shared" si="95"/>
        <v>66000</v>
      </c>
    </row>
    <row r="184" spans="1:19" ht="15" customHeight="1" x14ac:dyDescent="0.2">
      <c r="A184" s="572">
        <f t="shared" si="96"/>
        <v>1.2</v>
      </c>
      <c r="C184" s="569">
        <f t="shared" si="87"/>
        <v>1050</v>
      </c>
      <c r="D184" s="569">
        <f t="shared" si="88"/>
        <v>1125</v>
      </c>
      <c r="E184" s="569">
        <f t="shared" si="89"/>
        <v>1350</v>
      </c>
      <c r="F184" s="569">
        <f t="shared" si="90"/>
        <v>1560</v>
      </c>
      <c r="G184" s="569">
        <f t="shared" si="91"/>
        <v>1740</v>
      </c>
      <c r="H184" s="569">
        <f t="shared" si="92"/>
        <v>1920</v>
      </c>
      <c r="I184" s="570">
        <v>1.2</v>
      </c>
      <c r="L184" s="571">
        <f t="shared" si="93"/>
        <v>42000</v>
      </c>
      <c r="M184" s="571">
        <f t="shared" si="93"/>
        <v>48000</v>
      </c>
      <c r="N184" s="571">
        <f t="shared" si="93"/>
        <v>54000</v>
      </c>
      <c r="O184" s="571">
        <f t="shared" si="94"/>
        <v>60000</v>
      </c>
      <c r="P184" s="571">
        <f t="shared" si="95"/>
        <v>64800.000000000007</v>
      </c>
      <c r="Q184" s="571">
        <f t="shared" si="95"/>
        <v>69600</v>
      </c>
      <c r="R184" s="571">
        <f t="shared" si="95"/>
        <v>74400</v>
      </c>
      <c r="S184" s="571">
        <f t="shared" si="95"/>
        <v>79200</v>
      </c>
    </row>
    <row r="185" spans="1:19" ht="15" customHeight="1" x14ac:dyDescent="0.2">
      <c r="A185" s="572" t="str">
        <f t="shared" si="96"/>
        <v>N/A</v>
      </c>
      <c r="I185" s="570" t="s">
        <v>601</v>
      </c>
    </row>
  </sheetData>
  <sheetProtection password="CE0A" sheet="1" objects="1" scenarios="1" formatColumns="0"/>
  <dataConsolidate/>
  <mergeCells count="45">
    <mergeCell ref="C153:E153"/>
    <mergeCell ref="F153:G153"/>
    <mergeCell ref="C163:I163"/>
    <mergeCell ref="F125:G125"/>
    <mergeCell ref="C135:I135"/>
    <mergeCell ref="C139:E139"/>
    <mergeCell ref="F139:G139"/>
    <mergeCell ref="C149:I149"/>
    <mergeCell ref="C167:I167"/>
    <mergeCell ref="C18:I18"/>
    <mergeCell ref="C32:I32"/>
    <mergeCell ref="C49:I49"/>
    <mergeCell ref="C12:D12"/>
    <mergeCell ref="C13:D13"/>
    <mergeCell ref="C14:D14"/>
    <mergeCell ref="C97:E97"/>
    <mergeCell ref="F97:G97"/>
    <mergeCell ref="F35:H35"/>
    <mergeCell ref="F36:H36"/>
    <mergeCell ref="C51:I51"/>
    <mergeCell ref="C111:E111"/>
    <mergeCell ref="F111:G111"/>
    <mergeCell ref="C121:I121"/>
    <mergeCell ref="C125:E125"/>
    <mergeCell ref="C1:G1"/>
    <mergeCell ref="C3:I3"/>
    <mergeCell ref="F69:G69"/>
    <mergeCell ref="C83:E83"/>
    <mergeCell ref="F83:G83"/>
    <mergeCell ref="C69:E69"/>
    <mergeCell ref="C38:F38"/>
    <mergeCell ref="C40:F40"/>
    <mergeCell ref="C55:E55"/>
    <mergeCell ref="F55:G55"/>
    <mergeCell ref="C15:D15"/>
    <mergeCell ref="C16:D16"/>
    <mergeCell ref="C39:F39"/>
    <mergeCell ref="C35:E35"/>
    <mergeCell ref="C36:E36"/>
    <mergeCell ref="C8:I8"/>
    <mergeCell ref="C65:I65"/>
    <mergeCell ref="C79:I79"/>
    <mergeCell ref="C93:I93"/>
    <mergeCell ref="C107:I107"/>
    <mergeCell ref="C11:D11"/>
  </mergeCells>
  <phoneticPr fontId="0" type="noConversion"/>
  <conditionalFormatting sqref="G40">
    <cfRule type="cellIs" dxfId="19" priority="1" operator="equal">
      <formula>"No"</formula>
    </cfRule>
  </conditionalFormatting>
  <dataValidations count="3">
    <dataValidation type="list" allowBlank="1" showInputMessage="1" showErrorMessage="1" sqref="F35:H35" xr:uid="{00000000-0002-0000-0200-000000000000}">
      <formula1>HOMEera</formula1>
    </dataValidation>
    <dataValidation type="list" allowBlank="1" showInputMessage="1" showErrorMessage="1" sqref="F36:H36" xr:uid="{00000000-0002-0000-0200-000001000000}">
      <formula1>apuHOME</formula1>
    </dataValidation>
    <dataValidation type="list" allowBlank="1" showInputMessage="1" showErrorMessage="1" sqref="H97 H55 H69 H83 H111 H125 H139 H153" xr:uid="{00000000-0002-0000-0200-000002000000}">
      <formula1>$A$173:$A$185</formula1>
    </dataValidation>
  </dataValidations>
  <printOptions horizontalCentered="1"/>
  <pageMargins left="0.5" right="0.5" top="1" bottom="1" header="0.5" footer="0.5"/>
  <pageSetup scale="70" fitToHeight="0" orientation="portrait" r:id="rId1"/>
  <headerFooter alignWithMargins="0">
    <oddHeader>&amp;L&amp;F&amp;R&amp;A</oddHeader>
    <oddFooter>&amp;LPage &amp;P of &amp;N&amp;RPrinted &amp;D</oddFooter>
  </headerFooter>
  <rowBreaks count="2" manualBreakCount="2">
    <brk id="41" max="8" man="1"/>
    <brk id="93"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251" r:id="rId4" name="Button 227">
              <controlPr defaultSize="0" print="0" autoFill="0" autoPict="0" macro="[0]!HideReq">
                <anchor moveWithCells="1" sizeWithCells="1">
                  <from>
                    <xdr:col>7</xdr:col>
                    <xdr:colOff>952500</xdr:colOff>
                    <xdr:row>10</xdr:row>
                    <xdr:rowOff>171450</xdr:rowOff>
                  </from>
                  <to>
                    <xdr:col>8</xdr:col>
                    <xdr:colOff>2219325</xdr:colOff>
                    <xdr:row>12</xdr:row>
                    <xdr:rowOff>95250</xdr:rowOff>
                  </to>
                </anchor>
              </controlPr>
            </control>
          </mc:Choice>
        </mc:AlternateContent>
        <mc:AlternateContent xmlns:mc="http://schemas.openxmlformats.org/markup-compatibility/2006">
          <mc:Choice Requires="x14">
            <control shapeId="1252" r:id="rId5" name="Button 228">
              <controlPr defaultSize="0" print="0" autoFill="0" autoPict="0" macro="[0]!ShowReq">
                <anchor moveWithCells="1" sizeWithCells="1">
                  <from>
                    <xdr:col>7</xdr:col>
                    <xdr:colOff>952500</xdr:colOff>
                    <xdr:row>13</xdr:row>
                    <xdr:rowOff>95250</xdr:rowOff>
                  </from>
                  <to>
                    <xdr:col>8</xdr:col>
                    <xdr:colOff>2200275</xdr:colOff>
                    <xdr:row>15</xdr:row>
                    <xdr:rowOff>28575</xdr:rowOff>
                  </to>
                </anchor>
              </controlPr>
            </control>
          </mc:Choice>
        </mc:AlternateContent>
        <mc:AlternateContent xmlns:mc="http://schemas.openxmlformats.org/markup-compatibility/2006">
          <mc:Choice Requires="x14">
            <control shapeId="1317" r:id="rId6" name="Button 293">
              <controlPr defaultSize="0" print="0" autoFill="0" autoPict="0" macro="[0]!AMIRent1">
                <anchor moveWithCells="1" sizeWithCells="1">
                  <from>
                    <xdr:col>8</xdr:col>
                    <xdr:colOff>228600</xdr:colOff>
                    <xdr:row>57</xdr:row>
                    <xdr:rowOff>9525</xdr:rowOff>
                  </from>
                  <to>
                    <xdr:col>8</xdr:col>
                    <xdr:colOff>2257425</xdr:colOff>
                    <xdr:row>59</xdr:row>
                    <xdr:rowOff>0</xdr:rowOff>
                  </to>
                </anchor>
              </controlPr>
            </control>
          </mc:Choice>
        </mc:AlternateContent>
        <mc:AlternateContent xmlns:mc="http://schemas.openxmlformats.org/markup-compatibility/2006">
          <mc:Choice Requires="x14">
            <control shapeId="1318" r:id="rId7" name="Button 294">
              <controlPr defaultSize="0" print="0" autoFill="0" autoPict="0" macro="[0]!AMIRent2">
                <anchor moveWithCells="1" sizeWithCells="1">
                  <from>
                    <xdr:col>8</xdr:col>
                    <xdr:colOff>228600</xdr:colOff>
                    <xdr:row>71</xdr:row>
                    <xdr:rowOff>9525</xdr:rowOff>
                  </from>
                  <to>
                    <xdr:col>8</xdr:col>
                    <xdr:colOff>2257425</xdr:colOff>
                    <xdr:row>73</xdr:row>
                    <xdr:rowOff>0</xdr:rowOff>
                  </to>
                </anchor>
              </controlPr>
            </control>
          </mc:Choice>
        </mc:AlternateContent>
        <mc:AlternateContent xmlns:mc="http://schemas.openxmlformats.org/markup-compatibility/2006">
          <mc:Choice Requires="x14">
            <control shapeId="1319" r:id="rId8" name="Button 295">
              <controlPr defaultSize="0" print="0" autoFill="0" autoPict="0" macro="[0]!AMIRent3">
                <anchor moveWithCells="1" sizeWithCells="1">
                  <from>
                    <xdr:col>8</xdr:col>
                    <xdr:colOff>228600</xdr:colOff>
                    <xdr:row>85</xdr:row>
                    <xdr:rowOff>9525</xdr:rowOff>
                  </from>
                  <to>
                    <xdr:col>8</xdr:col>
                    <xdr:colOff>2257425</xdr:colOff>
                    <xdr:row>87</xdr:row>
                    <xdr:rowOff>0</xdr:rowOff>
                  </to>
                </anchor>
              </controlPr>
            </control>
          </mc:Choice>
        </mc:AlternateContent>
        <mc:AlternateContent xmlns:mc="http://schemas.openxmlformats.org/markup-compatibility/2006">
          <mc:Choice Requires="x14">
            <control shapeId="1320" r:id="rId9" name="Button 296">
              <controlPr defaultSize="0" print="0" autoFill="0" autoPict="0" macro="[0]!AMIRent4">
                <anchor moveWithCells="1" sizeWithCells="1">
                  <from>
                    <xdr:col>8</xdr:col>
                    <xdr:colOff>228600</xdr:colOff>
                    <xdr:row>99</xdr:row>
                    <xdr:rowOff>9525</xdr:rowOff>
                  </from>
                  <to>
                    <xdr:col>8</xdr:col>
                    <xdr:colOff>2257425</xdr:colOff>
                    <xdr:row>101</xdr:row>
                    <xdr:rowOff>0</xdr:rowOff>
                  </to>
                </anchor>
              </controlPr>
            </control>
          </mc:Choice>
        </mc:AlternateContent>
        <mc:AlternateContent xmlns:mc="http://schemas.openxmlformats.org/markup-compatibility/2006">
          <mc:Choice Requires="x14">
            <control shapeId="1321" r:id="rId10" name="Button 297">
              <controlPr defaultSize="0" print="0" autoFill="0" autoPict="0" macro="[0]!AMIRent5">
                <anchor moveWithCells="1" sizeWithCells="1">
                  <from>
                    <xdr:col>8</xdr:col>
                    <xdr:colOff>228600</xdr:colOff>
                    <xdr:row>113</xdr:row>
                    <xdr:rowOff>9525</xdr:rowOff>
                  </from>
                  <to>
                    <xdr:col>8</xdr:col>
                    <xdr:colOff>2257425</xdr:colOff>
                    <xdr:row>115</xdr:row>
                    <xdr:rowOff>0</xdr:rowOff>
                  </to>
                </anchor>
              </controlPr>
            </control>
          </mc:Choice>
        </mc:AlternateContent>
        <mc:AlternateContent xmlns:mc="http://schemas.openxmlformats.org/markup-compatibility/2006">
          <mc:Choice Requires="x14">
            <control shapeId="1336" r:id="rId11" name="Button 312">
              <controlPr defaultSize="0" print="0" autoFill="0" autoPict="0" macro="[0]!AMIRent6">
                <anchor moveWithCells="1" sizeWithCells="1">
                  <from>
                    <xdr:col>8</xdr:col>
                    <xdr:colOff>228600</xdr:colOff>
                    <xdr:row>127</xdr:row>
                    <xdr:rowOff>9525</xdr:rowOff>
                  </from>
                  <to>
                    <xdr:col>8</xdr:col>
                    <xdr:colOff>2257425</xdr:colOff>
                    <xdr:row>129</xdr:row>
                    <xdr:rowOff>0</xdr:rowOff>
                  </to>
                </anchor>
              </controlPr>
            </control>
          </mc:Choice>
        </mc:AlternateContent>
        <mc:AlternateContent xmlns:mc="http://schemas.openxmlformats.org/markup-compatibility/2006">
          <mc:Choice Requires="x14">
            <control shapeId="1351" r:id="rId12" name="Button 327">
              <controlPr defaultSize="0" print="0" autoFill="0" autoPict="0" macro="[0]!AMIRent7">
                <anchor moveWithCells="1" sizeWithCells="1">
                  <from>
                    <xdr:col>8</xdr:col>
                    <xdr:colOff>228600</xdr:colOff>
                    <xdr:row>141</xdr:row>
                    <xdr:rowOff>9525</xdr:rowOff>
                  </from>
                  <to>
                    <xdr:col>8</xdr:col>
                    <xdr:colOff>2257425</xdr:colOff>
                    <xdr:row>143</xdr:row>
                    <xdr:rowOff>0</xdr:rowOff>
                  </to>
                </anchor>
              </controlPr>
            </control>
          </mc:Choice>
        </mc:AlternateContent>
        <mc:AlternateContent xmlns:mc="http://schemas.openxmlformats.org/markup-compatibility/2006">
          <mc:Choice Requires="x14">
            <control shapeId="1366" r:id="rId13" name="Button 342">
              <controlPr defaultSize="0" print="0" autoFill="0" autoPict="0" macro="[0]!AMIRent8">
                <anchor moveWithCells="1" sizeWithCells="1">
                  <from>
                    <xdr:col>8</xdr:col>
                    <xdr:colOff>228600</xdr:colOff>
                    <xdr:row>155</xdr:row>
                    <xdr:rowOff>9525</xdr:rowOff>
                  </from>
                  <to>
                    <xdr:col>8</xdr:col>
                    <xdr:colOff>2257425</xdr:colOff>
                    <xdr:row>157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3000000}">
          <x14:formula1>
            <xm:f>Controls!$A$26:$A$28</xm:f>
          </x14:formula1>
          <xm:sqref>F35:H35</xm:sqref>
        </x14:dataValidation>
        <x14:dataValidation type="list" allowBlank="1" showInputMessage="1" showErrorMessage="1" xr:uid="{00000000-0002-0000-0200-000004000000}">
          <x14:formula1>
            <xm:f>Controls!$A$31:$A$33</xm:f>
          </x14:formula1>
          <xm:sqref>F36:H36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autoPageBreaks="0"/>
  </sheetPr>
  <dimension ref="A1:AP53"/>
  <sheetViews>
    <sheetView showGridLines="0" zoomScaleNormal="100" workbookViewId="0">
      <selection activeCell="O37" sqref="O37"/>
    </sheetView>
  </sheetViews>
  <sheetFormatPr defaultColWidth="9.140625" defaultRowHeight="12.75" x14ac:dyDescent="0.2"/>
  <cols>
    <col min="1" max="1" width="4.28515625" customWidth="1"/>
    <col min="2" max="2" width="1.85546875" customWidth="1"/>
    <col min="3" max="3" width="27.7109375" customWidth="1"/>
    <col min="4" max="4" width="25.5703125" customWidth="1"/>
    <col min="5" max="5" width="12.5703125" customWidth="1"/>
    <col min="6" max="6" width="15.5703125" customWidth="1"/>
    <col min="7" max="7" width="16" customWidth="1"/>
    <col min="8" max="8" width="12.5703125" customWidth="1"/>
    <col min="9" max="9" width="16.140625" customWidth="1"/>
    <col min="10" max="10" width="9.140625" customWidth="1"/>
    <col min="11" max="11" width="2.7109375" customWidth="1"/>
    <col min="12" max="12" width="7.85546875" customWidth="1"/>
    <col min="18" max="18" width="28.7109375" customWidth="1"/>
    <col min="19" max="19" width="11.42578125" customWidth="1"/>
    <col min="20" max="20" width="12.7109375" customWidth="1"/>
    <col min="21" max="21" width="28.7109375" customWidth="1"/>
    <col min="22" max="22" width="11.28515625" customWidth="1"/>
    <col min="23" max="23" width="2.7109375" customWidth="1"/>
    <col min="24" max="31" width="15" customWidth="1"/>
    <col min="32" max="32" width="17.28515625" customWidth="1"/>
    <col min="33" max="33" width="2.7109375" customWidth="1"/>
    <col min="34" max="34" width="61" customWidth="1"/>
    <col min="35" max="35" width="24.140625" customWidth="1"/>
  </cols>
  <sheetData>
    <row r="1" spans="1:42" s="7" customFormat="1" ht="22.5" x14ac:dyDescent="0.2">
      <c r="A1" s="402" t="s">
        <v>424</v>
      </c>
      <c r="C1" s="693" t="s">
        <v>132</v>
      </c>
      <c r="D1" s="693"/>
      <c r="E1" s="694"/>
      <c r="F1" s="695" t="s">
        <v>59</v>
      </c>
      <c r="G1" s="695"/>
      <c r="H1" s="695"/>
      <c r="I1" s="695"/>
      <c r="J1" s="59"/>
      <c r="K1" s="9"/>
      <c r="L1" s="452" t="str">
        <f>Requirements!C4</f>
        <v>Project Name - Sample Project : 20 Units</v>
      </c>
      <c r="M1" s="412"/>
      <c r="T1" s="512"/>
      <c r="W1" s="9"/>
    </row>
    <row r="2" spans="1:42" s="7" customFormat="1" ht="12.75" customHeight="1" x14ac:dyDescent="0.2">
      <c r="C2" s="528"/>
      <c r="D2" s="528"/>
      <c r="E2" s="510"/>
      <c r="F2" s="510"/>
      <c r="G2" s="510"/>
      <c r="H2" s="510"/>
      <c r="I2" s="60"/>
      <c r="J2" s="510"/>
      <c r="K2" s="9"/>
      <c r="L2" s="512"/>
      <c r="O2" s="512"/>
      <c r="T2" s="512"/>
      <c r="W2" s="9"/>
    </row>
    <row r="3" spans="1:42" s="7" customFormat="1" ht="64.5" customHeight="1" x14ac:dyDescent="0.2">
      <c r="C3" s="701" t="s">
        <v>691</v>
      </c>
      <c r="D3" s="701"/>
      <c r="E3" s="701"/>
      <c r="F3" s="701"/>
      <c r="G3" s="701"/>
      <c r="H3" s="701"/>
      <c r="I3" s="701"/>
      <c r="J3" s="701"/>
      <c r="K3" s="9"/>
      <c r="L3" s="512"/>
      <c r="O3" s="512"/>
      <c r="T3" s="512"/>
      <c r="W3" s="9"/>
    </row>
    <row r="4" spans="1:42" s="7" customFormat="1" ht="12.75" customHeight="1" x14ac:dyDescent="0.2">
      <c r="C4" s="528"/>
      <c r="D4" s="528"/>
      <c r="E4" s="510"/>
      <c r="F4" s="510"/>
      <c r="G4" s="510"/>
      <c r="H4" s="510"/>
      <c r="I4" s="60"/>
      <c r="J4" s="510"/>
      <c r="K4" s="9"/>
      <c r="L4" s="512"/>
      <c r="O4" s="512"/>
      <c r="T4" s="512"/>
      <c r="W4" s="9"/>
    </row>
    <row r="5" spans="1:42" ht="12.75" customHeight="1" x14ac:dyDescent="0.2">
      <c r="C5" s="490" t="s">
        <v>424</v>
      </c>
      <c r="D5" s="629" t="s">
        <v>424</v>
      </c>
      <c r="E5" s="402" t="s">
        <v>424</v>
      </c>
      <c r="F5" s="402" t="s">
        <v>424</v>
      </c>
      <c r="G5" s="402" t="s">
        <v>424</v>
      </c>
      <c r="H5" s="402" t="s">
        <v>424</v>
      </c>
      <c r="I5" s="44"/>
      <c r="J5" s="402" t="s">
        <v>424</v>
      </c>
      <c r="L5" s="249"/>
      <c r="M5" s="697" t="s">
        <v>270</v>
      </c>
      <c r="N5" s="698"/>
      <c r="O5" s="698"/>
      <c r="P5" s="698"/>
      <c r="Q5" s="699"/>
      <c r="R5" s="402" t="s">
        <v>424</v>
      </c>
      <c r="S5" s="7"/>
      <c r="T5" s="402" t="s">
        <v>424</v>
      </c>
      <c r="U5" s="402" t="s">
        <v>424</v>
      </c>
      <c r="V5" s="512"/>
      <c r="X5" s="7"/>
      <c r="Y5" s="7"/>
      <c r="Z5" s="7"/>
      <c r="AA5" s="7"/>
      <c r="AB5" s="7"/>
      <c r="AC5" s="7"/>
      <c r="AD5" s="7"/>
      <c r="AE5" s="7"/>
      <c r="AF5" s="7"/>
    </row>
    <row r="6" spans="1:42" ht="71.25" customHeight="1" x14ac:dyDescent="0.2">
      <c r="A6" s="402" t="s">
        <v>424</v>
      </c>
      <c r="C6" s="53" t="s">
        <v>504</v>
      </c>
      <c r="D6" s="53" t="s">
        <v>705</v>
      </c>
      <c r="E6" s="53" t="s">
        <v>13</v>
      </c>
      <c r="F6" s="53" t="s">
        <v>79</v>
      </c>
      <c r="G6" s="53" t="s">
        <v>133</v>
      </c>
      <c r="H6" s="68" t="s">
        <v>207</v>
      </c>
      <c r="I6" s="68" t="s">
        <v>170</v>
      </c>
      <c r="J6" s="53" t="s">
        <v>145</v>
      </c>
      <c r="L6" s="68" t="s">
        <v>518</v>
      </c>
      <c r="M6" s="68" t="s">
        <v>262</v>
      </c>
      <c r="N6" s="68" t="s">
        <v>263</v>
      </c>
      <c r="O6" s="68" t="s">
        <v>517</v>
      </c>
      <c r="P6" s="68" t="s">
        <v>264</v>
      </c>
      <c r="Q6" s="68" t="s">
        <v>265</v>
      </c>
      <c r="R6" s="254" t="s">
        <v>266</v>
      </c>
      <c r="S6" s="254" t="s">
        <v>267</v>
      </c>
      <c r="T6" s="254" t="s">
        <v>519</v>
      </c>
      <c r="U6" s="254" t="s">
        <v>261</v>
      </c>
      <c r="V6" s="254" t="s">
        <v>520</v>
      </c>
      <c r="X6" s="258" t="s">
        <v>271</v>
      </c>
      <c r="Y6" s="258" t="s">
        <v>272</v>
      </c>
      <c r="Z6" s="258" t="s">
        <v>269</v>
      </c>
      <c r="AA6" s="259" t="s">
        <v>521</v>
      </c>
      <c r="AB6" s="259" t="s">
        <v>522</v>
      </c>
      <c r="AC6" s="331" t="s">
        <v>387</v>
      </c>
      <c r="AD6" s="331" t="s">
        <v>412</v>
      </c>
      <c r="AE6" s="394" t="s">
        <v>413</v>
      </c>
      <c r="AF6" s="394" t="s">
        <v>414</v>
      </c>
      <c r="AH6" s="551"/>
    </row>
    <row r="7" spans="1:42" s="4" customFormat="1" x14ac:dyDescent="0.2">
      <c r="A7" s="510"/>
      <c r="C7" s="597" t="str">
        <f>IF(OR(E7=0,E7=""),"",L7&amp;" BR "&amp;IF(M7="Yes","Low HOME ","")&amp;IF(N7="Yes","High HOME ","")&amp;IF(O7="Yes","Market ","")&amp;IF(P7="Yes","LIHTC ","")&amp;IF(Q7="Yes","CDBG ",""))</f>
        <v xml:space="preserve">1 BR High HOME LIHTC </v>
      </c>
      <c r="D7" s="630" t="str">
        <f>+AI7</f>
        <v>95% of High HOME</v>
      </c>
      <c r="E7" s="414">
        <v>16</v>
      </c>
      <c r="F7" s="414">
        <v>600</v>
      </c>
      <c r="G7" s="413">
        <f>IF(E7=0,"",ROUND(S7*T7,0))</f>
        <v>760</v>
      </c>
      <c r="H7" s="413">
        <f>IF(E7=0,"",V7)</f>
        <v>65</v>
      </c>
      <c r="I7" s="413">
        <f>IF(E7=0,"",G7-H7)</f>
        <v>695</v>
      </c>
      <c r="J7" s="256" t="str">
        <f>IF(E7=0,"",IF(G7&gt;S7,"No","Yes"))</f>
        <v>Yes</v>
      </c>
      <c r="L7" s="250">
        <v>1</v>
      </c>
      <c r="M7" s="251" t="s">
        <v>236</v>
      </c>
      <c r="N7" s="251" t="s">
        <v>235</v>
      </c>
      <c r="O7" s="251"/>
      <c r="P7" s="251" t="s">
        <v>235</v>
      </c>
      <c r="Q7" s="251"/>
      <c r="R7" s="251" t="s">
        <v>247</v>
      </c>
      <c r="S7" s="252">
        <f>IF(OR(L7="",L7&lt;0,L7&gt;5),"",VLOOKUP(R7,Requirements!$K$17:$Q$27,L7+2,FALSE))</f>
        <v>800</v>
      </c>
      <c r="T7" s="253">
        <v>0.95</v>
      </c>
      <c r="U7" s="251" t="s">
        <v>260</v>
      </c>
      <c r="V7" s="252">
        <f>IF(OR(L7="",L7&lt;0,L7&gt;5),"",VLOOKUP(U7,Requirements!$K$35:$Q$44,L7+2,FALSE))</f>
        <v>65</v>
      </c>
      <c r="X7" s="252">
        <f t="shared" ref="X7:X30" si="0">IF(OR(M7="Yes",N7="Yes"),I7,0)</f>
        <v>695</v>
      </c>
      <c r="Y7" s="252">
        <f t="shared" ref="Y7:Y30" si="1">IF(E7=0,0,I7-X7-Z7)</f>
        <v>0</v>
      </c>
      <c r="Z7" s="252">
        <f>IF(O7="Yes",I7,0)</f>
        <v>0</v>
      </c>
      <c r="AA7" s="252">
        <f>IF(OR(E7=0,X7=0),0,INDEX(Requirements!$L$19:$Q$19,'Rents and Income'!L7+1))</f>
        <v>900</v>
      </c>
      <c r="AB7" s="252">
        <f>IF(OR(E7=0,Y7=0),0,INDEX(Requirements!$L$19:$Q$19,'Rents and Income'!L7+1))</f>
        <v>0</v>
      </c>
      <c r="AC7" s="332">
        <f>IF(P7="Yes",E7*F7,0)</f>
        <v>9600</v>
      </c>
      <c r="AD7" s="332">
        <f>IF(OR(M7="Yes",N7="Yes"),E7*F7,0)</f>
        <v>9600</v>
      </c>
      <c r="AE7" s="252">
        <f>IF(OR($M7="Yes",$N7="Yes"),INDEX(Requirements!$E$11:$E$16,L7+1),0)</f>
        <v>125000</v>
      </c>
      <c r="AF7" s="252">
        <f>IF(OR($M7="Yes",$N7="Yes"),AE7*E7,0)</f>
        <v>2000000</v>
      </c>
      <c r="AH7" s="551" t="str">
        <f t="shared" ref="AH7:AH30" si="2">IF(AND(M7="Yes",N7="Yes"),"ERROR: Units cannot be both Low HOME AND High HOME","")</f>
        <v/>
      </c>
      <c r="AI7" s="202" t="str">
        <f>IF(OR($R7=0,$S7=0,$T7=0,$T7=""),"",TEXT($T7,"0%")&amp;" of "&amp;TRIM($R7))</f>
        <v>95% of High HOME</v>
      </c>
      <c r="AO7"/>
      <c r="AP7"/>
    </row>
    <row r="8" spans="1:42" s="4" customFormat="1" x14ac:dyDescent="0.2">
      <c r="C8" s="597" t="str">
        <f t="shared" ref="C8:C30" si="3">IF(OR(E8=0,E8=""),"",L8&amp;" BR "&amp;IF(M8="Yes","Low HOME ","")&amp;IF(N8="Yes","High HOME ","")&amp;IF(O8="Yes","Market ","")&amp;IF(P8="Yes","LIHTC ","")&amp;IF(Q8="Yes","CDBG ",""))</f>
        <v xml:space="preserve">1 BR Low HOME LIHTC </v>
      </c>
      <c r="D8" s="630" t="str">
        <f t="shared" ref="D8:D30" si="4">+AI8</f>
        <v>95% of Low HOME</v>
      </c>
      <c r="E8" s="414">
        <v>4</v>
      </c>
      <c r="F8" s="414">
        <v>600</v>
      </c>
      <c r="G8" s="413">
        <f t="shared" ref="G8:G30" si="5">IF(E8=0,"",ROUND(S8*T8,0))</f>
        <v>428</v>
      </c>
      <c r="H8" s="413">
        <f t="shared" ref="H8:H30" si="6">IF(E8=0,"",V8)</f>
        <v>65</v>
      </c>
      <c r="I8" s="413">
        <f t="shared" ref="I8:I30" si="7">IF(E8=0,"",G8-H8)</f>
        <v>363</v>
      </c>
      <c r="J8" s="256" t="str">
        <f t="shared" ref="J8:J30" si="8">IF(E8=0,"",IF(G8&gt;S8,"No","Yes"))</f>
        <v>Yes</v>
      </c>
      <c r="L8" s="250">
        <v>1</v>
      </c>
      <c r="M8" s="251" t="s">
        <v>235</v>
      </c>
      <c r="N8" s="251" t="s">
        <v>236</v>
      </c>
      <c r="O8" s="251"/>
      <c r="P8" s="251" t="s">
        <v>235</v>
      </c>
      <c r="Q8" s="251"/>
      <c r="R8" s="251" t="s">
        <v>246</v>
      </c>
      <c r="S8" s="252">
        <f>IF(OR(L8="",L8&lt;0,L8&gt;5),"",VLOOKUP(R8,Requirements!$K$17:$Q$27,L8+2,FALSE))</f>
        <v>450</v>
      </c>
      <c r="T8" s="253">
        <f>IF(E8=0,"",IF(OR($T$7="",$T$7=100%),100%,$T$7))</f>
        <v>0.95</v>
      </c>
      <c r="U8" s="251" t="s">
        <v>260</v>
      </c>
      <c r="V8" s="252">
        <f>IF(OR(L8="",L8&lt;0,L8&gt;5),"",VLOOKUP(U8,Requirements!$K$35:$Q$44,L8+2,FALSE))</f>
        <v>65</v>
      </c>
      <c r="X8" s="252">
        <f t="shared" si="0"/>
        <v>363</v>
      </c>
      <c r="Y8" s="252">
        <f t="shared" si="1"/>
        <v>0</v>
      </c>
      <c r="Z8" s="252">
        <f t="shared" ref="Z8:Z30" si="9">IF(O8="Yes",I8,0)</f>
        <v>0</v>
      </c>
      <c r="AA8" s="252">
        <f>IF(OR(E8=0,X8=0),0,INDEX(Requirements!$L$19:$Q$19,'Rents and Income'!L8+1))</f>
        <v>900</v>
      </c>
      <c r="AB8" s="252">
        <f>IF(OR(E8=0,Y8=0),0,INDEX(Requirements!$L$19:$Q$19,'Rents and Income'!L8+1))</f>
        <v>0</v>
      </c>
      <c r="AC8" s="332">
        <f t="shared" ref="AC8:AC30" si="10">IF(P8="Yes",E8*F8,0)</f>
        <v>2400</v>
      </c>
      <c r="AD8" s="332">
        <f t="shared" ref="AD8:AD30" si="11">IF(OR(M8="Yes",N8="Yes"),E8*F8,0)</f>
        <v>2400</v>
      </c>
      <c r="AE8" s="252">
        <f>IF(OR(M8="Yes",N8="Yes"),INDEX(Requirements!$E$11:$E$16,L8+1),0)</f>
        <v>125000</v>
      </c>
      <c r="AF8" s="252">
        <f t="shared" ref="AF8:AF30" si="12">IF(OR($M8="Yes",$N8="Yes"),AE8*E8,0)</f>
        <v>500000</v>
      </c>
      <c r="AH8" s="551" t="str">
        <f t="shared" si="2"/>
        <v/>
      </c>
      <c r="AI8" s="202" t="str">
        <f t="shared" ref="AI8:AI30" si="13">IF(OR($R8=0,$S8=0,$T8=0,$T8=""),"",TEXT($T8,"0%")&amp;" of "&amp;TRIM($R8))</f>
        <v>95% of Low HOME</v>
      </c>
      <c r="AO8"/>
      <c r="AP8"/>
    </row>
    <row r="9" spans="1:42" s="4" customFormat="1" x14ac:dyDescent="0.2">
      <c r="C9" s="597" t="str">
        <f t="shared" si="3"/>
        <v/>
      </c>
      <c r="D9" s="630" t="str">
        <f t="shared" si="4"/>
        <v/>
      </c>
      <c r="E9" s="414"/>
      <c r="F9" s="414"/>
      <c r="G9" s="413" t="str">
        <f t="shared" si="5"/>
        <v/>
      </c>
      <c r="H9" s="413" t="str">
        <f t="shared" si="6"/>
        <v/>
      </c>
      <c r="I9" s="413" t="str">
        <f t="shared" si="7"/>
        <v/>
      </c>
      <c r="J9" s="256" t="str">
        <f t="shared" si="8"/>
        <v/>
      </c>
      <c r="K9" s="18"/>
      <c r="L9" s="250"/>
      <c r="M9" s="251"/>
      <c r="N9" s="251"/>
      <c r="O9" s="251"/>
      <c r="P9" s="251"/>
      <c r="Q9" s="251"/>
      <c r="R9" s="251"/>
      <c r="S9" s="252" t="str">
        <f>IF(OR(L9="",L9&lt;0,L9&gt;5),"",VLOOKUP(R9,Requirements!$K$17:$Q$27,L9+2,FALSE))</f>
        <v/>
      </c>
      <c r="T9" s="253" t="str">
        <f t="shared" ref="T9:T30" si="14">IF(E9=0,"",IF(OR($T$7="",$T$7=100%),100%,$T$7))</f>
        <v/>
      </c>
      <c r="U9" s="251"/>
      <c r="V9" s="252" t="str">
        <f>IF(OR(L9="",L9&lt;0,L9&gt;5),"",VLOOKUP(U9,Requirements!$K$35:$Q$44,L9+2,FALSE))</f>
        <v/>
      </c>
      <c r="W9" s="18"/>
      <c r="X9" s="252">
        <f t="shared" si="0"/>
        <v>0</v>
      </c>
      <c r="Y9" s="252">
        <f t="shared" si="1"/>
        <v>0</v>
      </c>
      <c r="Z9" s="252">
        <f t="shared" si="9"/>
        <v>0</v>
      </c>
      <c r="AA9" s="252">
        <f>IF(OR(E9=0,X9=0),0,INDEX(Requirements!$L$19:$Q$19,'Rents and Income'!L9+1))</f>
        <v>0</v>
      </c>
      <c r="AB9" s="252">
        <f>IF(OR(E9=0,Y9=0),0,INDEX(Requirements!$L$19:$Q$19,'Rents and Income'!L9+1))</f>
        <v>0</v>
      </c>
      <c r="AC9" s="332">
        <f t="shared" si="10"/>
        <v>0</v>
      </c>
      <c r="AD9" s="332">
        <f t="shared" si="11"/>
        <v>0</v>
      </c>
      <c r="AE9" s="252">
        <f>IF(OR(M9="Yes",N9="Yes"),INDEX(Requirements!$E$11:$E$16,L9+1),0)</f>
        <v>0</v>
      </c>
      <c r="AF9" s="252">
        <f t="shared" si="12"/>
        <v>0</v>
      </c>
      <c r="AH9" s="551" t="str">
        <f t="shared" si="2"/>
        <v/>
      </c>
      <c r="AI9" s="202" t="str">
        <f t="shared" si="13"/>
        <v/>
      </c>
      <c r="AO9"/>
      <c r="AP9"/>
    </row>
    <row r="10" spans="1:42" s="4" customFormat="1" x14ac:dyDescent="0.2">
      <c r="C10" s="597" t="str">
        <f t="shared" si="3"/>
        <v/>
      </c>
      <c r="D10" s="630" t="str">
        <f t="shared" si="4"/>
        <v/>
      </c>
      <c r="E10" s="414"/>
      <c r="F10" s="414"/>
      <c r="G10" s="413" t="str">
        <f t="shared" si="5"/>
        <v/>
      </c>
      <c r="H10" s="413" t="str">
        <f t="shared" si="6"/>
        <v/>
      </c>
      <c r="I10" s="413" t="str">
        <f t="shared" si="7"/>
        <v/>
      </c>
      <c r="J10" s="256" t="str">
        <f t="shared" si="8"/>
        <v/>
      </c>
      <c r="K10" s="18"/>
      <c r="L10" s="250"/>
      <c r="M10" s="251"/>
      <c r="N10" s="251"/>
      <c r="O10" s="251"/>
      <c r="P10" s="251"/>
      <c r="Q10" s="251"/>
      <c r="R10" s="251"/>
      <c r="S10" s="252" t="str">
        <f>IF(OR(L10="",L10&lt;0,L10&gt;5),"",VLOOKUP(R10,Requirements!$K$17:$Q$27,L10+2,FALSE))</f>
        <v/>
      </c>
      <c r="T10" s="253" t="str">
        <f t="shared" si="14"/>
        <v/>
      </c>
      <c r="U10" s="251"/>
      <c r="V10" s="252" t="str">
        <f>IF(OR(L10="",L10&lt;0,L10&gt;5),"",VLOOKUP(U10,Requirements!$K$35:$Q$44,L10+2,FALSE))</f>
        <v/>
      </c>
      <c r="W10" s="18"/>
      <c r="X10" s="252">
        <f t="shared" si="0"/>
        <v>0</v>
      </c>
      <c r="Y10" s="252">
        <f t="shared" si="1"/>
        <v>0</v>
      </c>
      <c r="Z10" s="252">
        <f t="shared" si="9"/>
        <v>0</v>
      </c>
      <c r="AA10" s="252">
        <f>IF(OR(E10=0,X10=0),0,INDEX(Requirements!$L$19:$Q$19,'Rents and Income'!L10+1))</f>
        <v>0</v>
      </c>
      <c r="AB10" s="252">
        <f>IF(OR(E10=0,Y10=0),0,INDEX(Requirements!$L$19:$Q$19,'Rents and Income'!L10+1))</f>
        <v>0</v>
      </c>
      <c r="AC10" s="332">
        <f t="shared" si="10"/>
        <v>0</v>
      </c>
      <c r="AD10" s="332">
        <f t="shared" si="11"/>
        <v>0</v>
      </c>
      <c r="AE10" s="252">
        <f>IF(OR(M10="Yes",N10="Yes"),INDEX(Requirements!$E$11:$E$16,L10+1),0)</f>
        <v>0</v>
      </c>
      <c r="AF10" s="252">
        <f t="shared" si="12"/>
        <v>0</v>
      </c>
      <c r="AH10" s="551" t="str">
        <f t="shared" si="2"/>
        <v/>
      </c>
      <c r="AI10" s="202" t="str">
        <f t="shared" si="13"/>
        <v/>
      </c>
      <c r="AO10"/>
      <c r="AP10"/>
    </row>
    <row r="11" spans="1:42" s="4" customFormat="1" x14ac:dyDescent="0.2">
      <c r="C11" s="597" t="str">
        <f t="shared" si="3"/>
        <v/>
      </c>
      <c r="D11" s="630" t="str">
        <f t="shared" si="4"/>
        <v/>
      </c>
      <c r="E11" s="414"/>
      <c r="F11" s="414"/>
      <c r="G11" s="413" t="str">
        <f t="shared" si="5"/>
        <v/>
      </c>
      <c r="H11" s="413" t="str">
        <f t="shared" si="6"/>
        <v/>
      </c>
      <c r="I11" s="413" t="str">
        <f t="shared" si="7"/>
        <v/>
      </c>
      <c r="J11" s="256" t="str">
        <f t="shared" si="8"/>
        <v/>
      </c>
      <c r="L11" s="250"/>
      <c r="M11" s="251"/>
      <c r="N11" s="251"/>
      <c r="O11" s="251"/>
      <c r="P11" s="251"/>
      <c r="Q11" s="251"/>
      <c r="R11" s="251"/>
      <c r="S11" s="252" t="str">
        <f>IF(OR(L11="",L11&lt;0,L11&gt;5),"",VLOOKUP(R11,Requirements!$K$17:$Q$27,L11+2,FALSE))</f>
        <v/>
      </c>
      <c r="T11" s="253" t="str">
        <f t="shared" si="14"/>
        <v/>
      </c>
      <c r="U11" s="251"/>
      <c r="V11" s="252" t="str">
        <f>IF(OR(L11="",L11&lt;0,L11&gt;5),"",VLOOKUP(U11,Requirements!$K$35:$Q$44,L11+2,FALSE))</f>
        <v/>
      </c>
      <c r="X11" s="252">
        <f t="shared" si="0"/>
        <v>0</v>
      </c>
      <c r="Y11" s="252">
        <f t="shared" si="1"/>
        <v>0</v>
      </c>
      <c r="Z11" s="252">
        <f t="shared" si="9"/>
        <v>0</v>
      </c>
      <c r="AA11" s="252">
        <f>IF(OR(E11=0,X11=0),0,INDEX(Requirements!$L$19:$Q$19,'Rents and Income'!L11+1))</f>
        <v>0</v>
      </c>
      <c r="AB11" s="252">
        <f>IF(OR(E11=0,Y11=0),0,INDEX(Requirements!$L$19:$Q$19,'Rents and Income'!L11+1))</f>
        <v>0</v>
      </c>
      <c r="AC11" s="332">
        <f t="shared" si="10"/>
        <v>0</v>
      </c>
      <c r="AD11" s="332">
        <f t="shared" si="11"/>
        <v>0</v>
      </c>
      <c r="AE11" s="252">
        <f>IF(OR(M11="Yes",N11="Yes"),INDEX(Requirements!$E$11:$E$16,L11+1),0)</f>
        <v>0</v>
      </c>
      <c r="AF11" s="252">
        <f t="shared" si="12"/>
        <v>0</v>
      </c>
      <c r="AH11" s="551" t="str">
        <f t="shared" si="2"/>
        <v/>
      </c>
      <c r="AI11" s="202" t="str">
        <f t="shared" si="13"/>
        <v/>
      </c>
      <c r="AO11"/>
      <c r="AP11"/>
    </row>
    <row r="12" spans="1:42" s="4" customFormat="1" x14ac:dyDescent="0.2">
      <c r="C12" s="597" t="str">
        <f t="shared" si="3"/>
        <v/>
      </c>
      <c r="D12" s="630" t="str">
        <f t="shared" si="4"/>
        <v/>
      </c>
      <c r="E12" s="414"/>
      <c r="F12" s="414"/>
      <c r="G12" s="413" t="str">
        <f t="shared" si="5"/>
        <v/>
      </c>
      <c r="H12" s="413" t="str">
        <f t="shared" si="6"/>
        <v/>
      </c>
      <c r="I12" s="413" t="str">
        <f t="shared" si="7"/>
        <v/>
      </c>
      <c r="J12" s="256" t="str">
        <f t="shared" si="8"/>
        <v/>
      </c>
      <c r="L12" s="250"/>
      <c r="M12" s="251"/>
      <c r="N12" s="251"/>
      <c r="O12" s="251"/>
      <c r="P12" s="251"/>
      <c r="Q12" s="251"/>
      <c r="R12" s="251"/>
      <c r="S12" s="252" t="str">
        <f>IF(OR(L12="",L12&lt;0,L12&gt;5),"",VLOOKUP(R12,Requirements!$K$17:$Q$27,L12+2,FALSE))</f>
        <v/>
      </c>
      <c r="T12" s="253" t="str">
        <f t="shared" si="14"/>
        <v/>
      </c>
      <c r="U12" s="251"/>
      <c r="V12" s="252" t="str">
        <f>IF(OR(L12="",L12&lt;0,L12&gt;5),"",VLOOKUP(U12,Requirements!$K$35:$Q$44,L12+2,FALSE))</f>
        <v/>
      </c>
      <c r="X12" s="252">
        <f t="shared" si="0"/>
        <v>0</v>
      </c>
      <c r="Y12" s="252">
        <f t="shared" si="1"/>
        <v>0</v>
      </c>
      <c r="Z12" s="252">
        <f t="shared" si="9"/>
        <v>0</v>
      </c>
      <c r="AA12" s="252">
        <f>IF(OR(E12=0,X12=0),0,INDEX(Requirements!$L$19:$Q$19,'Rents and Income'!L12+1))</f>
        <v>0</v>
      </c>
      <c r="AB12" s="252">
        <f>IF(OR(E12=0,Y12=0),0,INDEX(Requirements!$L$19:$Q$19,'Rents and Income'!L12+1))</f>
        <v>0</v>
      </c>
      <c r="AC12" s="332">
        <f t="shared" si="10"/>
        <v>0</v>
      </c>
      <c r="AD12" s="332">
        <f t="shared" si="11"/>
        <v>0</v>
      </c>
      <c r="AE12" s="252">
        <f>IF(OR(M12="Yes",N12="Yes"),INDEX(Requirements!$E$11:$E$16,L12+1),0)</f>
        <v>0</v>
      </c>
      <c r="AF12" s="252">
        <f t="shared" si="12"/>
        <v>0</v>
      </c>
      <c r="AH12" s="551" t="str">
        <f t="shared" si="2"/>
        <v/>
      </c>
      <c r="AI12" s="202" t="str">
        <f t="shared" si="13"/>
        <v/>
      </c>
      <c r="AO12"/>
      <c r="AP12"/>
    </row>
    <row r="13" spans="1:42" s="4" customFormat="1" x14ac:dyDescent="0.2">
      <c r="C13" s="597" t="str">
        <f t="shared" si="3"/>
        <v/>
      </c>
      <c r="D13" s="630" t="str">
        <f t="shared" si="4"/>
        <v/>
      </c>
      <c r="E13" s="414"/>
      <c r="F13" s="414"/>
      <c r="G13" s="413" t="str">
        <f t="shared" si="5"/>
        <v/>
      </c>
      <c r="H13" s="413" t="str">
        <f t="shared" si="6"/>
        <v/>
      </c>
      <c r="I13" s="413" t="str">
        <f t="shared" si="7"/>
        <v/>
      </c>
      <c r="J13" s="256" t="str">
        <f t="shared" si="8"/>
        <v/>
      </c>
      <c r="K13" s="18"/>
      <c r="L13" s="250"/>
      <c r="M13" s="251"/>
      <c r="N13" s="251"/>
      <c r="O13" s="251"/>
      <c r="P13" s="251"/>
      <c r="Q13" s="251"/>
      <c r="R13" s="251"/>
      <c r="S13" s="252" t="str">
        <f>IF(OR(L13="",L13&lt;0,L13&gt;5),"",VLOOKUP(R13,Requirements!$K$17:$Q$27,L13+2,FALSE))</f>
        <v/>
      </c>
      <c r="T13" s="253" t="str">
        <f t="shared" si="14"/>
        <v/>
      </c>
      <c r="U13" s="251"/>
      <c r="V13" s="252" t="str">
        <f>IF(OR(L13="",L13&lt;0,L13&gt;5),"",VLOOKUP(U13,Requirements!$K$35:$Q$44,L13+2,FALSE))</f>
        <v/>
      </c>
      <c r="W13" s="18"/>
      <c r="X13" s="252">
        <f t="shared" si="0"/>
        <v>0</v>
      </c>
      <c r="Y13" s="252">
        <f t="shared" si="1"/>
        <v>0</v>
      </c>
      <c r="Z13" s="252">
        <f t="shared" si="9"/>
        <v>0</v>
      </c>
      <c r="AA13" s="252">
        <f>IF(OR(E13=0,X13=0),0,INDEX(Requirements!$L$19:$Q$19,'Rents and Income'!L13+1))</f>
        <v>0</v>
      </c>
      <c r="AB13" s="252">
        <f>IF(OR(E13=0,Y13=0),0,INDEX(Requirements!$L$19:$Q$19,'Rents and Income'!L13+1))</f>
        <v>0</v>
      </c>
      <c r="AC13" s="332">
        <f t="shared" si="10"/>
        <v>0</v>
      </c>
      <c r="AD13" s="332">
        <f t="shared" si="11"/>
        <v>0</v>
      </c>
      <c r="AE13" s="252">
        <f>IF(OR(M13="Yes",N13="Yes"),INDEX(Requirements!$E$11:$E$16,L13+1),0)</f>
        <v>0</v>
      </c>
      <c r="AF13" s="252">
        <f t="shared" si="12"/>
        <v>0</v>
      </c>
      <c r="AH13" s="551" t="str">
        <f t="shared" si="2"/>
        <v/>
      </c>
      <c r="AI13" s="202" t="str">
        <f t="shared" si="13"/>
        <v/>
      </c>
      <c r="AO13"/>
      <c r="AP13"/>
    </row>
    <row r="14" spans="1:42" s="4" customFormat="1" ht="15" customHeight="1" x14ac:dyDescent="0.2">
      <c r="C14" s="597" t="str">
        <f t="shared" si="3"/>
        <v/>
      </c>
      <c r="D14" s="630" t="str">
        <f t="shared" si="4"/>
        <v/>
      </c>
      <c r="E14" s="414"/>
      <c r="F14" s="414"/>
      <c r="G14" s="413" t="str">
        <f t="shared" si="5"/>
        <v/>
      </c>
      <c r="H14" s="413" t="str">
        <f t="shared" si="6"/>
        <v/>
      </c>
      <c r="I14" s="413" t="str">
        <f t="shared" si="7"/>
        <v/>
      </c>
      <c r="J14" s="256" t="str">
        <f t="shared" si="8"/>
        <v/>
      </c>
      <c r="K14" s="18"/>
      <c r="L14" s="250"/>
      <c r="M14" s="251"/>
      <c r="N14" s="251"/>
      <c r="O14" s="251"/>
      <c r="P14" s="251"/>
      <c r="Q14" s="251"/>
      <c r="R14" s="251"/>
      <c r="S14" s="252" t="str">
        <f>IF(OR(L14="",L14&lt;0,L14&gt;5),"",VLOOKUP(R14,Requirements!$K$17:$Q$27,L14+2,FALSE))</f>
        <v/>
      </c>
      <c r="T14" s="253" t="str">
        <f t="shared" si="14"/>
        <v/>
      </c>
      <c r="U14" s="251"/>
      <c r="V14" s="252" t="str">
        <f>IF(OR(L14="",L14&lt;0,L14&gt;5),"",VLOOKUP(U14,Requirements!$K$35:$Q$44,L14+2,FALSE))</f>
        <v/>
      </c>
      <c r="W14" s="18"/>
      <c r="X14" s="252">
        <f t="shared" si="0"/>
        <v>0</v>
      </c>
      <c r="Y14" s="252">
        <f t="shared" si="1"/>
        <v>0</v>
      </c>
      <c r="Z14" s="252">
        <f t="shared" si="9"/>
        <v>0</v>
      </c>
      <c r="AA14" s="252">
        <f>IF(OR(E14=0,X14=0),0,INDEX(Requirements!$L$19:$Q$19,'Rents and Income'!L14+1))</f>
        <v>0</v>
      </c>
      <c r="AB14" s="252">
        <f>IF(OR(E14=0,Y14=0),0,INDEX(Requirements!$L$19:$Q$19,'Rents and Income'!L14+1))</f>
        <v>0</v>
      </c>
      <c r="AC14" s="332">
        <f t="shared" si="10"/>
        <v>0</v>
      </c>
      <c r="AD14" s="332">
        <f t="shared" si="11"/>
        <v>0</v>
      </c>
      <c r="AE14" s="252">
        <f>IF(OR(M14="Yes",N14="Yes"),INDEX(Requirements!$E$11:$E$16,L14+1),0)</f>
        <v>0</v>
      </c>
      <c r="AF14" s="252">
        <f t="shared" si="12"/>
        <v>0</v>
      </c>
      <c r="AH14" s="551" t="str">
        <f t="shared" si="2"/>
        <v/>
      </c>
      <c r="AI14" s="202" t="str">
        <f t="shared" si="13"/>
        <v/>
      </c>
      <c r="AO14"/>
      <c r="AP14"/>
    </row>
    <row r="15" spans="1:42" s="4" customFormat="1" x14ac:dyDescent="0.2">
      <c r="C15" s="597" t="str">
        <f t="shared" si="3"/>
        <v/>
      </c>
      <c r="D15" s="630" t="str">
        <f t="shared" si="4"/>
        <v/>
      </c>
      <c r="E15" s="414"/>
      <c r="F15" s="414"/>
      <c r="G15" s="413" t="str">
        <f t="shared" si="5"/>
        <v/>
      </c>
      <c r="H15" s="413" t="str">
        <f t="shared" si="6"/>
        <v/>
      </c>
      <c r="I15" s="413" t="str">
        <f t="shared" si="7"/>
        <v/>
      </c>
      <c r="J15" s="256" t="str">
        <f t="shared" si="8"/>
        <v/>
      </c>
      <c r="L15" s="250"/>
      <c r="M15" s="251"/>
      <c r="N15" s="251"/>
      <c r="O15" s="251"/>
      <c r="P15" s="251"/>
      <c r="Q15" s="251"/>
      <c r="R15" s="251"/>
      <c r="S15" s="252" t="str">
        <f>IF(OR(L15="",L15&lt;0,L15&gt;5),"",VLOOKUP(R15,Requirements!$K$17:$Q$27,L15+2,FALSE))</f>
        <v/>
      </c>
      <c r="T15" s="253" t="str">
        <f t="shared" si="14"/>
        <v/>
      </c>
      <c r="U15" s="251"/>
      <c r="V15" s="252" t="str">
        <f>IF(OR(L15="",L15&lt;0,L15&gt;5),"",VLOOKUP(U15,Requirements!$K$35:$Q$44,L15+2,FALSE))</f>
        <v/>
      </c>
      <c r="X15" s="252">
        <f t="shared" si="0"/>
        <v>0</v>
      </c>
      <c r="Y15" s="252">
        <f t="shared" si="1"/>
        <v>0</v>
      </c>
      <c r="Z15" s="252">
        <f t="shared" si="9"/>
        <v>0</v>
      </c>
      <c r="AA15" s="252">
        <f>IF(OR(E15=0,X15=0),0,INDEX(Requirements!$L$19:$Q$19,'Rents and Income'!L15+1))</f>
        <v>0</v>
      </c>
      <c r="AB15" s="252">
        <f>IF(OR(E15=0,Y15=0),0,INDEX(Requirements!$L$19:$Q$19,'Rents and Income'!L15+1))</f>
        <v>0</v>
      </c>
      <c r="AC15" s="332">
        <f t="shared" si="10"/>
        <v>0</v>
      </c>
      <c r="AD15" s="332">
        <f t="shared" si="11"/>
        <v>0</v>
      </c>
      <c r="AE15" s="252">
        <f>IF(OR(M15="Yes",N15="Yes"),INDEX(Requirements!$E$11:$E$16,L15+1),0)</f>
        <v>0</v>
      </c>
      <c r="AF15" s="252">
        <f t="shared" si="12"/>
        <v>0</v>
      </c>
      <c r="AH15" s="551" t="str">
        <f t="shared" si="2"/>
        <v/>
      </c>
      <c r="AI15" s="202" t="str">
        <f t="shared" si="13"/>
        <v/>
      </c>
      <c r="AO15"/>
      <c r="AP15"/>
    </row>
    <row r="16" spans="1:42" s="4" customFormat="1" x14ac:dyDescent="0.2">
      <c r="C16" s="597" t="str">
        <f t="shared" si="3"/>
        <v/>
      </c>
      <c r="D16" s="630" t="str">
        <f t="shared" si="4"/>
        <v/>
      </c>
      <c r="E16" s="414"/>
      <c r="F16" s="414"/>
      <c r="G16" s="413" t="str">
        <f t="shared" si="5"/>
        <v/>
      </c>
      <c r="H16" s="413" t="str">
        <f t="shared" si="6"/>
        <v/>
      </c>
      <c r="I16" s="413" t="str">
        <f t="shared" si="7"/>
        <v/>
      </c>
      <c r="J16" s="256" t="str">
        <f t="shared" si="8"/>
        <v/>
      </c>
      <c r="L16" s="250"/>
      <c r="M16" s="251"/>
      <c r="N16" s="251"/>
      <c r="O16" s="251"/>
      <c r="P16" s="251"/>
      <c r="Q16" s="251"/>
      <c r="R16" s="251"/>
      <c r="S16" s="252" t="str">
        <f>IF(OR(L16="",L16&lt;0,L16&gt;5),"",VLOOKUP(R16,Requirements!$K$17:$Q$27,L16+2,FALSE))</f>
        <v/>
      </c>
      <c r="T16" s="253" t="str">
        <f t="shared" si="14"/>
        <v/>
      </c>
      <c r="U16" s="251"/>
      <c r="V16" s="252" t="str">
        <f>IF(OR(L16="",L16&lt;0,L16&gt;5),"",VLOOKUP(U16,Requirements!$K$35:$Q$44,L16+2,FALSE))</f>
        <v/>
      </c>
      <c r="X16" s="252">
        <f t="shared" si="0"/>
        <v>0</v>
      </c>
      <c r="Y16" s="252">
        <f t="shared" si="1"/>
        <v>0</v>
      </c>
      <c r="Z16" s="252">
        <f t="shared" si="9"/>
        <v>0</v>
      </c>
      <c r="AA16" s="252">
        <f>IF(OR(E16=0,X16=0),0,INDEX(Requirements!$L$19:$Q$19,'Rents and Income'!L16+1))</f>
        <v>0</v>
      </c>
      <c r="AB16" s="252">
        <f>IF(OR(E16=0,Y16=0),0,INDEX(Requirements!$L$19:$Q$19,'Rents and Income'!L16+1))</f>
        <v>0</v>
      </c>
      <c r="AC16" s="332">
        <f t="shared" si="10"/>
        <v>0</v>
      </c>
      <c r="AD16" s="332">
        <f t="shared" si="11"/>
        <v>0</v>
      </c>
      <c r="AE16" s="252">
        <f>IF(OR(M16="Yes",N16="Yes"),INDEX(Requirements!$E$11:$E$16,L16+1),0)</f>
        <v>0</v>
      </c>
      <c r="AF16" s="252">
        <f t="shared" si="12"/>
        <v>0</v>
      </c>
      <c r="AH16" s="551" t="str">
        <f t="shared" si="2"/>
        <v/>
      </c>
      <c r="AI16" s="202" t="str">
        <f t="shared" si="13"/>
        <v/>
      </c>
      <c r="AO16"/>
      <c r="AP16"/>
    </row>
    <row r="17" spans="3:42" s="4" customFormat="1" x14ac:dyDescent="0.2">
      <c r="C17" s="597" t="str">
        <f t="shared" si="3"/>
        <v/>
      </c>
      <c r="D17" s="630" t="str">
        <f t="shared" si="4"/>
        <v/>
      </c>
      <c r="E17" s="414"/>
      <c r="F17" s="414"/>
      <c r="G17" s="413" t="str">
        <f t="shared" si="5"/>
        <v/>
      </c>
      <c r="H17" s="413" t="str">
        <f t="shared" si="6"/>
        <v/>
      </c>
      <c r="I17" s="413" t="str">
        <f t="shared" si="7"/>
        <v/>
      </c>
      <c r="J17" s="256" t="str">
        <f t="shared" si="8"/>
        <v/>
      </c>
      <c r="L17" s="250"/>
      <c r="M17" s="251"/>
      <c r="N17" s="251"/>
      <c r="O17" s="251"/>
      <c r="P17" s="251"/>
      <c r="Q17" s="251"/>
      <c r="R17" s="251"/>
      <c r="S17" s="252" t="str">
        <f>IF(OR(L17="",L17&lt;0,L17&gt;5),"",VLOOKUP(R17,Requirements!$K$17:$Q$27,L17+2,FALSE))</f>
        <v/>
      </c>
      <c r="T17" s="253" t="str">
        <f t="shared" si="14"/>
        <v/>
      </c>
      <c r="U17" s="251"/>
      <c r="V17" s="252" t="str">
        <f>IF(OR(L17="",L17&lt;0,L17&gt;5),"",VLOOKUP(U17,Requirements!$K$35:$Q$44,L17+2,FALSE))</f>
        <v/>
      </c>
      <c r="X17" s="252">
        <f t="shared" si="0"/>
        <v>0</v>
      </c>
      <c r="Y17" s="252">
        <f t="shared" si="1"/>
        <v>0</v>
      </c>
      <c r="Z17" s="252">
        <f t="shared" si="9"/>
        <v>0</v>
      </c>
      <c r="AA17" s="252">
        <f>IF(OR(E17=0,X17=0),0,INDEX(Requirements!$L$19:$Q$19,'Rents and Income'!L17+1))</f>
        <v>0</v>
      </c>
      <c r="AB17" s="252">
        <f>IF(OR(E17=0,Y17=0),0,INDEX(Requirements!$L$19:$Q$19,'Rents and Income'!L17+1))</f>
        <v>0</v>
      </c>
      <c r="AC17" s="332">
        <f t="shared" si="10"/>
        <v>0</v>
      </c>
      <c r="AD17" s="332">
        <f t="shared" si="11"/>
        <v>0</v>
      </c>
      <c r="AE17" s="252">
        <f>IF(OR(M17="Yes",N17="Yes"),INDEX(Requirements!$E$11:$E$16,L17+1),0)</f>
        <v>0</v>
      </c>
      <c r="AF17" s="252">
        <f t="shared" si="12"/>
        <v>0</v>
      </c>
      <c r="AH17" s="551" t="str">
        <f t="shared" si="2"/>
        <v/>
      </c>
      <c r="AI17" s="202" t="str">
        <f t="shared" si="13"/>
        <v/>
      </c>
      <c r="AO17"/>
      <c r="AP17"/>
    </row>
    <row r="18" spans="3:42" s="4" customFormat="1" ht="15" customHeight="1" x14ac:dyDescent="0.2">
      <c r="C18" s="597" t="str">
        <f t="shared" si="3"/>
        <v/>
      </c>
      <c r="D18" s="630" t="str">
        <f t="shared" si="4"/>
        <v/>
      </c>
      <c r="E18" s="414"/>
      <c r="F18" s="414"/>
      <c r="G18" s="413" t="str">
        <f t="shared" si="5"/>
        <v/>
      </c>
      <c r="H18" s="413" t="str">
        <f t="shared" si="6"/>
        <v/>
      </c>
      <c r="I18" s="413" t="str">
        <f t="shared" si="7"/>
        <v/>
      </c>
      <c r="J18" s="256" t="str">
        <f t="shared" si="8"/>
        <v/>
      </c>
      <c r="L18" s="250"/>
      <c r="M18" s="251"/>
      <c r="N18" s="251"/>
      <c r="O18" s="251"/>
      <c r="P18" s="251"/>
      <c r="Q18" s="251"/>
      <c r="R18" s="251"/>
      <c r="S18" s="252" t="str">
        <f>IF(OR(L18="",L18&lt;0,L18&gt;5),"",VLOOKUP(R18,Requirements!$K$17:$Q$27,L18+2,FALSE))</f>
        <v/>
      </c>
      <c r="T18" s="253" t="str">
        <f t="shared" si="14"/>
        <v/>
      </c>
      <c r="U18" s="251"/>
      <c r="V18" s="252" t="str">
        <f>IF(OR(L18="",L18&lt;0,L18&gt;5),"",VLOOKUP(U18,Requirements!$K$35:$Q$44,L18+2,FALSE))</f>
        <v/>
      </c>
      <c r="X18" s="252">
        <f t="shared" si="0"/>
        <v>0</v>
      </c>
      <c r="Y18" s="252">
        <f t="shared" si="1"/>
        <v>0</v>
      </c>
      <c r="Z18" s="252">
        <f t="shared" si="9"/>
        <v>0</v>
      </c>
      <c r="AA18" s="252">
        <f>IF(OR(E18=0,X18=0),0,INDEX(Requirements!$L$19:$Q$19,'Rents and Income'!L18+1))</f>
        <v>0</v>
      </c>
      <c r="AB18" s="252">
        <f>IF(OR(E18=0,Y18=0),0,INDEX(Requirements!$L$19:$Q$19,'Rents and Income'!L18+1))</f>
        <v>0</v>
      </c>
      <c r="AC18" s="332">
        <f t="shared" si="10"/>
        <v>0</v>
      </c>
      <c r="AD18" s="332">
        <f t="shared" si="11"/>
        <v>0</v>
      </c>
      <c r="AE18" s="252">
        <f>IF(OR(M18="Yes",N18="Yes"),INDEX(Requirements!$E$11:$E$16,L18+1),0)</f>
        <v>0</v>
      </c>
      <c r="AF18" s="252">
        <f t="shared" si="12"/>
        <v>0</v>
      </c>
      <c r="AH18" s="551" t="str">
        <f t="shared" si="2"/>
        <v/>
      </c>
      <c r="AI18" s="202" t="str">
        <f t="shared" si="13"/>
        <v/>
      </c>
      <c r="AO18"/>
      <c r="AP18"/>
    </row>
    <row r="19" spans="3:42" s="4" customFormat="1" x14ac:dyDescent="0.2">
      <c r="C19" s="597" t="str">
        <f t="shared" si="3"/>
        <v/>
      </c>
      <c r="D19" s="630" t="str">
        <f t="shared" si="4"/>
        <v/>
      </c>
      <c r="E19" s="414"/>
      <c r="F19" s="414"/>
      <c r="G19" s="413" t="str">
        <f t="shared" si="5"/>
        <v/>
      </c>
      <c r="H19" s="413" t="str">
        <f t="shared" si="6"/>
        <v/>
      </c>
      <c r="I19" s="413" t="str">
        <f t="shared" si="7"/>
        <v/>
      </c>
      <c r="J19" s="256" t="str">
        <f t="shared" si="8"/>
        <v/>
      </c>
      <c r="L19" s="250"/>
      <c r="M19" s="251"/>
      <c r="N19" s="251"/>
      <c r="O19" s="251"/>
      <c r="P19" s="251"/>
      <c r="Q19" s="251"/>
      <c r="R19" s="251"/>
      <c r="S19" s="252" t="str">
        <f>IF(OR(L19="",L19&lt;0,L19&gt;5),"",VLOOKUP(R19,Requirements!$K$17:$Q$27,L19+2,FALSE))</f>
        <v/>
      </c>
      <c r="T19" s="253" t="str">
        <f t="shared" si="14"/>
        <v/>
      </c>
      <c r="U19" s="251"/>
      <c r="V19" s="252" t="str">
        <f>IF(OR(L19="",L19&lt;0,L19&gt;5),"",VLOOKUP(U19,Requirements!$K$35:$Q$44,L19+2,FALSE))</f>
        <v/>
      </c>
      <c r="X19" s="252">
        <f t="shared" si="0"/>
        <v>0</v>
      </c>
      <c r="Y19" s="252">
        <f t="shared" si="1"/>
        <v>0</v>
      </c>
      <c r="Z19" s="252">
        <f t="shared" si="9"/>
        <v>0</v>
      </c>
      <c r="AA19" s="252">
        <f>IF(OR(E19=0,X19=0),0,INDEX(Requirements!$L$19:$Q$19,'Rents and Income'!L19+1))</f>
        <v>0</v>
      </c>
      <c r="AB19" s="252">
        <f>IF(OR(E19=0,Y19=0),0,INDEX(Requirements!$L$19:$Q$19,'Rents and Income'!L19+1))</f>
        <v>0</v>
      </c>
      <c r="AC19" s="332">
        <f t="shared" si="10"/>
        <v>0</v>
      </c>
      <c r="AD19" s="332">
        <f t="shared" si="11"/>
        <v>0</v>
      </c>
      <c r="AE19" s="252">
        <f>IF(OR(M19="Yes",N19="Yes"),INDEX(Requirements!$E$11:$E$16,L19+1),0)</f>
        <v>0</v>
      </c>
      <c r="AF19" s="252">
        <f t="shared" si="12"/>
        <v>0</v>
      </c>
      <c r="AH19" s="551" t="str">
        <f t="shared" si="2"/>
        <v/>
      </c>
      <c r="AI19" s="202" t="str">
        <f t="shared" si="13"/>
        <v/>
      </c>
      <c r="AO19"/>
      <c r="AP19"/>
    </row>
    <row r="20" spans="3:42" s="4" customFormat="1" x14ac:dyDescent="0.2">
      <c r="C20" s="597" t="str">
        <f t="shared" si="3"/>
        <v/>
      </c>
      <c r="D20" s="630" t="str">
        <f t="shared" si="4"/>
        <v/>
      </c>
      <c r="E20" s="414"/>
      <c r="F20" s="414"/>
      <c r="G20" s="413" t="str">
        <f t="shared" si="5"/>
        <v/>
      </c>
      <c r="H20" s="413" t="str">
        <f t="shared" si="6"/>
        <v/>
      </c>
      <c r="I20" s="413" t="str">
        <f t="shared" si="7"/>
        <v/>
      </c>
      <c r="J20" s="256" t="str">
        <f t="shared" si="8"/>
        <v/>
      </c>
      <c r="L20" s="250"/>
      <c r="M20" s="251"/>
      <c r="N20" s="251"/>
      <c r="O20" s="251"/>
      <c r="P20" s="251"/>
      <c r="Q20" s="251"/>
      <c r="R20" s="251"/>
      <c r="S20" s="252" t="str">
        <f>IF(OR(L20="",L20&lt;0,L20&gt;5),"",VLOOKUP(R20,Requirements!$K$17:$Q$27,L20+2,FALSE))</f>
        <v/>
      </c>
      <c r="T20" s="253" t="str">
        <f t="shared" si="14"/>
        <v/>
      </c>
      <c r="U20" s="251"/>
      <c r="V20" s="252" t="str">
        <f>IF(OR(L20="",L20&lt;0,L20&gt;5),"",VLOOKUP(U20,Requirements!$K$35:$Q$44,L20+2,FALSE))</f>
        <v/>
      </c>
      <c r="X20" s="252">
        <f t="shared" si="0"/>
        <v>0</v>
      </c>
      <c r="Y20" s="252">
        <f t="shared" si="1"/>
        <v>0</v>
      </c>
      <c r="Z20" s="252">
        <f t="shared" si="9"/>
        <v>0</v>
      </c>
      <c r="AA20" s="252">
        <f>IF(OR(E20=0,X20=0),0,INDEX(Requirements!$L$19:$Q$19,'Rents and Income'!L20+1))</f>
        <v>0</v>
      </c>
      <c r="AB20" s="252">
        <f>IF(OR(E20=0,Y20=0),0,INDEX(Requirements!$L$19:$Q$19,'Rents and Income'!L20+1))</f>
        <v>0</v>
      </c>
      <c r="AC20" s="332">
        <f t="shared" si="10"/>
        <v>0</v>
      </c>
      <c r="AD20" s="332">
        <f t="shared" si="11"/>
        <v>0</v>
      </c>
      <c r="AE20" s="252">
        <f>IF(OR(M20="Yes",N20="Yes"),INDEX(Requirements!$E$11:$E$16,L20+1),0)</f>
        <v>0</v>
      </c>
      <c r="AF20" s="252">
        <f t="shared" si="12"/>
        <v>0</v>
      </c>
      <c r="AH20" s="551" t="str">
        <f t="shared" si="2"/>
        <v/>
      </c>
      <c r="AI20" s="202" t="str">
        <f t="shared" si="13"/>
        <v/>
      </c>
      <c r="AO20"/>
      <c r="AP20"/>
    </row>
    <row r="21" spans="3:42" s="4" customFormat="1" x14ac:dyDescent="0.2">
      <c r="C21" s="597" t="str">
        <f t="shared" si="3"/>
        <v/>
      </c>
      <c r="D21" s="630" t="str">
        <f t="shared" si="4"/>
        <v/>
      </c>
      <c r="E21" s="414"/>
      <c r="F21" s="414"/>
      <c r="G21" s="413" t="str">
        <f t="shared" si="5"/>
        <v/>
      </c>
      <c r="H21" s="413" t="str">
        <f t="shared" si="6"/>
        <v/>
      </c>
      <c r="I21" s="413" t="str">
        <f t="shared" si="7"/>
        <v/>
      </c>
      <c r="J21" s="256" t="str">
        <f t="shared" si="8"/>
        <v/>
      </c>
      <c r="L21" s="250"/>
      <c r="M21" s="251"/>
      <c r="N21" s="251"/>
      <c r="O21" s="251"/>
      <c r="P21" s="251"/>
      <c r="Q21" s="251"/>
      <c r="R21" s="251"/>
      <c r="S21" s="252" t="str">
        <f>IF(OR(L21="",L21&lt;0,L21&gt;5),"",VLOOKUP(R21,Requirements!$K$17:$Q$27,L21+2,FALSE))</f>
        <v/>
      </c>
      <c r="T21" s="253" t="str">
        <f t="shared" si="14"/>
        <v/>
      </c>
      <c r="U21" s="251"/>
      <c r="V21" s="252" t="str">
        <f>IF(OR(L21="",L21&lt;0,L21&gt;5),"",VLOOKUP(U21,Requirements!$K$35:$Q$44,L21+2,FALSE))</f>
        <v/>
      </c>
      <c r="X21" s="252">
        <f t="shared" si="0"/>
        <v>0</v>
      </c>
      <c r="Y21" s="252">
        <f t="shared" si="1"/>
        <v>0</v>
      </c>
      <c r="Z21" s="252">
        <f t="shared" si="9"/>
        <v>0</v>
      </c>
      <c r="AA21" s="252">
        <f>IF(OR(E21=0,X21=0),0,INDEX(Requirements!$L$19:$Q$19,'Rents and Income'!L21+1))</f>
        <v>0</v>
      </c>
      <c r="AB21" s="252">
        <f>IF(OR(E21=0,Y21=0),0,INDEX(Requirements!$L$19:$Q$19,'Rents and Income'!L21+1))</f>
        <v>0</v>
      </c>
      <c r="AC21" s="332">
        <f t="shared" si="10"/>
        <v>0</v>
      </c>
      <c r="AD21" s="332">
        <f t="shared" si="11"/>
        <v>0</v>
      </c>
      <c r="AE21" s="252">
        <f>IF(OR(M21="Yes",N21="Yes"),INDEX(Requirements!$E$11:$E$16,L21+1),0)</f>
        <v>0</v>
      </c>
      <c r="AF21" s="252">
        <f t="shared" si="12"/>
        <v>0</v>
      </c>
      <c r="AH21" s="551" t="str">
        <f t="shared" si="2"/>
        <v/>
      </c>
      <c r="AI21" s="202" t="str">
        <f t="shared" si="13"/>
        <v/>
      </c>
      <c r="AO21"/>
      <c r="AP21"/>
    </row>
    <row r="22" spans="3:42" s="4" customFormat="1" ht="15" customHeight="1" x14ac:dyDescent="0.2">
      <c r="C22" s="597" t="str">
        <f t="shared" si="3"/>
        <v/>
      </c>
      <c r="D22" s="630" t="str">
        <f t="shared" si="4"/>
        <v/>
      </c>
      <c r="E22" s="414"/>
      <c r="F22" s="414"/>
      <c r="G22" s="413" t="str">
        <f t="shared" si="5"/>
        <v/>
      </c>
      <c r="H22" s="413" t="str">
        <f t="shared" si="6"/>
        <v/>
      </c>
      <c r="I22" s="413" t="str">
        <f t="shared" si="7"/>
        <v/>
      </c>
      <c r="J22" s="256" t="str">
        <f t="shared" si="8"/>
        <v/>
      </c>
      <c r="L22" s="250"/>
      <c r="M22" s="251"/>
      <c r="N22" s="251"/>
      <c r="O22" s="251"/>
      <c r="P22" s="251"/>
      <c r="Q22" s="251"/>
      <c r="R22" s="251"/>
      <c r="S22" s="252" t="str">
        <f>IF(OR(L22="",L22&lt;0,L22&gt;5),"",VLOOKUP(R22,Requirements!$K$17:$Q$27,L22+2,FALSE))</f>
        <v/>
      </c>
      <c r="T22" s="253" t="str">
        <f t="shared" si="14"/>
        <v/>
      </c>
      <c r="U22" s="251"/>
      <c r="V22" s="252" t="str">
        <f>IF(OR(L22="",L22&lt;0,L22&gt;5),"",VLOOKUP(U22,Requirements!$K$35:$Q$44,L22+2,FALSE))</f>
        <v/>
      </c>
      <c r="X22" s="252">
        <f t="shared" si="0"/>
        <v>0</v>
      </c>
      <c r="Y22" s="252">
        <f t="shared" si="1"/>
        <v>0</v>
      </c>
      <c r="Z22" s="252">
        <f t="shared" si="9"/>
        <v>0</v>
      </c>
      <c r="AA22" s="252">
        <f>IF(OR(E22=0,X22=0),0,INDEX(Requirements!$L$19:$Q$19,'Rents and Income'!L22+1))</f>
        <v>0</v>
      </c>
      <c r="AB22" s="252">
        <f>IF(OR(E22=0,Y22=0),0,INDEX(Requirements!$L$19:$Q$19,'Rents and Income'!L22+1))</f>
        <v>0</v>
      </c>
      <c r="AC22" s="332">
        <f t="shared" si="10"/>
        <v>0</v>
      </c>
      <c r="AD22" s="332">
        <f t="shared" si="11"/>
        <v>0</v>
      </c>
      <c r="AE22" s="252">
        <f>IF(OR(M22="Yes",N22="Yes"),INDEX(Requirements!$E$11:$E$16,L22+1),0)</f>
        <v>0</v>
      </c>
      <c r="AF22" s="252">
        <f t="shared" si="12"/>
        <v>0</v>
      </c>
      <c r="AH22" s="551" t="str">
        <f t="shared" si="2"/>
        <v/>
      </c>
      <c r="AI22" s="202" t="str">
        <f t="shared" si="13"/>
        <v/>
      </c>
      <c r="AO22"/>
      <c r="AP22"/>
    </row>
    <row r="23" spans="3:42" s="4" customFormat="1" x14ac:dyDescent="0.2">
      <c r="C23" s="597" t="str">
        <f t="shared" si="3"/>
        <v/>
      </c>
      <c r="D23" s="630" t="str">
        <f t="shared" si="4"/>
        <v/>
      </c>
      <c r="E23" s="414"/>
      <c r="F23" s="414"/>
      <c r="G23" s="413" t="str">
        <f t="shared" si="5"/>
        <v/>
      </c>
      <c r="H23" s="413" t="str">
        <f t="shared" si="6"/>
        <v/>
      </c>
      <c r="I23" s="413" t="str">
        <f t="shared" si="7"/>
        <v/>
      </c>
      <c r="J23" s="256" t="str">
        <f t="shared" si="8"/>
        <v/>
      </c>
      <c r="L23" s="250"/>
      <c r="M23" s="251"/>
      <c r="N23" s="251"/>
      <c r="O23" s="251"/>
      <c r="P23" s="251"/>
      <c r="Q23" s="251"/>
      <c r="R23" s="251"/>
      <c r="S23" s="252" t="str">
        <f>IF(OR(L23="",L23&lt;0,L23&gt;5),"",VLOOKUP(R23,Requirements!$K$17:$Q$27,L23+2,FALSE))</f>
        <v/>
      </c>
      <c r="T23" s="253" t="str">
        <f t="shared" si="14"/>
        <v/>
      </c>
      <c r="U23" s="251"/>
      <c r="V23" s="252" t="str">
        <f>IF(OR(L23="",L23&lt;0,L23&gt;5),"",VLOOKUP(U23,Requirements!$K$35:$Q$44,L23+2,FALSE))</f>
        <v/>
      </c>
      <c r="X23" s="252">
        <f t="shared" si="0"/>
        <v>0</v>
      </c>
      <c r="Y23" s="252">
        <f t="shared" si="1"/>
        <v>0</v>
      </c>
      <c r="Z23" s="252">
        <f t="shared" si="9"/>
        <v>0</v>
      </c>
      <c r="AA23" s="252">
        <f>IF(OR(E23=0,X23=0),0,INDEX(Requirements!$L$19:$Q$19,'Rents and Income'!L23+1))</f>
        <v>0</v>
      </c>
      <c r="AB23" s="252">
        <f>IF(OR(E23=0,Y23=0),0,INDEX(Requirements!$L$19:$Q$19,'Rents and Income'!L23+1))</f>
        <v>0</v>
      </c>
      <c r="AC23" s="332">
        <f t="shared" si="10"/>
        <v>0</v>
      </c>
      <c r="AD23" s="332">
        <f t="shared" si="11"/>
        <v>0</v>
      </c>
      <c r="AE23" s="252">
        <f>IF(OR(M23="Yes",N23="Yes"),INDEX(Requirements!$E$11:$E$16,L23+1),0)</f>
        <v>0</v>
      </c>
      <c r="AF23" s="252">
        <f t="shared" si="12"/>
        <v>0</v>
      </c>
      <c r="AH23" s="551" t="str">
        <f t="shared" si="2"/>
        <v/>
      </c>
      <c r="AI23" s="202" t="str">
        <f t="shared" si="13"/>
        <v/>
      </c>
      <c r="AO23"/>
      <c r="AP23"/>
    </row>
    <row r="24" spans="3:42" s="4" customFormat="1" x14ac:dyDescent="0.2">
      <c r="C24" s="597" t="str">
        <f t="shared" si="3"/>
        <v/>
      </c>
      <c r="D24" s="630" t="str">
        <f t="shared" si="4"/>
        <v/>
      </c>
      <c r="E24" s="414"/>
      <c r="F24" s="414"/>
      <c r="G24" s="413" t="str">
        <f t="shared" si="5"/>
        <v/>
      </c>
      <c r="H24" s="413" t="str">
        <f t="shared" si="6"/>
        <v/>
      </c>
      <c r="I24" s="413" t="str">
        <f t="shared" si="7"/>
        <v/>
      </c>
      <c r="J24" s="256" t="str">
        <f t="shared" si="8"/>
        <v/>
      </c>
      <c r="L24" s="250"/>
      <c r="M24" s="251"/>
      <c r="N24" s="251"/>
      <c r="O24" s="251"/>
      <c r="P24" s="251"/>
      <c r="Q24" s="251"/>
      <c r="R24" s="251"/>
      <c r="S24" s="252" t="str">
        <f>IF(OR(L24="",L24&lt;0,L24&gt;5),"",VLOOKUP(R24,Requirements!$K$17:$Q$27,L24+2,FALSE))</f>
        <v/>
      </c>
      <c r="T24" s="253" t="str">
        <f t="shared" si="14"/>
        <v/>
      </c>
      <c r="U24" s="251"/>
      <c r="V24" s="252" t="str">
        <f>IF(OR(L24="",L24&lt;0,L24&gt;5),"",VLOOKUP(U24,Requirements!$K$35:$Q$44,L24+2,FALSE))</f>
        <v/>
      </c>
      <c r="X24" s="252">
        <f t="shared" si="0"/>
        <v>0</v>
      </c>
      <c r="Y24" s="252">
        <f t="shared" si="1"/>
        <v>0</v>
      </c>
      <c r="Z24" s="252">
        <f t="shared" si="9"/>
        <v>0</v>
      </c>
      <c r="AA24" s="252">
        <f>IF(OR(E24=0,X24=0),0,INDEX(Requirements!$L$19:$Q$19,'Rents and Income'!L24+1))</f>
        <v>0</v>
      </c>
      <c r="AB24" s="252">
        <f>IF(OR(E24=0,Y24=0),0,INDEX(Requirements!$L$19:$Q$19,'Rents and Income'!L24+1))</f>
        <v>0</v>
      </c>
      <c r="AC24" s="332">
        <f t="shared" si="10"/>
        <v>0</v>
      </c>
      <c r="AD24" s="332">
        <f t="shared" si="11"/>
        <v>0</v>
      </c>
      <c r="AE24" s="252">
        <f>IF(OR(M24="Yes",N24="Yes"),INDEX(Requirements!$E$11:$E$16,L24+1),0)</f>
        <v>0</v>
      </c>
      <c r="AF24" s="252">
        <f t="shared" si="12"/>
        <v>0</v>
      </c>
      <c r="AH24" s="551" t="str">
        <f t="shared" si="2"/>
        <v/>
      </c>
      <c r="AI24" s="202" t="str">
        <f t="shared" si="13"/>
        <v/>
      </c>
      <c r="AO24"/>
      <c r="AP24"/>
    </row>
    <row r="25" spans="3:42" s="4" customFormat="1" x14ac:dyDescent="0.2">
      <c r="C25" s="597" t="str">
        <f t="shared" si="3"/>
        <v/>
      </c>
      <c r="D25" s="630" t="str">
        <f t="shared" si="4"/>
        <v/>
      </c>
      <c r="E25" s="414"/>
      <c r="F25" s="414"/>
      <c r="G25" s="413" t="str">
        <f t="shared" si="5"/>
        <v/>
      </c>
      <c r="H25" s="413" t="str">
        <f t="shared" si="6"/>
        <v/>
      </c>
      <c r="I25" s="413" t="str">
        <f t="shared" si="7"/>
        <v/>
      </c>
      <c r="J25" s="256" t="str">
        <f t="shared" si="8"/>
        <v/>
      </c>
      <c r="L25" s="250"/>
      <c r="M25" s="251"/>
      <c r="N25" s="251"/>
      <c r="O25" s="251"/>
      <c r="P25" s="251"/>
      <c r="Q25" s="251"/>
      <c r="R25" s="251"/>
      <c r="S25" s="252" t="str">
        <f>IF(OR(L25="",L25&lt;0,L25&gt;5),"",VLOOKUP(R25,Requirements!$K$17:$Q$27,L25+2,FALSE))</f>
        <v/>
      </c>
      <c r="T25" s="253" t="str">
        <f t="shared" si="14"/>
        <v/>
      </c>
      <c r="U25" s="251"/>
      <c r="V25" s="252" t="str">
        <f>IF(OR(L25="",L25&lt;0,L25&gt;5),"",VLOOKUP(U25,Requirements!$K$35:$Q$44,L25+2,FALSE))</f>
        <v/>
      </c>
      <c r="X25" s="252">
        <f t="shared" si="0"/>
        <v>0</v>
      </c>
      <c r="Y25" s="252">
        <f t="shared" si="1"/>
        <v>0</v>
      </c>
      <c r="Z25" s="252">
        <f t="shared" si="9"/>
        <v>0</v>
      </c>
      <c r="AA25" s="252">
        <f>IF(OR(E25=0,X25=0),0,INDEX(Requirements!$L$19:$Q$19,'Rents and Income'!L25+1))</f>
        <v>0</v>
      </c>
      <c r="AB25" s="252">
        <f>IF(OR(E25=0,Y25=0),0,INDEX(Requirements!$L$19:$Q$19,'Rents and Income'!L25+1))</f>
        <v>0</v>
      </c>
      <c r="AC25" s="332">
        <f t="shared" si="10"/>
        <v>0</v>
      </c>
      <c r="AD25" s="332">
        <f t="shared" si="11"/>
        <v>0</v>
      </c>
      <c r="AE25" s="252">
        <f>IF(OR(M25="Yes",N25="Yes"),INDEX(Requirements!$E$11:$E$16,L25+1),0)</f>
        <v>0</v>
      </c>
      <c r="AF25" s="252">
        <f t="shared" si="12"/>
        <v>0</v>
      </c>
      <c r="AH25" s="551" t="str">
        <f t="shared" si="2"/>
        <v/>
      </c>
      <c r="AI25" s="202" t="str">
        <f t="shared" si="13"/>
        <v/>
      </c>
      <c r="AO25"/>
      <c r="AP25"/>
    </row>
    <row r="26" spans="3:42" s="4" customFormat="1" ht="15" customHeight="1" x14ac:dyDescent="0.2">
      <c r="C26" s="597" t="str">
        <f t="shared" si="3"/>
        <v/>
      </c>
      <c r="D26" s="630" t="str">
        <f t="shared" si="4"/>
        <v/>
      </c>
      <c r="E26" s="414"/>
      <c r="F26" s="414"/>
      <c r="G26" s="413" t="str">
        <f t="shared" si="5"/>
        <v/>
      </c>
      <c r="H26" s="413" t="str">
        <f t="shared" si="6"/>
        <v/>
      </c>
      <c r="I26" s="413" t="str">
        <f t="shared" si="7"/>
        <v/>
      </c>
      <c r="J26" s="256" t="str">
        <f t="shared" si="8"/>
        <v/>
      </c>
      <c r="L26" s="250"/>
      <c r="M26" s="251"/>
      <c r="N26" s="251"/>
      <c r="O26" s="251"/>
      <c r="P26" s="251"/>
      <c r="Q26" s="251"/>
      <c r="R26" s="251"/>
      <c r="S26" s="252" t="str">
        <f>IF(OR(L26="",L26&lt;0,L26&gt;5),"",VLOOKUP(R26,Requirements!$K$17:$Q$27,L26+2,FALSE))</f>
        <v/>
      </c>
      <c r="T26" s="253" t="str">
        <f t="shared" si="14"/>
        <v/>
      </c>
      <c r="U26" s="251"/>
      <c r="V26" s="252" t="str">
        <f>IF(OR(L26="",L26&lt;0,L26&gt;5),"",VLOOKUP(U26,Requirements!$K$35:$Q$44,L26+2,FALSE))</f>
        <v/>
      </c>
      <c r="X26" s="252">
        <f t="shared" si="0"/>
        <v>0</v>
      </c>
      <c r="Y26" s="252">
        <f t="shared" si="1"/>
        <v>0</v>
      </c>
      <c r="Z26" s="252">
        <f t="shared" si="9"/>
        <v>0</v>
      </c>
      <c r="AA26" s="252">
        <f>IF(OR(E26=0,X26=0),0,INDEX(Requirements!$L$19:$Q$19,'Rents and Income'!L26+1))</f>
        <v>0</v>
      </c>
      <c r="AB26" s="252">
        <f>IF(OR(E26=0,Y26=0),0,INDEX(Requirements!$L$19:$Q$19,'Rents and Income'!L26+1))</f>
        <v>0</v>
      </c>
      <c r="AC26" s="332">
        <f t="shared" si="10"/>
        <v>0</v>
      </c>
      <c r="AD26" s="332">
        <f t="shared" si="11"/>
        <v>0</v>
      </c>
      <c r="AE26" s="252">
        <f>IF(OR(M26="Yes",N26="Yes"),INDEX(Requirements!$E$11:$E$16,L26+1),0)</f>
        <v>0</v>
      </c>
      <c r="AF26" s="252">
        <f t="shared" si="12"/>
        <v>0</v>
      </c>
      <c r="AH26" s="551" t="str">
        <f t="shared" si="2"/>
        <v/>
      </c>
      <c r="AI26" s="202" t="str">
        <f t="shared" si="13"/>
        <v/>
      </c>
      <c r="AO26"/>
      <c r="AP26"/>
    </row>
    <row r="27" spans="3:42" s="4" customFormat="1" x14ac:dyDescent="0.2">
      <c r="C27" s="597" t="str">
        <f t="shared" si="3"/>
        <v/>
      </c>
      <c r="D27" s="630" t="str">
        <f t="shared" si="4"/>
        <v/>
      </c>
      <c r="E27" s="414"/>
      <c r="F27" s="414"/>
      <c r="G27" s="413" t="str">
        <f t="shared" si="5"/>
        <v/>
      </c>
      <c r="H27" s="413" t="str">
        <f t="shared" si="6"/>
        <v/>
      </c>
      <c r="I27" s="413" t="str">
        <f t="shared" si="7"/>
        <v/>
      </c>
      <c r="J27" s="256" t="str">
        <f t="shared" si="8"/>
        <v/>
      </c>
      <c r="L27" s="250"/>
      <c r="M27" s="251"/>
      <c r="N27" s="251"/>
      <c r="O27" s="251"/>
      <c r="P27" s="251"/>
      <c r="Q27" s="251"/>
      <c r="R27" s="251"/>
      <c r="S27" s="252" t="str">
        <f>IF(OR(L27="",L27&lt;0,L27&gt;5),"",VLOOKUP(R27,Requirements!$K$17:$Q$27,L27+2,FALSE))</f>
        <v/>
      </c>
      <c r="T27" s="253" t="str">
        <f t="shared" si="14"/>
        <v/>
      </c>
      <c r="U27" s="251"/>
      <c r="V27" s="252" t="str">
        <f>IF(OR(L27="",L27&lt;0,L27&gt;5),"",VLOOKUP(U27,Requirements!$K$35:$Q$44,L27+2,FALSE))</f>
        <v/>
      </c>
      <c r="X27" s="252">
        <f t="shared" si="0"/>
        <v>0</v>
      </c>
      <c r="Y27" s="252">
        <f t="shared" si="1"/>
        <v>0</v>
      </c>
      <c r="Z27" s="252">
        <f t="shared" si="9"/>
        <v>0</v>
      </c>
      <c r="AA27" s="252">
        <f>IF(OR(E27=0,X27=0),0,INDEX(Requirements!$L$19:$Q$19,'Rents and Income'!L27+1))</f>
        <v>0</v>
      </c>
      <c r="AB27" s="252">
        <f>IF(OR(E27=0,Y27=0),0,INDEX(Requirements!$L$19:$Q$19,'Rents and Income'!L27+1))</f>
        <v>0</v>
      </c>
      <c r="AC27" s="332">
        <f t="shared" si="10"/>
        <v>0</v>
      </c>
      <c r="AD27" s="332">
        <f t="shared" si="11"/>
        <v>0</v>
      </c>
      <c r="AE27" s="252">
        <f>IF(OR(M27="Yes",N27="Yes"),INDEX(Requirements!$E$11:$E$16,L27+1),0)</f>
        <v>0</v>
      </c>
      <c r="AF27" s="252">
        <f t="shared" si="12"/>
        <v>0</v>
      </c>
      <c r="AH27" s="551" t="str">
        <f t="shared" si="2"/>
        <v/>
      </c>
      <c r="AI27" s="202" t="str">
        <f t="shared" si="13"/>
        <v/>
      </c>
      <c r="AO27"/>
      <c r="AP27"/>
    </row>
    <row r="28" spans="3:42" s="4" customFormat="1" x14ac:dyDescent="0.2">
      <c r="C28" s="597" t="str">
        <f t="shared" si="3"/>
        <v/>
      </c>
      <c r="D28" s="630" t="str">
        <f t="shared" si="4"/>
        <v/>
      </c>
      <c r="E28" s="414"/>
      <c r="F28" s="414"/>
      <c r="G28" s="413" t="str">
        <f t="shared" si="5"/>
        <v/>
      </c>
      <c r="H28" s="413" t="str">
        <f t="shared" si="6"/>
        <v/>
      </c>
      <c r="I28" s="413" t="str">
        <f t="shared" si="7"/>
        <v/>
      </c>
      <c r="J28" s="256" t="str">
        <f t="shared" si="8"/>
        <v/>
      </c>
      <c r="L28" s="250"/>
      <c r="M28" s="251"/>
      <c r="N28" s="251"/>
      <c r="O28" s="251"/>
      <c r="P28" s="251"/>
      <c r="Q28" s="251"/>
      <c r="R28" s="251"/>
      <c r="S28" s="252" t="str">
        <f>IF(OR(L28="",L28&lt;0,L28&gt;5),"",VLOOKUP(R28,Requirements!$K$17:$Q$27,L28+2,FALSE))</f>
        <v/>
      </c>
      <c r="T28" s="253" t="str">
        <f t="shared" si="14"/>
        <v/>
      </c>
      <c r="U28" s="251"/>
      <c r="V28" s="252" t="str">
        <f>IF(OR(L28="",L28&lt;0,L28&gt;5),"",VLOOKUP(U28,Requirements!$K$35:$Q$44,L28+2,FALSE))</f>
        <v/>
      </c>
      <c r="X28" s="252">
        <f t="shared" si="0"/>
        <v>0</v>
      </c>
      <c r="Y28" s="252">
        <f t="shared" si="1"/>
        <v>0</v>
      </c>
      <c r="Z28" s="252">
        <f t="shared" si="9"/>
        <v>0</v>
      </c>
      <c r="AA28" s="252">
        <f>IF(OR(E28=0,X28=0),0,INDEX(Requirements!$L$19:$Q$19,'Rents and Income'!L28+1))</f>
        <v>0</v>
      </c>
      <c r="AB28" s="252">
        <f>IF(OR(E28=0,Y28=0),0,INDEX(Requirements!$L$19:$Q$19,'Rents and Income'!L28+1))</f>
        <v>0</v>
      </c>
      <c r="AC28" s="332">
        <f t="shared" si="10"/>
        <v>0</v>
      </c>
      <c r="AD28" s="332">
        <f t="shared" si="11"/>
        <v>0</v>
      </c>
      <c r="AE28" s="252">
        <f>IF(OR(M28="Yes",N28="Yes"),INDEX(Requirements!$E$11:$E$16,L28+1),0)</f>
        <v>0</v>
      </c>
      <c r="AF28" s="252">
        <f t="shared" si="12"/>
        <v>0</v>
      </c>
      <c r="AH28" s="551" t="str">
        <f t="shared" si="2"/>
        <v/>
      </c>
      <c r="AI28" s="202" t="str">
        <f t="shared" si="13"/>
        <v/>
      </c>
      <c r="AO28"/>
      <c r="AP28"/>
    </row>
    <row r="29" spans="3:42" s="4" customFormat="1" x14ac:dyDescent="0.2">
      <c r="C29" s="597" t="str">
        <f t="shared" si="3"/>
        <v/>
      </c>
      <c r="D29" s="630" t="str">
        <f t="shared" si="4"/>
        <v/>
      </c>
      <c r="E29" s="414"/>
      <c r="F29" s="414"/>
      <c r="G29" s="413" t="str">
        <f t="shared" si="5"/>
        <v/>
      </c>
      <c r="H29" s="413" t="str">
        <f t="shared" si="6"/>
        <v/>
      </c>
      <c r="I29" s="413" t="str">
        <f t="shared" si="7"/>
        <v/>
      </c>
      <c r="J29" s="256" t="str">
        <f t="shared" si="8"/>
        <v/>
      </c>
      <c r="L29" s="250"/>
      <c r="M29" s="251"/>
      <c r="N29" s="251"/>
      <c r="O29" s="251"/>
      <c r="P29" s="251"/>
      <c r="Q29" s="251"/>
      <c r="R29" s="251"/>
      <c r="S29" s="252" t="str">
        <f>IF(OR(L29="",L29&lt;0,L29&gt;5),"",VLOOKUP(R29,Requirements!$K$17:$Q$27,L29+2,FALSE))</f>
        <v/>
      </c>
      <c r="T29" s="253" t="str">
        <f t="shared" si="14"/>
        <v/>
      </c>
      <c r="U29" s="251"/>
      <c r="V29" s="252" t="str">
        <f>IF(OR(L29="",L29&lt;0,L29&gt;5),"",VLOOKUP(U29,Requirements!$K$35:$Q$44,L29+2,FALSE))</f>
        <v/>
      </c>
      <c r="X29" s="252">
        <f t="shared" si="0"/>
        <v>0</v>
      </c>
      <c r="Y29" s="252">
        <f t="shared" si="1"/>
        <v>0</v>
      </c>
      <c r="Z29" s="252">
        <f t="shared" si="9"/>
        <v>0</v>
      </c>
      <c r="AA29" s="252">
        <f>IF(OR(E29=0,X29=0),0,INDEX(Requirements!$L$19:$Q$19,'Rents and Income'!L29+1))</f>
        <v>0</v>
      </c>
      <c r="AB29" s="252">
        <f>IF(OR(E29=0,Y29=0),0,INDEX(Requirements!$L$19:$Q$19,'Rents and Income'!L29+1))</f>
        <v>0</v>
      </c>
      <c r="AC29" s="332">
        <f t="shared" si="10"/>
        <v>0</v>
      </c>
      <c r="AD29" s="332">
        <f t="shared" si="11"/>
        <v>0</v>
      </c>
      <c r="AE29" s="252">
        <f>IF(OR(M29="Yes",N29="Yes"),INDEX(Requirements!$E$11:$E$16,L29+1),0)</f>
        <v>0</v>
      </c>
      <c r="AF29" s="252">
        <f t="shared" si="12"/>
        <v>0</v>
      </c>
      <c r="AH29" s="551" t="str">
        <f t="shared" si="2"/>
        <v/>
      </c>
      <c r="AI29" s="202" t="str">
        <f t="shared" si="13"/>
        <v/>
      </c>
      <c r="AO29"/>
      <c r="AP29"/>
    </row>
    <row r="30" spans="3:42" s="4" customFormat="1" x14ac:dyDescent="0.2">
      <c r="C30" s="597" t="str">
        <f t="shared" si="3"/>
        <v/>
      </c>
      <c r="D30" s="630" t="str">
        <f t="shared" si="4"/>
        <v/>
      </c>
      <c r="E30" s="414"/>
      <c r="F30" s="414"/>
      <c r="G30" s="413" t="str">
        <f t="shared" si="5"/>
        <v/>
      </c>
      <c r="H30" s="413" t="str">
        <f t="shared" si="6"/>
        <v/>
      </c>
      <c r="I30" s="413" t="str">
        <f t="shared" si="7"/>
        <v/>
      </c>
      <c r="J30" s="256" t="str">
        <f t="shared" si="8"/>
        <v/>
      </c>
      <c r="L30" s="250"/>
      <c r="M30" s="251"/>
      <c r="N30" s="251"/>
      <c r="O30" s="251"/>
      <c r="P30" s="251"/>
      <c r="Q30" s="251"/>
      <c r="R30" s="251"/>
      <c r="S30" s="252" t="str">
        <f>IF(OR(L30="",L30&lt;0,L30&gt;5),"",VLOOKUP(R30,Requirements!$K$17:$Q$27,L30+2,FALSE))</f>
        <v/>
      </c>
      <c r="T30" s="253" t="str">
        <f t="shared" si="14"/>
        <v/>
      </c>
      <c r="U30" s="251"/>
      <c r="V30" s="252" t="str">
        <f>IF(OR(L30="",L30&lt;0,L30&gt;5),"",VLOOKUP(U30,Requirements!$K$35:$Q$44,L30+2,FALSE))</f>
        <v/>
      </c>
      <c r="X30" s="252">
        <f t="shared" si="0"/>
        <v>0</v>
      </c>
      <c r="Y30" s="252">
        <f t="shared" si="1"/>
        <v>0</v>
      </c>
      <c r="Z30" s="252">
        <f t="shared" si="9"/>
        <v>0</v>
      </c>
      <c r="AA30" s="252">
        <f>IF(OR(E30=0,X30=0),0,INDEX(Requirements!$L$19:$Q$19,'Rents and Income'!L30+1))</f>
        <v>0</v>
      </c>
      <c r="AB30" s="252">
        <f>IF(OR(E30=0,Y30=0),0,INDEX(Requirements!$L$19:$Q$19,'Rents and Income'!L30+1))</f>
        <v>0</v>
      </c>
      <c r="AC30" s="332">
        <f t="shared" si="10"/>
        <v>0</v>
      </c>
      <c r="AD30" s="332">
        <f t="shared" si="11"/>
        <v>0</v>
      </c>
      <c r="AE30" s="252">
        <f>IF(OR(M30="Yes",N30="Yes"),INDEX(Requirements!$E$11:$E$16,L30+1),0)</f>
        <v>0</v>
      </c>
      <c r="AF30" s="252">
        <f t="shared" si="12"/>
        <v>0</v>
      </c>
      <c r="AH30" s="551" t="str">
        <f t="shared" si="2"/>
        <v/>
      </c>
      <c r="AI30" s="202" t="str">
        <f t="shared" si="13"/>
        <v/>
      </c>
      <c r="AO30"/>
      <c r="AP30"/>
    </row>
    <row r="31" spans="3:42" s="15" customFormat="1" ht="16.5" customHeight="1" x14ac:dyDescent="0.2">
      <c r="C31" s="62" t="s">
        <v>5</v>
      </c>
      <c r="D31" s="62"/>
      <c r="E31" s="415">
        <f>SUM(E7:E30)</f>
        <v>20</v>
      </c>
      <c r="F31" s="416">
        <f>SUMPRODUCT($E$7:$E$30,F7:F30)</f>
        <v>12000</v>
      </c>
      <c r="G31" s="417" t="s">
        <v>169</v>
      </c>
      <c r="H31" s="63"/>
      <c r="I31" s="418">
        <f>SUMPRODUCT($E$7:$E$30,I7:I30)</f>
        <v>12572</v>
      </c>
      <c r="J31" s="64"/>
      <c r="M31" s="415">
        <f>SUMIF(M7:M30,"Yes",$E$7:$E$30)</f>
        <v>4</v>
      </c>
      <c r="N31" s="415">
        <f>SUMIF(N7:N30,"Yes",$E$7:$E$30)</f>
        <v>16</v>
      </c>
      <c r="O31" s="415">
        <f>SUMIF(O7:O30,"Yes",$E$7:$E$30)</f>
        <v>0</v>
      </c>
      <c r="P31" s="415">
        <f>SUMIF(P7:P30,"Yes",$E$7:$E$30)</f>
        <v>20</v>
      </c>
      <c r="Q31" s="415">
        <f>SUMIF(Q7:Q30,"Yes",$E$7:$E$30)</f>
        <v>0</v>
      </c>
      <c r="R31" s="330" t="s">
        <v>386</v>
      </c>
      <c r="X31" s="257">
        <f>SUMPRODUCT($E$7:$E$30,X7:X30)</f>
        <v>12572</v>
      </c>
      <c r="Y31" s="257">
        <f>SUMPRODUCT($E$7:$E$30,Y7:Y30)</f>
        <v>0</v>
      </c>
      <c r="Z31" s="257">
        <f>SUMPRODUCT($E$7:$E$30,Z7:Z30)</f>
        <v>0</v>
      </c>
      <c r="AA31" s="257">
        <f>SUMPRODUCT($E$7:$E$30,AA7:AA30)</f>
        <v>18000</v>
      </c>
      <c r="AB31" s="257">
        <f>SUMPRODUCT($E$7:$E$30,AB7:AB30)</f>
        <v>0</v>
      </c>
      <c r="AC31" s="333">
        <f>SUM(AC7:AC30)</f>
        <v>12000</v>
      </c>
      <c r="AD31" s="333">
        <f>SUM(AD7:AD30)</f>
        <v>12000</v>
      </c>
      <c r="AE31" s="393"/>
      <c r="AF31" s="257">
        <f>SUM(AF7:AF30)</f>
        <v>2500000</v>
      </c>
      <c r="AO31"/>
      <c r="AP31"/>
    </row>
    <row r="32" spans="3:42" x14ac:dyDescent="0.2">
      <c r="C32" s="702" t="s">
        <v>268</v>
      </c>
      <c r="D32" s="703"/>
      <c r="E32" s="44"/>
      <c r="F32" s="44"/>
      <c r="G32" s="44"/>
      <c r="H32" s="44"/>
      <c r="I32" s="418">
        <f>+I31*12</f>
        <v>150864</v>
      </c>
      <c r="J32" s="44"/>
      <c r="M32" s="402" t="s">
        <v>424</v>
      </c>
      <c r="N32" s="404" t="s">
        <v>424</v>
      </c>
      <c r="P32" s="402" t="s">
        <v>424</v>
      </c>
      <c r="R32" s="330"/>
      <c r="AF32" s="257">
        <f>IF((M31+N31)=0,0,AF31/(M31+N31))</f>
        <v>125000</v>
      </c>
    </row>
    <row r="33" spans="1:22" x14ac:dyDescent="0.2">
      <c r="C33" s="44"/>
      <c r="D33" s="44"/>
      <c r="E33" s="44"/>
      <c r="F33" s="44"/>
      <c r="G33" s="44"/>
      <c r="H33" s="44"/>
      <c r="I33" s="44"/>
      <c r="J33" s="44"/>
    </row>
    <row r="34" spans="1:22" ht="38.25" customHeight="1" x14ac:dyDescent="0.2">
      <c r="C34" s="669"/>
      <c r="D34" s="670"/>
      <c r="E34" s="670"/>
      <c r="F34" s="670"/>
      <c r="G34" s="670"/>
      <c r="H34" s="670"/>
      <c r="I34" s="670"/>
      <c r="J34" s="670"/>
      <c r="K34" s="670"/>
      <c r="L34" s="670"/>
      <c r="M34" s="670"/>
      <c r="N34" s="670"/>
      <c r="O34" s="670"/>
      <c r="P34" s="670"/>
      <c r="Q34" s="670"/>
      <c r="R34" s="670"/>
      <c r="S34" s="670"/>
      <c r="T34" s="670"/>
      <c r="U34" s="670"/>
      <c r="V34" s="671"/>
    </row>
    <row r="35" spans="1:22" x14ac:dyDescent="0.2">
      <c r="C35" s="44"/>
      <c r="D35" s="44"/>
      <c r="E35" s="44"/>
      <c r="F35" s="44"/>
      <c r="G35" s="44"/>
      <c r="H35" s="44"/>
      <c r="I35" s="44"/>
      <c r="J35" s="44"/>
    </row>
    <row r="36" spans="1:22" x14ac:dyDescent="0.2">
      <c r="C36" s="51" t="s">
        <v>333</v>
      </c>
      <c r="D36" s="51"/>
      <c r="E36" s="44"/>
      <c r="F36" s="44"/>
      <c r="G36" s="44"/>
      <c r="H36" s="44"/>
      <c r="I36" s="44"/>
      <c r="J36" s="44"/>
    </row>
    <row r="37" spans="1:22" ht="38.25" customHeight="1" x14ac:dyDescent="0.2">
      <c r="C37" s="53" t="s">
        <v>334</v>
      </c>
      <c r="D37" s="53"/>
      <c r="E37" s="53" t="s">
        <v>171</v>
      </c>
      <c r="F37" s="53" t="s">
        <v>67</v>
      </c>
      <c r="G37" s="53" t="s">
        <v>398</v>
      </c>
      <c r="H37" s="65"/>
      <c r="I37" s="44"/>
      <c r="J37" s="44"/>
    </row>
    <row r="38" spans="1:22" ht="25.5" x14ac:dyDescent="0.2">
      <c r="A38" s="402" t="s">
        <v>424</v>
      </c>
      <c r="C38" s="61" t="s">
        <v>318</v>
      </c>
      <c r="D38" s="61"/>
      <c r="E38" s="306">
        <v>0.2</v>
      </c>
      <c r="F38" s="306"/>
      <c r="G38" s="306"/>
      <c r="H38" s="66"/>
      <c r="I38" s="44"/>
      <c r="J38" s="44"/>
    </row>
    <row r="39" spans="1:22" ht="38.25" x14ac:dyDescent="0.2">
      <c r="A39" s="402" t="s">
        <v>424</v>
      </c>
      <c r="C39" s="61" t="s">
        <v>319</v>
      </c>
      <c r="D39" s="61"/>
      <c r="E39" s="419">
        <v>7.0000000000000007E-2</v>
      </c>
      <c r="F39" s="419"/>
      <c r="G39" s="419"/>
      <c r="H39" s="66"/>
      <c r="I39" s="44"/>
      <c r="J39" s="44"/>
    </row>
    <row r="40" spans="1:22" x14ac:dyDescent="0.2">
      <c r="C40" s="44"/>
      <c r="D40" s="44"/>
      <c r="E40" s="44"/>
      <c r="F40" s="44"/>
      <c r="G40" s="44"/>
      <c r="H40" s="44"/>
      <c r="I40" s="44"/>
      <c r="J40" s="44"/>
    </row>
    <row r="41" spans="1:22" x14ac:dyDescent="0.2">
      <c r="A41" s="402" t="s">
        <v>424</v>
      </c>
      <c r="C41" s="51" t="s">
        <v>58</v>
      </c>
      <c r="D41" s="51"/>
      <c r="E41" s="44"/>
      <c r="F41" s="44"/>
      <c r="G41" s="44"/>
      <c r="H41" s="44"/>
      <c r="I41" s="44"/>
      <c r="J41" s="44"/>
    </row>
    <row r="42" spans="1:22" ht="15" x14ac:dyDescent="0.2">
      <c r="C42" s="260" t="s">
        <v>693</v>
      </c>
      <c r="D42" s="260"/>
      <c r="E42" s="67">
        <v>200</v>
      </c>
      <c r="F42" s="44" t="s">
        <v>336</v>
      </c>
      <c r="G42" s="44"/>
      <c r="H42" s="44"/>
      <c r="I42" s="44"/>
      <c r="J42" s="44"/>
    </row>
    <row r="43" spans="1:22" ht="15" x14ac:dyDescent="0.2">
      <c r="C43" s="260"/>
      <c r="D43" s="260"/>
      <c r="E43" s="67"/>
      <c r="F43" s="44" t="s">
        <v>336</v>
      </c>
      <c r="G43" s="44"/>
      <c r="H43" s="44"/>
      <c r="I43" s="44"/>
      <c r="J43" s="44"/>
    </row>
    <row r="44" spans="1:22" ht="15" x14ac:dyDescent="0.2">
      <c r="C44" s="260"/>
      <c r="D44" s="260"/>
      <c r="E44" s="67"/>
      <c r="F44" s="44" t="s">
        <v>336</v>
      </c>
      <c r="G44" s="44"/>
      <c r="H44" s="44"/>
      <c r="I44" s="44"/>
      <c r="J44" s="44"/>
    </row>
    <row r="45" spans="1:22" ht="15" x14ac:dyDescent="0.2">
      <c r="C45" s="260"/>
      <c r="D45" s="260"/>
      <c r="E45" s="67"/>
      <c r="F45" s="44" t="s">
        <v>336</v>
      </c>
      <c r="G45" s="44"/>
      <c r="H45" s="44"/>
      <c r="I45" s="44"/>
      <c r="J45" s="44"/>
    </row>
    <row r="46" spans="1:22" ht="15" x14ac:dyDescent="0.2">
      <c r="C46" s="260"/>
      <c r="D46" s="260"/>
      <c r="E46" s="67"/>
      <c r="F46" s="44" t="s">
        <v>336</v>
      </c>
      <c r="G46" s="44"/>
      <c r="H46" s="44"/>
      <c r="I46" s="44"/>
      <c r="J46" s="44"/>
    </row>
    <row r="47" spans="1:22" ht="15" x14ac:dyDescent="0.2">
      <c r="C47" s="260"/>
      <c r="D47" s="260"/>
      <c r="E47" s="67"/>
      <c r="F47" s="44" t="s">
        <v>336</v>
      </c>
      <c r="G47" s="44"/>
      <c r="H47" s="44"/>
      <c r="I47" s="44"/>
      <c r="J47" s="44"/>
    </row>
    <row r="48" spans="1:22" x14ac:dyDescent="0.2">
      <c r="C48" s="62" t="s">
        <v>540</v>
      </c>
      <c r="D48" s="62"/>
      <c r="E48" s="257">
        <f>SUM(E41:E47)</f>
        <v>200</v>
      </c>
      <c r="F48" s="44" t="s">
        <v>336</v>
      </c>
      <c r="G48" s="44"/>
      <c r="H48" s="44"/>
      <c r="I48" s="44"/>
      <c r="J48" s="44"/>
    </row>
    <row r="49" spans="3:22" ht="27.75" customHeight="1" x14ac:dyDescent="0.2">
      <c r="C49" s="696"/>
      <c r="D49" s="696"/>
      <c r="E49" s="696"/>
      <c r="F49" s="696"/>
      <c r="G49" s="696"/>
      <c r="H49" s="696"/>
      <c r="I49" s="696"/>
      <c r="J49" s="696"/>
      <c r="L49" s="700"/>
      <c r="M49" s="700"/>
      <c r="N49" s="700"/>
      <c r="O49" s="700"/>
      <c r="P49" s="700"/>
      <c r="Q49" s="700"/>
      <c r="R49" s="700"/>
    </row>
    <row r="50" spans="3:22" x14ac:dyDescent="0.2">
      <c r="C50" s="44"/>
      <c r="D50" s="44"/>
      <c r="E50" s="44"/>
      <c r="F50" s="44"/>
      <c r="G50" s="44"/>
      <c r="H50" s="44"/>
      <c r="I50" s="44"/>
      <c r="J50" s="44"/>
    </row>
    <row r="51" spans="3:22" ht="38.25" customHeight="1" x14ac:dyDescent="0.2">
      <c r="C51" s="669"/>
      <c r="D51" s="670"/>
      <c r="E51" s="670"/>
      <c r="F51" s="670"/>
      <c r="G51" s="670"/>
      <c r="H51" s="670"/>
      <c r="I51" s="670"/>
      <c r="J51" s="670"/>
      <c r="K51" s="670"/>
      <c r="L51" s="670"/>
      <c r="M51" s="670"/>
      <c r="N51" s="670"/>
      <c r="O51" s="670"/>
      <c r="P51" s="670"/>
      <c r="Q51" s="670"/>
      <c r="R51" s="670"/>
      <c r="S51" s="670"/>
      <c r="T51" s="670"/>
      <c r="U51" s="670"/>
      <c r="V51" s="671"/>
    </row>
    <row r="52" spans="3:22" x14ac:dyDescent="0.2">
      <c r="C52" s="44"/>
      <c r="D52" s="44"/>
      <c r="E52" s="44"/>
      <c r="F52" s="44"/>
      <c r="G52" s="44"/>
      <c r="H52" s="44"/>
      <c r="I52" s="44"/>
      <c r="J52" s="44"/>
    </row>
    <row r="53" spans="3:22" x14ac:dyDescent="0.2">
      <c r="C53" s="44" t="s">
        <v>227</v>
      </c>
      <c r="D53" s="44"/>
      <c r="E53" s="44"/>
      <c r="F53" s="44"/>
      <c r="G53" s="44"/>
      <c r="H53" s="44"/>
      <c r="I53" s="44"/>
      <c r="J53" s="44"/>
    </row>
  </sheetData>
  <mergeCells count="9">
    <mergeCell ref="C51:V51"/>
    <mergeCell ref="C1:E1"/>
    <mergeCell ref="F1:I1"/>
    <mergeCell ref="C49:J49"/>
    <mergeCell ref="M5:Q5"/>
    <mergeCell ref="C34:V34"/>
    <mergeCell ref="L49:R49"/>
    <mergeCell ref="C3:J3"/>
    <mergeCell ref="C32:D32"/>
  </mergeCells>
  <phoneticPr fontId="0" type="noConversion"/>
  <conditionalFormatting sqref="M7">
    <cfRule type="expression" dxfId="18" priority="9">
      <formula>AH7&lt;&gt;""</formula>
    </cfRule>
  </conditionalFormatting>
  <conditionalFormatting sqref="N7">
    <cfRule type="expression" dxfId="17" priority="7">
      <formula>AH7&lt;&gt;""</formula>
    </cfRule>
    <cfRule type="expression" dxfId="16" priority="8">
      <formula>AH8&lt;&gt;""</formula>
    </cfRule>
  </conditionalFormatting>
  <conditionalFormatting sqref="M8:M30">
    <cfRule type="expression" dxfId="15" priority="3">
      <formula>AH8&lt;&gt;""</formula>
    </cfRule>
  </conditionalFormatting>
  <conditionalFormatting sqref="N8:N30">
    <cfRule type="expression" dxfId="14" priority="1">
      <formula>AH8&lt;&gt;""</formula>
    </cfRule>
  </conditionalFormatting>
  <dataValidations count="3">
    <dataValidation type="list" allowBlank="1" showInputMessage="1" showErrorMessage="1" sqref="M7:Q30" xr:uid="{00000000-0002-0000-0300-000000000000}">
      <formula1>YesNo</formula1>
    </dataValidation>
    <dataValidation type="list" allowBlank="1" showInputMessage="1" showErrorMessage="1" sqref="R7:R30" xr:uid="{00000000-0002-0000-0300-000001000000}">
      <formula1>Rents</formula1>
    </dataValidation>
    <dataValidation type="list" allowBlank="1" showInputMessage="1" showErrorMessage="1" sqref="U7:U30" xr:uid="{00000000-0002-0000-0300-000002000000}">
      <formula1>UAs</formula1>
    </dataValidation>
  </dataValidations>
  <pageMargins left="0.75" right="0.75" top="1" bottom="1" header="0.5" footer="0.5"/>
  <pageSetup scale="65" orientation="portrait" r:id="rId1"/>
  <headerFooter alignWithMargins="0">
    <oddHeader>&amp;L&amp;F&amp;R&amp;A</oddHeader>
    <oddFooter>&amp;LPage &amp;P of &amp;N&amp;RPrinted &amp;D</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fitToPage="1"/>
  </sheetPr>
  <dimension ref="A1:O709"/>
  <sheetViews>
    <sheetView showGridLines="0" zoomScaleNormal="100" zoomScaleSheetLayoutView="70" workbookViewId="0">
      <pane xSplit="3" ySplit="3" topLeftCell="D4" activePane="bottomRight" state="frozen"/>
      <selection activeCell="C49" sqref="C49:D49"/>
      <selection pane="topRight" activeCell="C49" sqref="C49:D49"/>
      <selection pane="bottomLeft" activeCell="C49" sqref="C49:D49"/>
      <selection pane="bottomRight" activeCell="G38" sqref="G38"/>
    </sheetView>
  </sheetViews>
  <sheetFormatPr defaultColWidth="9.140625" defaultRowHeight="12.75" x14ac:dyDescent="0.2"/>
  <cols>
    <col min="1" max="1" width="4.28515625" customWidth="1"/>
    <col min="2" max="2" width="1.85546875" customWidth="1"/>
    <col min="3" max="3" width="55.5703125" customWidth="1"/>
    <col min="4" max="4" width="20" bestFit="1" customWidth="1"/>
    <col min="5" max="6" width="12.28515625" customWidth="1"/>
    <col min="7" max="7" width="47.140625" style="16" customWidth="1"/>
    <col min="8" max="8" width="1.28515625" customWidth="1"/>
    <col min="9" max="9" width="17" customWidth="1"/>
    <col min="10" max="11" width="16.85546875" customWidth="1"/>
    <col min="12" max="12" width="2.7109375" customWidth="1"/>
    <col min="13" max="13" width="3.5703125" customWidth="1"/>
    <col min="14" max="14" width="16" customWidth="1"/>
  </cols>
  <sheetData>
    <row r="1" spans="1:14" s="7" customFormat="1" ht="22.5" customHeight="1" x14ac:dyDescent="0.2">
      <c r="C1" s="45" t="s">
        <v>131</v>
      </c>
      <c r="D1" s="714" t="s">
        <v>59</v>
      </c>
      <c r="E1" s="714"/>
      <c r="F1" s="714"/>
      <c r="G1" s="69"/>
      <c r="H1" s="9"/>
      <c r="I1" s="9"/>
      <c r="J1" s="9"/>
      <c r="K1" s="9"/>
    </row>
    <row r="2" spans="1:14" s="3" customFormat="1" ht="17.25" customHeight="1" x14ac:dyDescent="0.25">
      <c r="C2" s="29" t="str">
        <f>Requirements!C4</f>
        <v>Project Name - Sample Project : 20 Units</v>
      </c>
      <c r="D2" s="451"/>
      <c r="E2" s="451"/>
      <c r="F2" s="451"/>
      <c r="G2" s="468"/>
    </row>
    <row r="3" spans="1:14" s="3" customFormat="1" ht="41.25" customHeight="1" x14ac:dyDescent="0.2">
      <c r="A3" s="402" t="s">
        <v>424</v>
      </c>
      <c r="C3" s="53" t="s">
        <v>99</v>
      </c>
      <c r="D3" s="53" t="s">
        <v>25</v>
      </c>
      <c r="E3" s="53" t="s">
        <v>126</v>
      </c>
      <c r="F3" s="53" t="s">
        <v>127</v>
      </c>
      <c r="G3" s="53" t="s">
        <v>273</v>
      </c>
      <c r="I3" s="53" t="s">
        <v>274</v>
      </c>
      <c r="J3" s="53" t="s">
        <v>275</v>
      </c>
      <c r="K3" s="53" t="s">
        <v>289</v>
      </c>
    </row>
    <row r="4" spans="1:14" s="3" customFormat="1" x14ac:dyDescent="0.2">
      <c r="A4" s="402" t="s">
        <v>424</v>
      </c>
      <c r="C4" s="215" t="s">
        <v>104</v>
      </c>
      <c r="D4" s="516"/>
      <c r="E4" s="216"/>
      <c r="F4" s="216"/>
      <c r="G4" s="472"/>
    </row>
    <row r="5" spans="1:14" s="3" customFormat="1" x14ac:dyDescent="0.2">
      <c r="C5" s="72" t="s">
        <v>80</v>
      </c>
      <c r="D5" s="421">
        <v>200000</v>
      </c>
      <c r="E5" s="422">
        <f>IF(D5=0,"need data",IF('Rents and Income'!$E$31=0,0,D5/'Rents and Income'!$E$31))</f>
        <v>10000</v>
      </c>
      <c r="F5" s="422">
        <f>IF(ISERROR(IF(D5=0,"need data",D5/SUMPRODUCT('Rents and Income'!$E$7:$E$30*'Rents and Income'!$F$7:$F$30))),0,IF(D5=0,"need data",D5/SUMPRODUCT('Rents and Income'!$E$7:$E$30*'Rents and Income'!$F$7:$F$30)))</f>
        <v>16.666666666666668</v>
      </c>
      <c r="G5" s="260"/>
      <c r="H5" s="474"/>
      <c r="I5" s="422">
        <v>0</v>
      </c>
      <c r="J5" s="422">
        <v>0</v>
      </c>
      <c r="K5" s="422">
        <f>+D5-I5-J5</f>
        <v>200000</v>
      </c>
      <c r="M5" s="402" t="s">
        <v>424</v>
      </c>
      <c r="N5" s="261"/>
    </row>
    <row r="6" spans="1:14" s="3" customFormat="1" x14ac:dyDescent="0.2">
      <c r="C6" s="72" t="s">
        <v>81</v>
      </c>
      <c r="D6" s="421">
        <v>100000</v>
      </c>
      <c r="E6" s="422">
        <f>IF(D6=0,"need data",IF('Rents and Income'!$E$31=0,0,D6/'Rents and Income'!$E$31))</f>
        <v>5000</v>
      </c>
      <c r="F6" s="422">
        <f>IF(ISERROR(IF(D6=0,"need data",D6/SUMPRODUCT('Rents and Income'!$E$7:$E$30*'Rents and Income'!$F$7:$F$30))),0,IF(D6=0,"need data",D6/SUMPRODUCT('Rents and Income'!$E$7:$E$30*'Rents and Income'!$F$7:$F$30)))</f>
        <v>8.3333333333333339</v>
      </c>
      <c r="G6" s="260"/>
      <c r="H6" s="474"/>
      <c r="I6" s="422">
        <f>+D6</f>
        <v>100000</v>
      </c>
      <c r="J6" s="422">
        <v>0</v>
      </c>
      <c r="K6" s="422">
        <f>+D6-I6-J6</f>
        <v>0</v>
      </c>
      <c r="M6" s="402" t="s">
        <v>424</v>
      </c>
      <c r="N6" s="513"/>
    </row>
    <row r="7" spans="1:14" s="3" customFormat="1" x14ac:dyDescent="0.2">
      <c r="A7" s="402" t="s">
        <v>424</v>
      </c>
      <c r="C7" s="260"/>
      <c r="D7" s="421"/>
      <c r="E7" s="422" t="str">
        <f>IF(D7=0,"need data",IF('Rents and Income'!$E$31=0,0,D7/'Rents and Income'!$E$31))</f>
        <v>need data</v>
      </c>
      <c r="F7" s="422" t="str">
        <f>IF(ISERROR(IF(D7=0,"need data",D7/SUMPRODUCT('Rents and Income'!$E$7:$E$30*'Rents and Income'!$F$7:$F$30))),0,IF(D7=0,"need data",D7/SUMPRODUCT('Rents and Income'!$E$7:$E$30*'Rents and Income'!$F$7:$F$30)))</f>
        <v>need data</v>
      </c>
      <c r="G7" s="260"/>
      <c r="H7" s="474"/>
      <c r="I7" s="422">
        <f>+D7</f>
        <v>0</v>
      </c>
      <c r="J7" s="422">
        <v>0</v>
      </c>
      <c r="K7" s="422">
        <f>+D7-I7-J7</f>
        <v>0</v>
      </c>
      <c r="N7" s="261"/>
    </row>
    <row r="8" spans="1:14" s="350" customFormat="1" ht="28.5" customHeight="1" x14ac:dyDescent="0.2">
      <c r="A8" s="402" t="s">
        <v>424</v>
      </c>
      <c r="C8" s="215" t="s">
        <v>228</v>
      </c>
      <c r="D8" s="423"/>
      <c r="E8" s="423"/>
      <c r="F8" s="423"/>
      <c r="G8" s="473"/>
      <c r="H8" s="475"/>
      <c r="I8" s="425"/>
      <c r="J8" s="425"/>
      <c r="K8" s="425"/>
    </row>
    <row r="9" spans="1:14" s="3" customFormat="1" x14ac:dyDescent="0.2">
      <c r="A9" s="704" t="s">
        <v>424</v>
      </c>
      <c r="C9" s="72" t="s">
        <v>82</v>
      </c>
      <c r="D9" s="421"/>
      <c r="E9" s="422" t="str">
        <f>IF(D9=0,"need data",IF('Rents and Income'!$E$31=0,0,D9/'Rents and Income'!$E$31))</f>
        <v>need data</v>
      </c>
      <c r="F9" s="422" t="str">
        <f>IF(ISERROR(IF(D9=0,"need data",D9/SUMPRODUCT('Rents and Income'!$E$7:$E$30*'Rents and Income'!$F$7:$F$30))),0,IF(D9=0,"need data",D9/SUMPRODUCT('Rents and Income'!$E$7:$E$30*'Rents and Income'!$F$7:$F$30)))</f>
        <v>need data</v>
      </c>
      <c r="G9" s="260"/>
      <c r="H9" s="474"/>
      <c r="I9" s="422">
        <v>0</v>
      </c>
      <c r="J9" s="422">
        <v>0</v>
      </c>
      <c r="K9" s="422">
        <f t="shared" ref="K9:K16" si="0">+D9-I9-J9</f>
        <v>0</v>
      </c>
      <c r="M9" s="490" t="s">
        <v>424</v>
      </c>
    </row>
    <row r="10" spans="1:14" s="3" customFormat="1" x14ac:dyDescent="0.2">
      <c r="A10" s="704"/>
      <c r="C10" s="72" t="s">
        <v>83</v>
      </c>
      <c r="D10" s="421"/>
      <c r="E10" s="422" t="str">
        <f>IF(D10=0,"need data",IF('Rents and Income'!$E$31=0,0,D10/'Rents and Income'!$E$31))</f>
        <v>need data</v>
      </c>
      <c r="F10" s="422" t="str">
        <f>IF(ISERROR(IF(D10=0,"need data",D10/SUMPRODUCT('Rents and Income'!$E$7:$E$30*'Rents and Income'!$F$7:$F$30))),0,IF(D10=0,"need data",D10/SUMPRODUCT('Rents and Income'!$E$7:$E$30*'Rents and Income'!$F$7:$F$30)))</f>
        <v>need data</v>
      </c>
      <c r="G10" s="260"/>
      <c r="H10" s="474"/>
      <c r="I10" s="422">
        <v>0</v>
      </c>
      <c r="J10" s="422">
        <f t="shared" ref="J10:J16" si="1">+D10</f>
        <v>0</v>
      </c>
      <c r="K10" s="422">
        <f t="shared" si="0"/>
        <v>0</v>
      </c>
    </row>
    <row r="11" spans="1:14" s="3" customFormat="1" x14ac:dyDescent="0.2">
      <c r="A11" s="559" t="s">
        <v>424</v>
      </c>
      <c r="C11" s="558" t="s">
        <v>579</v>
      </c>
      <c r="D11" s="421">
        <v>1000</v>
      </c>
      <c r="E11" s="422"/>
      <c r="F11" s="422"/>
      <c r="G11" s="260"/>
      <c r="H11" s="474"/>
      <c r="I11" s="422">
        <v>0</v>
      </c>
      <c r="J11" s="422">
        <f t="shared" si="1"/>
        <v>1000</v>
      </c>
      <c r="K11" s="422">
        <f t="shared" si="0"/>
        <v>0</v>
      </c>
    </row>
    <row r="12" spans="1:14" s="3" customFormat="1" x14ac:dyDescent="0.2">
      <c r="A12" s="402" t="s">
        <v>424</v>
      </c>
      <c r="C12" s="203" t="s">
        <v>276</v>
      </c>
      <c r="D12" s="421"/>
      <c r="E12" s="422" t="str">
        <f>IF(D12=0,"need data",IF('Rents and Income'!$E$31=0,0,D12/'Rents and Income'!$E$31))</f>
        <v>need data</v>
      </c>
      <c r="F12" s="422" t="str">
        <f>IF(ISERROR(IF(D12=0,"need data",D12/SUMPRODUCT('Rents and Income'!$E$7:$E$30*'Rents and Income'!$F$7:$F$30))),0,IF(D12=0,"need data",D12/SUMPRODUCT('Rents and Income'!$E$7:$E$30*'Rents and Income'!$F$7:$F$30)))</f>
        <v>need data</v>
      </c>
      <c r="G12" s="260"/>
      <c r="H12" s="474"/>
      <c r="I12" s="422">
        <v>0</v>
      </c>
      <c r="J12" s="422">
        <f t="shared" si="1"/>
        <v>0</v>
      </c>
      <c r="K12" s="422">
        <f t="shared" si="0"/>
        <v>0</v>
      </c>
      <c r="M12" s="490" t="s">
        <v>424</v>
      </c>
    </row>
    <row r="13" spans="1:14" s="3" customFormat="1" x14ac:dyDescent="0.2">
      <c r="A13" s="704" t="s">
        <v>424</v>
      </c>
      <c r="C13" s="558" t="s">
        <v>577</v>
      </c>
      <c r="D13" s="421"/>
      <c r="E13" s="422" t="str">
        <f>IF(D13=0,"need data",IF('Rents and Income'!$E$31=0,0,D13/'Rents and Income'!$E$31))</f>
        <v>need data</v>
      </c>
      <c r="F13" s="422" t="str">
        <f>IF(ISERROR(IF(D13=0,"need data",D13/SUMPRODUCT('Rents and Income'!$E$7:$E$30*'Rents and Income'!$F$7:$F$30))),0,IF(D13=0,"need data",D13/SUMPRODUCT('Rents and Income'!$E$7:$E$30*'Rents and Income'!$F$7:$F$30)))</f>
        <v>need data</v>
      </c>
      <c r="G13" s="260"/>
      <c r="H13" s="474"/>
      <c r="I13" s="422">
        <v>0</v>
      </c>
      <c r="J13" s="422">
        <f t="shared" si="1"/>
        <v>0</v>
      </c>
      <c r="K13" s="422">
        <f t="shared" si="0"/>
        <v>0</v>
      </c>
    </row>
    <row r="14" spans="1:14" s="3" customFormat="1" x14ac:dyDescent="0.2">
      <c r="A14" s="704"/>
      <c r="C14" s="558" t="s">
        <v>578</v>
      </c>
      <c r="D14" s="421"/>
      <c r="E14" s="422" t="str">
        <f>IF(D14=0,"need data",IF('Rents and Income'!$E$31=0,0,D14/'Rents and Income'!$E$31))</f>
        <v>need data</v>
      </c>
      <c r="F14" s="422" t="str">
        <f>IF(ISERROR(IF(D14=0,"need data",D14/SUMPRODUCT('Rents and Income'!$E$7:$E$30*'Rents and Income'!$F$7:$F$30))),0,IF(D14=0,"need data",D14/SUMPRODUCT('Rents and Income'!$E$7:$E$30*'Rents and Income'!$F$7:$F$30)))</f>
        <v>need data</v>
      </c>
      <c r="G14" s="260"/>
      <c r="H14" s="474"/>
      <c r="I14" s="422">
        <v>0</v>
      </c>
      <c r="J14" s="422">
        <f t="shared" si="1"/>
        <v>0</v>
      </c>
      <c r="K14" s="422">
        <f t="shared" si="0"/>
        <v>0</v>
      </c>
    </row>
    <row r="15" spans="1:14" s="3" customFormat="1" x14ac:dyDescent="0.2">
      <c r="A15" s="402" t="s">
        <v>424</v>
      </c>
      <c r="C15" s="260"/>
      <c r="D15" s="421"/>
      <c r="E15" s="422" t="str">
        <f>IF(D15=0,"need data",IF('Rents and Income'!$E$31=0,0,D15/'Rents and Income'!$E$31))</f>
        <v>need data</v>
      </c>
      <c r="F15" s="422" t="str">
        <f>IF(ISERROR(IF(D15=0,"need data",D15/SUMPRODUCT('Rents and Income'!$E$7:$E$30*'Rents and Income'!$F$7:$F$30))),0,IF(D15=0,"need data",D15/SUMPRODUCT('Rents and Income'!$E$7:$E$30*'Rents and Income'!$F$7:$F$30)))</f>
        <v>need data</v>
      </c>
      <c r="G15" s="260"/>
      <c r="H15" s="474"/>
      <c r="I15" s="422">
        <v>0</v>
      </c>
      <c r="J15" s="422">
        <f t="shared" si="1"/>
        <v>0</v>
      </c>
      <c r="K15" s="422">
        <f t="shared" si="0"/>
        <v>0</v>
      </c>
    </row>
    <row r="16" spans="1:14" s="3" customFormat="1" x14ac:dyDescent="0.2">
      <c r="A16" s="559" t="s">
        <v>424</v>
      </c>
      <c r="C16" s="260"/>
      <c r="D16" s="421"/>
      <c r="E16" s="422" t="str">
        <f>IF(D16=0,"need data",IF('Rents and Income'!$E$31=0,0,D16/'Rents and Income'!$E$31))</f>
        <v>need data</v>
      </c>
      <c r="F16" s="422" t="str">
        <f>IF(ISERROR(IF(D16=0,"need data",D16/SUMPRODUCT('Rents and Income'!$E$7:$E$30*'Rents and Income'!$F$7:$F$30))),0,IF(D16=0,"need data",D16/SUMPRODUCT('Rents and Income'!$E$7:$E$30*'Rents and Income'!$F$7:$F$30)))</f>
        <v>need data</v>
      </c>
      <c r="G16" s="260"/>
      <c r="H16" s="474"/>
      <c r="I16" s="422">
        <v>0</v>
      </c>
      <c r="J16" s="422">
        <f t="shared" si="1"/>
        <v>0</v>
      </c>
      <c r="K16" s="422">
        <f t="shared" si="0"/>
        <v>0</v>
      </c>
    </row>
    <row r="17" spans="1:11" s="350" customFormat="1" ht="12.75" customHeight="1" x14ac:dyDescent="0.2">
      <c r="A17" s="402" t="s">
        <v>424</v>
      </c>
      <c r="C17" s="215" t="s">
        <v>134</v>
      </c>
      <c r="D17" s="423"/>
      <c r="E17" s="423"/>
      <c r="F17" s="423"/>
      <c r="G17" s="473"/>
      <c r="H17" s="475"/>
      <c r="I17" s="425"/>
      <c r="J17" s="425"/>
      <c r="K17" s="425"/>
    </row>
    <row r="18" spans="1:11" s="3" customFormat="1" x14ac:dyDescent="0.2">
      <c r="A18" s="402" t="s">
        <v>424</v>
      </c>
      <c r="C18" s="72" t="s">
        <v>277</v>
      </c>
      <c r="D18" s="421"/>
      <c r="E18" s="422" t="str">
        <f>IF(D18=0,"need data",IF('Rents and Income'!$E$31=0,0,D18/'Rents and Income'!$E$31))</f>
        <v>need data</v>
      </c>
      <c r="F18" s="422" t="str">
        <f>IF(ISERROR(IF(D18=0,"need data",D18/SUMPRODUCT('Rents and Income'!$E$7:$E$30*'Rents and Income'!$F$7:$F$30))),0,IF(D18=0,"need data",D18/SUMPRODUCT('Rents and Income'!$E$7:$E$30*'Rents and Income'!$F$7:$F$30)))</f>
        <v>need data</v>
      </c>
      <c r="G18" s="260"/>
      <c r="H18" s="474"/>
      <c r="I18" s="422">
        <v>0</v>
      </c>
      <c r="J18" s="422">
        <f t="shared" ref="J18:J29" si="2">+D18</f>
        <v>0</v>
      </c>
      <c r="K18" s="422">
        <f t="shared" ref="K18:K29" si="3">+D18-I18-J18</f>
        <v>0</v>
      </c>
    </row>
    <row r="19" spans="1:11" s="3" customFormat="1" x14ac:dyDescent="0.2">
      <c r="A19" s="704" t="s">
        <v>424</v>
      </c>
      <c r="C19" s="558" t="s">
        <v>577</v>
      </c>
      <c r="D19" s="421">
        <v>2000</v>
      </c>
      <c r="E19" s="422">
        <f>IF(D19=0,"need data",IF('Rents and Income'!$E$31=0,0,D19/'Rents and Income'!$E$31))</f>
        <v>100</v>
      </c>
      <c r="F19" s="422">
        <f>IF(ISERROR(IF(D19=0,"need data",D19/SUMPRODUCT('Rents and Income'!$E$7:$E$30*'Rents and Income'!$F$7:$F$30))),0,IF(D19=0,"need data",D19/SUMPRODUCT('Rents and Income'!$E$7:$E$30*'Rents and Income'!$F$7:$F$30)))</f>
        <v>0.16666666666666666</v>
      </c>
      <c r="G19" s="260"/>
      <c r="H19" s="474"/>
      <c r="I19" s="422">
        <v>0</v>
      </c>
      <c r="J19" s="422">
        <f>+D19</f>
        <v>2000</v>
      </c>
      <c r="K19" s="422">
        <f>+D19-I19-J19</f>
        <v>0</v>
      </c>
    </row>
    <row r="20" spans="1:11" s="3" customFormat="1" x14ac:dyDescent="0.2">
      <c r="A20" s="704"/>
      <c r="C20" s="558" t="s">
        <v>578</v>
      </c>
      <c r="D20" s="421">
        <v>8000</v>
      </c>
      <c r="E20" s="422">
        <f>IF(D20=0,"need data",IF('Rents and Income'!$E$31=0,0,D20/'Rents and Income'!$E$31))</f>
        <v>400</v>
      </c>
      <c r="F20" s="422">
        <f>IF(ISERROR(IF(D20=0,"need data",D20/SUMPRODUCT('Rents and Income'!$E$7:$E$30*'Rents and Income'!$F$7:$F$30))),0,IF(D20=0,"need data",D20/SUMPRODUCT('Rents and Income'!$E$7:$E$30*'Rents and Income'!$F$7:$F$30)))</f>
        <v>0.66666666666666663</v>
      </c>
      <c r="G20" s="260"/>
      <c r="H20" s="474"/>
      <c r="I20" s="422">
        <v>0</v>
      </c>
      <c r="J20" s="422">
        <f>+D20</f>
        <v>8000</v>
      </c>
      <c r="K20" s="422">
        <f>+D20-I20-J20</f>
        <v>0</v>
      </c>
    </row>
    <row r="21" spans="1:11" s="3" customFormat="1" x14ac:dyDescent="0.2">
      <c r="A21" s="402" t="s">
        <v>424</v>
      </c>
      <c r="C21" s="72" t="s">
        <v>84</v>
      </c>
      <c r="D21" s="421"/>
      <c r="E21" s="422" t="str">
        <f>IF(D21=0,"need data",IF('Rents and Income'!$E$31=0,0,D21/'Rents and Income'!$E$31))</f>
        <v>need data</v>
      </c>
      <c r="F21" s="422" t="str">
        <f>IF(ISERROR(IF(D21=0,"need data",D21/SUMPRODUCT('Rents and Income'!$E$7:$E$30*'Rents and Income'!$F$7:$F$30))),0,IF(D21=0,"need data",D21/SUMPRODUCT('Rents and Income'!$E$7:$E$30*'Rents and Income'!$F$7:$F$30)))</f>
        <v>need data</v>
      </c>
      <c r="G21" s="260"/>
      <c r="H21" s="474"/>
      <c r="I21" s="422">
        <v>0</v>
      </c>
      <c r="J21" s="422">
        <f t="shared" si="2"/>
        <v>0</v>
      </c>
      <c r="K21" s="422">
        <f t="shared" si="3"/>
        <v>0</v>
      </c>
    </row>
    <row r="22" spans="1:11" s="3" customFormat="1" x14ac:dyDescent="0.2">
      <c r="A22" s="402" t="s">
        <v>424</v>
      </c>
      <c r="C22" s="72" t="s">
        <v>85</v>
      </c>
      <c r="D22" s="421">
        <v>800000</v>
      </c>
      <c r="E22" s="422">
        <f>IF(D22=0,"need data",IF('Rents and Income'!$E$31=0,0,D22/'Rents and Income'!$E$31))</f>
        <v>40000</v>
      </c>
      <c r="F22" s="422">
        <f>IF(ISERROR(IF(D22=0,"need data",D22/SUMPRODUCT('Rents and Income'!$E$7:$E$30*'Rents and Income'!$F$7:$F$30))),0,IF(D22=0,"need data",D22/SUMPRODUCT('Rents and Income'!$E$7:$E$30*'Rents and Income'!$F$7:$F$30)))</f>
        <v>66.666666666666671</v>
      </c>
      <c r="G22" s="260"/>
      <c r="H22" s="474"/>
      <c r="I22" s="422">
        <v>0</v>
      </c>
      <c r="J22" s="422">
        <f t="shared" si="2"/>
        <v>800000</v>
      </c>
      <c r="K22" s="422">
        <f t="shared" si="3"/>
        <v>0</v>
      </c>
    </row>
    <row r="23" spans="1:11" s="3" customFormat="1" x14ac:dyDescent="0.2">
      <c r="A23" s="402" t="s">
        <v>424</v>
      </c>
      <c r="C23" s="72" t="s">
        <v>86</v>
      </c>
      <c r="D23" s="421">
        <v>40000</v>
      </c>
      <c r="E23" s="422">
        <f>IF(D23=0,"need data",IF('Rents and Income'!$E$31=0,0,D23/'Rents and Income'!$E$31))</f>
        <v>2000</v>
      </c>
      <c r="F23" s="422">
        <f>IF(ISERROR(IF(D23=0,"need data",D23/SUMPRODUCT('Rents and Income'!$E$7:$E$30*'Rents and Income'!$F$7:$F$30))),0,IF(D23=0,"need data",D23/SUMPRODUCT('Rents and Income'!$E$7:$E$30*'Rents and Income'!$F$7:$F$30)))</f>
        <v>3.3333333333333335</v>
      </c>
      <c r="G23" s="260"/>
      <c r="H23" s="474"/>
      <c r="I23" s="422">
        <v>0</v>
      </c>
      <c r="J23" s="422">
        <f t="shared" si="2"/>
        <v>40000</v>
      </c>
      <c r="K23" s="422">
        <f t="shared" si="3"/>
        <v>0</v>
      </c>
    </row>
    <row r="24" spans="1:11" s="3" customFormat="1" x14ac:dyDescent="0.2">
      <c r="A24" s="402" t="s">
        <v>424</v>
      </c>
      <c r="C24" s="72" t="s">
        <v>87</v>
      </c>
      <c r="D24" s="421">
        <v>15000</v>
      </c>
      <c r="E24" s="422">
        <f>IF(D24=0,"need data",IF('Rents and Income'!$E$31=0,0,D24/'Rents and Income'!$E$31))</f>
        <v>750</v>
      </c>
      <c r="F24" s="422">
        <f>IF(ISERROR(IF(D24=0,"need data",D24/SUMPRODUCT('Rents and Income'!$E$7:$E$30*'Rents and Income'!$F$7:$F$30))),0,IF(D24=0,"need data",D24/SUMPRODUCT('Rents and Income'!$E$7:$E$30*'Rents and Income'!$F$7:$F$30)))</f>
        <v>1.25</v>
      </c>
      <c r="G24" s="260"/>
      <c r="H24" s="474"/>
      <c r="I24" s="422">
        <v>0</v>
      </c>
      <c r="J24" s="422">
        <f t="shared" si="2"/>
        <v>15000</v>
      </c>
      <c r="K24" s="422">
        <f t="shared" si="3"/>
        <v>0</v>
      </c>
    </row>
    <row r="25" spans="1:11" s="3" customFormat="1" x14ac:dyDescent="0.2">
      <c r="A25" s="402" t="s">
        <v>424</v>
      </c>
      <c r="C25" s="547" t="s">
        <v>575</v>
      </c>
      <c r="D25" s="421">
        <v>50000</v>
      </c>
      <c r="E25" s="422">
        <f>IF(D25=0,"need data",IF('Rents and Income'!$E$31=0,0,D25/'Rents and Income'!$E$31))</f>
        <v>2500</v>
      </c>
      <c r="F25" s="422">
        <f>IF(ISERROR(IF(D25=0,"need data",D25/SUMPRODUCT('Rents and Income'!$E$7:$E$30*'Rents and Income'!$F$7:$F$30))),0,IF(D25=0,"need data",D25/SUMPRODUCT('Rents and Income'!$E$7:$E$30*'Rents and Income'!$F$7:$F$30)))</f>
        <v>4.166666666666667</v>
      </c>
      <c r="G25" s="260"/>
      <c r="H25" s="474"/>
      <c r="I25" s="422">
        <v>0</v>
      </c>
      <c r="J25" s="422">
        <f t="shared" si="2"/>
        <v>50000</v>
      </c>
      <c r="K25" s="422">
        <f t="shared" si="3"/>
        <v>0</v>
      </c>
    </row>
    <row r="26" spans="1:11" s="3" customFormat="1" x14ac:dyDescent="0.2">
      <c r="A26" s="402" t="s">
        <v>424</v>
      </c>
      <c r="C26" s="72" t="s">
        <v>88</v>
      </c>
      <c r="D26" s="421"/>
      <c r="E26" s="422" t="str">
        <f>IF(D26=0,"need data",IF('Rents and Income'!$E$31=0,0,D26/'Rents and Income'!$E$31))</f>
        <v>need data</v>
      </c>
      <c r="F26" s="422" t="str">
        <f>IF(ISERROR(IF(D26=0,"need data",D26/SUMPRODUCT('Rents and Income'!$E$7:$E$30*'Rents and Income'!$F$7:$F$30))),0,IF(D26=0,"need data",D26/SUMPRODUCT('Rents and Income'!$E$7:$E$30*'Rents and Income'!$F$7:$F$30)))</f>
        <v>need data</v>
      </c>
      <c r="G26" s="260"/>
      <c r="H26" s="474"/>
      <c r="I26" s="422">
        <v>0</v>
      </c>
      <c r="J26" s="422">
        <f t="shared" si="2"/>
        <v>0</v>
      </c>
      <c r="K26" s="422">
        <f t="shared" si="3"/>
        <v>0</v>
      </c>
    </row>
    <row r="27" spans="1:11" s="3" customFormat="1" x14ac:dyDescent="0.2">
      <c r="A27" s="402" t="s">
        <v>424</v>
      </c>
      <c r="C27" s="72" t="s">
        <v>89</v>
      </c>
      <c r="D27" s="421">
        <v>120000</v>
      </c>
      <c r="E27" s="422">
        <f>IF(D27=0,"need data",IF('Rents and Income'!$E$31=0,0,D27/'Rents and Income'!$E$31))</f>
        <v>6000</v>
      </c>
      <c r="F27" s="422">
        <f>IF(ISERROR(IF(D27=0,"need data",D27/SUMPRODUCT('Rents and Income'!$E$7:$E$30*'Rents and Income'!$F$7:$F$30))),0,IF(D27=0,"need data",D27/SUMPRODUCT('Rents and Income'!$E$7:$E$30*'Rents and Income'!$F$7:$F$30)))</f>
        <v>10</v>
      </c>
      <c r="G27" s="260"/>
      <c r="H27" s="474"/>
      <c r="I27" s="422">
        <v>0</v>
      </c>
      <c r="J27" s="422">
        <f t="shared" si="2"/>
        <v>120000</v>
      </c>
      <c r="K27" s="422">
        <f t="shared" si="3"/>
        <v>0</v>
      </c>
    </row>
    <row r="28" spans="1:11" s="3" customFormat="1" x14ac:dyDescent="0.2">
      <c r="A28" s="704" t="s">
        <v>424</v>
      </c>
      <c r="C28" s="260"/>
      <c r="D28" s="421"/>
      <c r="E28" s="422" t="str">
        <f>IF(D28=0,"need data",IF('Rents and Income'!$E$31=0,0,D28/'Rents and Income'!$E$31))</f>
        <v>need data</v>
      </c>
      <c r="F28" s="422" t="str">
        <f>IF(ISERROR(IF(D28=0,"need data",D28/SUMPRODUCT('Rents and Income'!$E$7:$E$30*'Rents and Income'!$F$7:$F$30))),0,IF(D28=0,"need data",D28/SUMPRODUCT('Rents and Income'!$E$7:$E$30*'Rents and Income'!$F$7:$F$30)))</f>
        <v>need data</v>
      </c>
      <c r="G28" s="260"/>
      <c r="H28" s="474"/>
      <c r="I28" s="422">
        <v>0</v>
      </c>
      <c r="J28" s="422">
        <f>+D28</f>
        <v>0</v>
      </c>
      <c r="K28" s="422">
        <f t="shared" si="3"/>
        <v>0</v>
      </c>
    </row>
    <row r="29" spans="1:11" s="3" customFormat="1" x14ac:dyDescent="0.2">
      <c r="A29" s="704"/>
      <c r="C29" s="260"/>
      <c r="D29" s="421"/>
      <c r="E29" s="422" t="str">
        <f>IF(D29=0,"need data",IF('Rents and Income'!$E$31=0,0,D29/'Rents and Income'!$E$31))</f>
        <v>need data</v>
      </c>
      <c r="F29" s="422" t="str">
        <f>IF(ISERROR(IF(D29=0,"need data",D29/SUMPRODUCT('Rents and Income'!$E$7:$E$30*'Rents and Income'!$F$7:$F$30))),0,IF(D29=0,"need data",D29/SUMPRODUCT('Rents and Income'!$E$7:$E$30*'Rents and Income'!$F$7:$F$30)))</f>
        <v>need data</v>
      </c>
      <c r="G29" s="260"/>
      <c r="H29" s="474"/>
      <c r="I29" s="422">
        <v>0</v>
      </c>
      <c r="J29" s="422">
        <f t="shared" si="2"/>
        <v>0</v>
      </c>
      <c r="K29" s="422">
        <f t="shared" si="3"/>
        <v>0</v>
      </c>
    </row>
    <row r="30" spans="1:11" s="350" customFormat="1" ht="12.75" customHeight="1" x14ac:dyDescent="0.2">
      <c r="A30" s="402" t="s">
        <v>424</v>
      </c>
      <c r="C30" s="215" t="s">
        <v>103</v>
      </c>
      <c r="D30" s="423"/>
      <c r="E30" s="423"/>
      <c r="F30" s="423"/>
      <c r="G30" s="473"/>
      <c r="H30" s="475"/>
      <c r="I30" s="425"/>
      <c r="J30" s="425"/>
      <c r="K30" s="425"/>
    </row>
    <row r="31" spans="1:11" s="3" customFormat="1" x14ac:dyDescent="0.2">
      <c r="A31" s="704" t="s">
        <v>424</v>
      </c>
      <c r="C31" s="72" t="s">
        <v>90</v>
      </c>
      <c r="D31" s="421">
        <v>30000</v>
      </c>
      <c r="E31" s="422">
        <f>IF(D31=0,"need data",IF('Rents and Income'!$E$31=0,0,D31/'Rents and Income'!$E$31))</f>
        <v>1500</v>
      </c>
      <c r="F31" s="422">
        <f>IF(ISERROR(IF(D31=0,"need data",D31/SUMPRODUCT('Rents and Income'!$E$7:$E$30*'Rents and Income'!$F$7:$F$30))),0,IF(D31=0,"need data",D31/SUMPRODUCT('Rents and Income'!$E$7:$E$30*'Rents and Income'!$F$7:$F$30)))</f>
        <v>2.5</v>
      </c>
      <c r="G31" s="260"/>
      <c r="H31" s="474"/>
      <c r="I31" s="422">
        <v>0</v>
      </c>
      <c r="J31" s="422">
        <f>+D31</f>
        <v>30000</v>
      </c>
      <c r="K31" s="422">
        <f>+D31-I31-J31</f>
        <v>0</v>
      </c>
    </row>
    <row r="32" spans="1:11" s="3" customFormat="1" x14ac:dyDescent="0.2">
      <c r="A32" s="704"/>
      <c r="C32" s="72" t="s">
        <v>91</v>
      </c>
      <c r="D32" s="421"/>
      <c r="E32" s="422" t="str">
        <f>IF(D32=0,"need data",IF('Rents and Income'!$E$31=0,0,D32/'Rents and Income'!$E$31))</f>
        <v>need data</v>
      </c>
      <c r="F32" s="422" t="str">
        <f>IF(ISERROR(IF(D32=0,"need data",D32/SUMPRODUCT('Rents and Income'!$E$7:$E$30*'Rents and Income'!$F$7:$F$30))),0,IF(D32=0,"need data",D32/SUMPRODUCT('Rents and Income'!$E$7:$E$30*'Rents and Income'!$F$7:$F$30)))</f>
        <v>need data</v>
      </c>
      <c r="G32" s="260"/>
      <c r="H32" s="474"/>
      <c r="I32" s="422">
        <v>0</v>
      </c>
      <c r="J32" s="422">
        <f>+D32</f>
        <v>0</v>
      </c>
      <c r="K32" s="422">
        <f>+D32-I32-J32</f>
        <v>0</v>
      </c>
    </row>
    <row r="33" spans="1:13" s="3" customFormat="1" x14ac:dyDescent="0.2">
      <c r="A33" s="402" t="s">
        <v>424</v>
      </c>
      <c r="C33" s="72" t="s">
        <v>92</v>
      </c>
      <c r="D33" s="421"/>
      <c r="E33" s="422" t="str">
        <f>IF(D33=0,"need data",IF('Rents and Income'!$E$31=0,0,D33/'Rents and Income'!$E$31))</f>
        <v>need data</v>
      </c>
      <c r="F33" s="422" t="str">
        <f>IF(ISERROR(IF(D33=0,"need data",D33/SUMPRODUCT('Rents and Income'!$E$7:$E$30*'Rents and Income'!$F$7:$F$30))),0,IF(D33=0,"need data",D33/SUMPRODUCT('Rents and Income'!$E$7:$E$30*'Rents and Income'!$F$7:$F$30)))</f>
        <v>need data</v>
      </c>
      <c r="G33" s="260"/>
      <c r="H33" s="474"/>
      <c r="I33" s="422">
        <v>0</v>
      </c>
      <c r="J33" s="422">
        <f>+D33</f>
        <v>0</v>
      </c>
      <c r="K33" s="422">
        <f>+D33-I33-J33</f>
        <v>0</v>
      </c>
    </row>
    <row r="34" spans="1:13" s="3" customFormat="1" x14ac:dyDescent="0.2">
      <c r="A34" s="402" t="s">
        <v>424</v>
      </c>
      <c r="C34" s="260"/>
      <c r="D34" s="421"/>
      <c r="E34" s="422" t="str">
        <f>IF(D34=0,"need data",IF('Rents and Income'!$E$31=0,0,D34/'Rents and Income'!$E$31))</f>
        <v>need data</v>
      </c>
      <c r="F34" s="422" t="str">
        <f>IF(ISERROR(IF(D34=0,"need data",D34/SUMPRODUCT('Rents and Income'!$E$7:$E$30*'Rents and Income'!$F$7:$F$30))),0,IF(D34=0,"need data",D34/SUMPRODUCT('Rents and Income'!$E$7:$E$30*'Rents and Income'!$F$7:$F$30)))</f>
        <v>need data</v>
      </c>
      <c r="G34" s="260"/>
      <c r="H34" s="474"/>
      <c r="I34" s="422">
        <v>0</v>
      </c>
      <c r="J34" s="422">
        <f>+D34</f>
        <v>0</v>
      </c>
      <c r="K34" s="422">
        <f>+D34-I34-J34</f>
        <v>0</v>
      </c>
    </row>
    <row r="35" spans="1:13" s="350" customFormat="1" ht="12.75" customHeight="1" x14ac:dyDescent="0.2">
      <c r="A35" s="402" t="s">
        <v>424</v>
      </c>
      <c r="C35" s="215" t="s">
        <v>102</v>
      </c>
      <c r="D35" s="423"/>
      <c r="E35" s="423"/>
      <c r="F35" s="423"/>
      <c r="G35" s="473"/>
      <c r="H35" s="475"/>
      <c r="I35" s="425"/>
      <c r="J35" s="425"/>
      <c r="K35" s="425"/>
    </row>
    <row r="36" spans="1:13" s="3" customFormat="1" x14ac:dyDescent="0.2">
      <c r="A36" s="402" t="s">
        <v>424</v>
      </c>
      <c r="C36" s="72" t="s">
        <v>140</v>
      </c>
      <c r="D36" s="421"/>
      <c r="E36" s="422" t="str">
        <f>IF(D36=0,"need data",IF('Rents and Income'!$E$31=0,0,D36/'Rents and Income'!$E$31))</f>
        <v>need data</v>
      </c>
      <c r="F36" s="422" t="str">
        <f>IF(ISERROR(IF(D36=0,"need data",D36/SUMPRODUCT('Rents and Income'!$E$7:$E$30*'Rents and Income'!$F$7:$F$30))),0,IF(D36=0,"need data",D36/SUMPRODUCT('Rents and Income'!$E$7:$E$30*'Rents and Income'!$F$7:$F$30)))</f>
        <v>need data</v>
      </c>
      <c r="G36" s="260"/>
      <c r="H36" s="474"/>
      <c r="I36" s="422">
        <v>0</v>
      </c>
      <c r="J36" s="422">
        <f>+D36</f>
        <v>0</v>
      </c>
      <c r="K36" s="422">
        <f t="shared" ref="K36:K53" si="4">+D36-I36-J36</f>
        <v>0</v>
      </c>
    </row>
    <row r="37" spans="1:13" s="3" customFormat="1" x14ac:dyDescent="0.2">
      <c r="A37" s="704" t="s">
        <v>424</v>
      </c>
      <c r="C37" s="203" t="s">
        <v>281</v>
      </c>
      <c r="D37" s="421">
        <v>20000</v>
      </c>
      <c r="E37" s="422">
        <f>IF(D37=0,"need data",IF('Rents and Income'!$E$31=0,0,D37/'Rents and Income'!$E$31))</f>
        <v>1000</v>
      </c>
      <c r="F37" s="422">
        <f>IF(ISERROR(IF(D37=0,"need data",D37/SUMPRODUCT('Rents and Income'!$E$7:$E$30*'Rents and Income'!$F$7:$F$30))),0,IF(D37=0,"need data",D37/SUMPRODUCT('Rents and Income'!$E$7:$E$30*'Rents and Income'!$F$7:$F$30)))</f>
        <v>1.6666666666666667</v>
      </c>
      <c r="G37" s="260"/>
      <c r="H37" s="474"/>
      <c r="I37" s="422">
        <v>0</v>
      </c>
      <c r="J37" s="422">
        <f>+D37</f>
        <v>20000</v>
      </c>
      <c r="K37" s="422">
        <f t="shared" si="4"/>
        <v>0</v>
      </c>
    </row>
    <row r="38" spans="1:13" s="3" customFormat="1" x14ac:dyDescent="0.2">
      <c r="A38" s="704"/>
      <c r="C38" s="72" t="s">
        <v>282</v>
      </c>
      <c r="D38" s="421">
        <v>20000</v>
      </c>
      <c r="E38" s="422">
        <f>IF(D38=0,"need data",IF('Rents and Income'!$E$31=0,0,D38/'Rents and Income'!$E$31))</f>
        <v>1000</v>
      </c>
      <c r="F38" s="422">
        <f>IF(ISERROR(IF(D38=0,"need data",D38/SUMPRODUCT('Rents and Income'!$E$7:$E$30*'Rents and Income'!$F$7:$F$30))),0,IF(D38=0,"need data",D38/SUMPRODUCT('Rents and Income'!$E$7:$E$30*'Rents and Income'!$F$7:$F$30)))</f>
        <v>1.6666666666666667</v>
      </c>
      <c r="G38" s="260"/>
      <c r="H38" s="474"/>
      <c r="I38" s="422">
        <v>0</v>
      </c>
      <c r="J38" s="422">
        <f>+D38</f>
        <v>20000</v>
      </c>
      <c r="K38" s="422">
        <f t="shared" si="4"/>
        <v>0</v>
      </c>
    </row>
    <row r="39" spans="1:13" s="3" customFormat="1" x14ac:dyDescent="0.2">
      <c r="A39" s="704" t="s">
        <v>424</v>
      </c>
      <c r="C39" s="72" t="s">
        <v>283</v>
      </c>
      <c r="D39" s="421"/>
      <c r="E39" s="422" t="str">
        <f>IF(D39=0,"need data",IF('Rents and Income'!$E$31=0,0,D39/'Rents and Income'!$E$31))</f>
        <v>need data</v>
      </c>
      <c r="F39" s="422" t="str">
        <f>IF(ISERROR(IF(D39=0,"need data",D39/SUMPRODUCT('Rents and Income'!$E$7:$E$30*'Rents and Income'!$F$7:$F$30))),0,IF(D39=0,"need data",D39/SUMPRODUCT('Rents and Income'!$E$7:$E$30*'Rents and Income'!$F$7:$F$30)))</f>
        <v>need data</v>
      </c>
      <c r="G39" s="260"/>
      <c r="H39" s="474"/>
      <c r="I39" s="422">
        <v>0</v>
      </c>
      <c r="J39" s="422">
        <v>0</v>
      </c>
      <c r="K39" s="422">
        <f t="shared" si="4"/>
        <v>0</v>
      </c>
      <c r="M39" s="402" t="s">
        <v>424</v>
      </c>
    </row>
    <row r="40" spans="1:13" s="3" customFormat="1" x14ac:dyDescent="0.2">
      <c r="A40" s="704"/>
      <c r="C40" s="72" t="s">
        <v>284</v>
      </c>
      <c r="D40" s="421"/>
      <c r="E40" s="422" t="str">
        <f>IF(D40=0,"need data",IF('Rents and Income'!$E$31=0,0,D40/'Rents and Income'!$E$31))</f>
        <v>need data</v>
      </c>
      <c r="F40" s="422" t="str">
        <f>IF(ISERROR(IF(D40=0,"need data",D40/SUMPRODUCT('Rents and Income'!$E$7:$E$30*'Rents and Income'!$F$7:$F$30))),0,IF(D40=0,"need data",D40/SUMPRODUCT('Rents and Income'!$E$7:$E$30*'Rents and Income'!$F$7:$F$30)))</f>
        <v>need data</v>
      </c>
      <c r="G40" s="260"/>
      <c r="H40" s="474"/>
      <c r="I40" s="422">
        <v>0</v>
      </c>
      <c r="J40" s="422">
        <v>0</v>
      </c>
      <c r="K40" s="422">
        <f t="shared" si="4"/>
        <v>0</v>
      </c>
      <c r="M40" s="402" t="s">
        <v>424</v>
      </c>
    </row>
    <row r="41" spans="1:13" s="3" customFormat="1" x14ac:dyDescent="0.2">
      <c r="A41" s="704" t="s">
        <v>424</v>
      </c>
      <c r="C41" s="72" t="s">
        <v>93</v>
      </c>
      <c r="D41" s="421">
        <v>5000</v>
      </c>
      <c r="E41" s="422">
        <f>IF(D41=0,"need data",IF('Rents and Income'!$E$31=0,0,D41/'Rents and Income'!$E$31))</f>
        <v>250</v>
      </c>
      <c r="F41" s="422">
        <f>IF(ISERROR(IF(D41=0,"need data",D41/SUMPRODUCT('Rents and Income'!$E$7:$E$30*'Rents and Income'!$F$7:$F$30))),0,IF(D41=0,"need data",D41/SUMPRODUCT('Rents and Income'!$E$7:$E$30*'Rents and Income'!$F$7:$F$30)))</f>
        <v>0.41666666666666669</v>
      </c>
      <c r="G41" s="260"/>
      <c r="H41" s="474"/>
      <c r="I41" s="422">
        <v>0</v>
      </c>
      <c r="J41" s="422">
        <f t="shared" ref="J41:J48" si="5">+D41</f>
        <v>5000</v>
      </c>
      <c r="K41" s="422">
        <f t="shared" si="4"/>
        <v>0</v>
      </c>
    </row>
    <row r="42" spans="1:13" s="3" customFormat="1" x14ac:dyDescent="0.2">
      <c r="A42" s="704"/>
      <c r="C42" s="72" t="s">
        <v>94</v>
      </c>
      <c r="D42" s="421">
        <v>5000</v>
      </c>
      <c r="E42" s="422">
        <f>IF(D42=0,"need data",IF('Rents and Income'!$E$31=0,0,D42/'Rents and Income'!$E$31))</f>
        <v>250</v>
      </c>
      <c r="F42" s="422">
        <f>IF(ISERROR(IF(D42=0,"need data",D42/SUMPRODUCT('Rents and Income'!$E$7:$E$30*'Rents and Income'!$F$7:$F$30))),0,IF(D42=0,"need data",D42/SUMPRODUCT('Rents and Income'!$E$7:$E$30*'Rents and Income'!$F$7:$F$30)))</f>
        <v>0.41666666666666669</v>
      </c>
      <c r="G42" s="260"/>
      <c r="H42" s="474"/>
      <c r="I42" s="422">
        <v>0</v>
      </c>
      <c r="J42" s="422">
        <f t="shared" si="5"/>
        <v>5000</v>
      </c>
      <c r="K42" s="422">
        <f t="shared" si="4"/>
        <v>0</v>
      </c>
    </row>
    <row r="43" spans="1:13" s="3" customFormat="1" x14ac:dyDescent="0.2">
      <c r="A43" s="402" t="s">
        <v>424</v>
      </c>
      <c r="C43" s="72" t="s">
        <v>141</v>
      </c>
      <c r="D43" s="421">
        <v>5000</v>
      </c>
      <c r="E43" s="422">
        <f>IF(D43=0,"need data",IF('Rents and Income'!$E$31=0,0,D43/'Rents and Income'!$E$31))</f>
        <v>250</v>
      </c>
      <c r="F43" s="422">
        <f>IF(ISERROR(IF(D43=0,"need data",D43/SUMPRODUCT('Rents and Income'!$E$7:$E$30*'Rents and Income'!$F$7:$F$30))),0,IF(D43=0,"need data",D43/SUMPRODUCT('Rents and Income'!$E$7:$E$30*'Rents and Income'!$F$7:$F$30)))</f>
        <v>0.41666666666666669</v>
      </c>
      <c r="G43" s="260"/>
      <c r="H43" s="474"/>
      <c r="I43" s="422">
        <v>0</v>
      </c>
      <c r="J43" s="422">
        <f t="shared" si="5"/>
        <v>5000</v>
      </c>
      <c r="K43" s="422">
        <f t="shared" si="4"/>
        <v>0</v>
      </c>
    </row>
    <row r="44" spans="1:13" s="3" customFormat="1" x14ac:dyDescent="0.2">
      <c r="A44" s="402" t="s">
        <v>424</v>
      </c>
      <c r="C44" s="72" t="s">
        <v>285</v>
      </c>
      <c r="D44" s="421">
        <v>5000</v>
      </c>
      <c r="E44" s="422">
        <f>IF(D44=0,"need data",IF('Rents and Income'!$E$31=0,0,D44/'Rents and Income'!$E$31))</f>
        <v>250</v>
      </c>
      <c r="F44" s="422">
        <f>IF(ISERROR(IF(D44=0,"need data",D44/SUMPRODUCT('Rents and Income'!$E$7:$E$30*'Rents and Income'!$F$7:$F$30))),0,IF(D44=0,"need data",D44/SUMPRODUCT('Rents and Income'!$E$7:$E$30*'Rents and Income'!$F$7:$F$30)))</f>
        <v>0.41666666666666669</v>
      </c>
      <c r="G44" s="260"/>
      <c r="H44" s="474"/>
      <c r="I44" s="422">
        <v>0</v>
      </c>
      <c r="J44" s="422">
        <f t="shared" si="5"/>
        <v>5000</v>
      </c>
      <c r="K44" s="422">
        <f t="shared" si="4"/>
        <v>0</v>
      </c>
    </row>
    <row r="45" spans="1:13" s="3" customFormat="1" x14ac:dyDescent="0.2">
      <c r="A45" s="402" t="s">
        <v>424</v>
      </c>
      <c r="C45" s="203" t="s">
        <v>286</v>
      </c>
      <c r="D45" s="421">
        <v>5000</v>
      </c>
      <c r="E45" s="422">
        <f>IF(D45=0,"need data",IF('Rents and Income'!$E$31=0,0,D45/'Rents and Income'!$E$31))</f>
        <v>250</v>
      </c>
      <c r="F45" s="422">
        <f>IF(ISERROR(IF(D45=0,"need data",D45/SUMPRODUCT('Rents and Income'!$E$7:$E$30*'Rents and Income'!$F$7:$F$30))),0,IF(D45=0,"need data",D45/SUMPRODUCT('Rents and Income'!$E$7:$E$30*'Rents and Income'!$F$7:$F$30)))</f>
        <v>0.41666666666666669</v>
      </c>
      <c r="G45" s="260"/>
      <c r="H45" s="474"/>
      <c r="I45" s="422">
        <v>0</v>
      </c>
      <c r="J45" s="422">
        <f t="shared" si="5"/>
        <v>5000</v>
      </c>
      <c r="K45" s="422">
        <f t="shared" si="4"/>
        <v>0</v>
      </c>
    </row>
    <row r="46" spans="1:13" s="3" customFormat="1" x14ac:dyDescent="0.2">
      <c r="A46" s="402" t="s">
        <v>424</v>
      </c>
      <c r="C46" s="260"/>
      <c r="D46" s="421"/>
      <c r="E46" s="422" t="str">
        <f>IF(D46=0,"need data",IF('Rents and Income'!$E$31=0,0,D46/'Rents and Income'!$E$31))</f>
        <v>need data</v>
      </c>
      <c r="F46" s="422" t="str">
        <f>IF(ISERROR(IF(D46=0,"need data",D46/SUMPRODUCT('Rents and Income'!$E$7:$E$30*'Rents and Income'!$F$7:$F$30))),0,IF(D46=0,"need data",D46/SUMPRODUCT('Rents and Income'!$E$7:$E$30*'Rents and Income'!$F$7:$F$30)))</f>
        <v>need data</v>
      </c>
      <c r="G46" s="260"/>
      <c r="H46" s="474"/>
      <c r="I46" s="422">
        <v>0</v>
      </c>
      <c r="J46" s="422">
        <f t="shared" si="5"/>
        <v>0</v>
      </c>
      <c r="K46" s="422">
        <f t="shared" si="4"/>
        <v>0</v>
      </c>
    </row>
    <row r="47" spans="1:13" s="3" customFormat="1" x14ac:dyDescent="0.2">
      <c r="A47" s="402" t="s">
        <v>424</v>
      </c>
      <c r="C47" s="72" t="s">
        <v>136</v>
      </c>
      <c r="D47" s="421">
        <v>20000</v>
      </c>
      <c r="E47" s="422">
        <f>IF(D47=0,"need data",IF('Rents and Income'!$E$31=0,0,D47/'Rents and Income'!$E$31))</f>
        <v>1000</v>
      </c>
      <c r="F47" s="422">
        <f>IF(ISERROR(IF(D47=0,"need data",D47/SUMPRODUCT('Rents and Income'!$E$7:$E$30*'Rents and Income'!$F$7:$F$30))),0,IF(D47=0,"need data",D47/SUMPRODUCT('Rents and Income'!$E$7:$E$30*'Rents and Income'!$F$7:$F$30)))</f>
        <v>1.6666666666666667</v>
      </c>
      <c r="G47" s="260"/>
      <c r="H47" s="474"/>
      <c r="I47" s="422">
        <v>0</v>
      </c>
      <c r="J47" s="422">
        <f t="shared" si="5"/>
        <v>20000</v>
      </c>
      <c r="K47" s="422">
        <f t="shared" si="4"/>
        <v>0</v>
      </c>
    </row>
    <row r="48" spans="1:13" s="3" customFormat="1" x14ac:dyDescent="0.2">
      <c r="A48" s="402" t="s">
        <v>424</v>
      </c>
      <c r="C48" s="72" t="s">
        <v>293</v>
      </c>
      <c r="D48" s="421">
        <v>40000</v>
      </c>
      <c r="E48" s="422">
        <f>IF(D48=0,"need data",IF('Rents and Income'!$E$31=0,0,D48/'Rents and Income'!$E$31))</f>
        <v>2000</v>
      </c>
      <c r="F48" s="422">
        <f>IF(ISERROR(IF(D48=0,"need data",D48/SUMPRODUCT('Rents and Income'!$E$7:$E$30*'Rents and Income'!$F$7:$F$30))),0,IF(D48=0,"need data",D48/SUMPRODUCT('Rents and Income'!$E$7:$E$30*'Rents and Income'!$F$7:$F$30)))</f>
        <v>3.3333333333333335</v>
      </c>
      <c r="G48" s="260"/>
      <c r="H48" s="474"/>
      <c r="I48" s="422">
        <v>0</v>
      </c>
      <c r="J48" s="422">
        <f t="shared" si="5"/>
        <v>40000</v>
      </c>
      <c r="K48" s="422">
        <f t="shared" si="4"/>
        <v>0</v>
      </c>
    </row>
    <row r="49" spans="1:14" s="3" customFormat="1" x14ac:dyDescent="0.2">
      <c r="A49" s="402" t="s">
        <v>424</v>
      </c>
      <c r="C49" s="203" t="s">
        <v>294</v>
      </c>
      <c r="D49" s="421">
        <v>40000</v>
      </c>
      <c r="E49" s="422">
        <f>IF(D49=0,"need data",IF('Rents and Income'!$E$31=0,0,D49/'Rents and Income'!$E$31))</f>
        <v>2000</v>
      </c>
      <c r="F49" s="422">
        <f>IF(ISERROR(IF(D49=0,"need data",D49/SUMPRODUCT('Rents and Income'!$E$7:$E$30*'Rents and Income'!$F$7:$F$30))),0,IF(D49=0,"need data",D49/SUMPRODUCT('Rents and Income'!$E$7:$E$30*'Rents and Income'!$F$7:$F$30)))</f>
        <v>3.3333333333333335</v>
      </c>
      <c r="G49" s="260"/>
      <c r="H49" s="474"/>
      <c r="I49" s="422">
        <v>0</v>
      </c>
      <c r="J49" s="422">
        <v>0</v>
      </c>
      <c r="K49" s="422">
        <f t="shared" si="4"/>
        <v>40000</v>
      </c>
      <c r="M49" s="402" t="s">
        <v>424</v>
      </c>
      <c r="N49" s="261"/>
    </row>
    <row r="50" spans="1:14" s="3" customFormat="1" x14ac:dyDescent="0.2">
      <c r="A50" s="515" t="s">
        <v>424</v>
      </c>
      <c r="C50" s="514" t="s">
        <v>552</v>
      </c>
      <c r="D50" s="421">
        <v>20000</v>
      </c>
      <c r="E50" s="422">
        <f>IF(D50=0,"need data",IF('Rents and Income'!$E$31=0,0,D50/'Rents and Income'!$E$31))</f>
        <v>1000</v>
      </c>
      <c r="F50" s="422">
        <f>IF(ISERROR(IF(D50=0,"need data",D50/SUMPRODUCT('Rents and Income'!$E$7:$E$30*'Rents and Income'!$F$7:$F$30))),0,IF(D50=0,"need data",D50/SUMPRODUCT('Rents and Income'!$E$7:$E$30*'Rents and Income'!$F$7:$F$30)))</f>
        <v>1.6666666666666667</v>
      </c>
      <c r="G50" s="260"/>
      <c r="H50" s="474"/>
      <c r="I50" s="422">
        <v>0</v>
      </c>
      <c r="J50" s="422">
        <f t="shared" ref="J50" si="6">+D50</f>
        <v>20000</v>
      </c>
      <c r="K50" s="422">
        <f t="shared" ref="K50" si="7">+D50-I50-J50</f>
        <v>0</v>
      </c>
      <c r="N50" s="261"/>
    </row>
    <row r="51" spans="1:14" s="3" customFormat="1" x14ac:dyDescent="0.2">
      <c r="A51" s="402" t="s">
        <v>424</v>
      </c>
      <c r="C51" s="203" t="s">
        <v>287</v>
      </c>
      <c r="D51" s="421">
        <v>50000</v>
      </c>
      <c r="E51" s="422">
        <f>IF(D51=0,"need data",IF('Rents and Income'!$E$31=0,0,D51/'Rents and Income'!$E$31))</f>
        <v>2500</v>
      </c>
      <c r="F51" s="422">
        <f>IF(ISERROR(IF(D51=0,"need data",D51/SUMPRODUCT('Rents and Income'!$E$7:$E$30*'Rents and Income'!$F$7:$F$30))),0,IF(D51=0,"need data",D51/SUMPRODUCT('Rents and Income'!$E$7:$E$30*'Rents and Income'!$F$7:$F$30)))</f>
        <v>4.166666666666667</v>
      </c>
      <c r="G51" s="260"/>
      <c r="H51" s="474"/>
      <c r="I51" s="422">
        <v>0</v>
      </c>
      <c r="J51" s="422">
        <f>+D51</f>
        <v>50000</v>
      </c>
      <c r="K51" s="422">
        <f t="shared" si="4"/>
        <v>0</v>
      </c>
    </row>
    <row r="52" spans="1:14" s="3" customFormat="1" x14ac:dyDescent="0.2">
      <c r="A52" s="704" t="s">
        <v>424</v>
      </c>
      <c r="C52" s="260"/>
      <c r="D52" s="421"/>
      <c r="E52" s="422" t="str">
        <f>IF(D52=0,"need data",IF('Rents and Income'!$E$31=0,0,D52/'Rents and Income'!$E$31))</f>
        <v>need data</v>
      </c>
      <c r="F52" s="422" t="str">
        <f>IF(ISERROR(IF(D52=0,"need data",D52/SUMPRODUCT('Rents and Income'!$E$7:$E$30*'Rents and Income'!$F$7:$F$30))),0,IF(D52=0,"need data",D52/SUMPRODUCT('Rents and Income'!$E$7:$E$30*'Rents and Income'!$F$7:$F$30)))</f>
        <v>need data</v>
      </c>
      <c r="G52" s="260"/>
      <c r="H52" s="474"/>
      <c r="I52" s="422">
        <v>0</v>
      </c>
      <c r="J52" s="422">
        <f>+D52</f>
        <v>0</v>
      </c>
      <c r="K52" s="422">
        <f t="shared" si="4"/>
        <v>0</v>
      </c>
    </row>
    <row r="53" spans="1:14" s="3" customFormat="1" x14ac:dyDescent="0.2">
      <c r="A53" s="704"/>
      <c r="C53" s="260"/>
      <c r="D53" s="421"/>
      <c r="E53" s="422" t="str">
        <f>IF(D53=0,"need data",IF('Rents and Income'!$E$31=0,0,D53/'Rents and Income'!$E$31))</f>
        <v>need data</v>
      </c>
      <c r="F53" s="422" t="str">
        <f>IF(ISERROR(IF(D53=0,"need data",D53/SUMPRODUCT('Rents and Income'!$E$7:$E$30*'Rents and Income'!$F$7:$F$30))),0,IF(D53=0,"need data",D53/SUMPRODUCT('Rents and Income'!$E$7:$E$30*'Rents and Income'!$F$7:$F$30)))</f>
        <v>need data</v>
      </c>
      <c r="G53" s="260"/>
      <c r="H53" s="474"/>
      <c r="I53" s="422">
        <v>0</v>
      </c>
      <c r="J53" s="422">
        <f>+D53</f>
        <v>0</v>
      </c>
      <c r="K53" s="422">
        <f t="shared" si="4"/>
        <v>0</v>
      </c>
    </row>
    <row r="54" spans="1:14" s="350" customFormat="1" ht="12.75" customHeight="1" x14ac:dyDescent="0.2">
      <c r="A54" s="402" t="s">
        <v>424</v>
      </c>
      <c r="B54" s="3"/>
      <c r="C54" s="215" t="s">
        <v>148</v>
      </c>
      <c r="D54" s="423"/>
      <c r="E54" s="423"/>
      <c r="F54" s="423"/>
      <c r="G54" s="473"/>
      <c r="H54" s="475"/>
      <c r="I54" s="425"/>
      <c r="J54" s="425"/>
      <c r="K54" s="425"/>
    </row>
    <row r="55" spans="1:14" s="3" customFormat="1" x14ac:dyDescent="0.2">
      <c r="A55" s="402" t="s">
        <v>424</v>
      </c>
      <c r="C55" s="72" t="s">
        <v>291</v>
      </c>
      <c r="D55" s="421">
        <v>10000</v>
      </c>
      <c r="E55" s="422">
        <f>IF(D55=0,"need data",IF('Rents and Income'!$E$31=0,0,D55/'Rents and Income'!$E$31))</f>
        <v>500</v>
      </c>
      <c r="F55" s="422">
        <f>IF(ISERROR(IF(D55=0,"need data",D55/SUMPRODUCT('Rents and Income'!$E$7:$E$30*'Rents and Income'!$F$7:$F$30))),0,IF(D55=0,"need data",D55/SUMPRODUCT('Rents and Income'!$E$7:$E$30*'Rents and Income'!$F$7:$F$30)))</f>
        <v>0.83333333333333337</v>
      </c>
      <c r="G55" s="260"/>
      <c r="H55" s="474"/>
      <c r="I55" s="422">
        <v>0</v>
      </c>
      <c r="J55" s="422">
        <f>+D55</f>
        <v>10000</v>
      </c>
      <c r="K55" s="422">
        <f t="shared" ref="K55:K64" si="8">+D55-I55-J55</f>
        <v>0</v>
      </c>
    </row>
    <row r="56" spans="1:14" s="3" customFormat="1" x14ac:dyDescent="0.2">
      <c r="A56" s="402" t="s">
        <v>424</v>
      </c>
      <c r="C56" s="203" t="s">
        <v>292</v>
      </c>
      <c r="D56" s="421">
        <v>5000</v>
      </c>
      <c r="E56" s="422">
        <f>IF(D56=0,"need data",IF('Rents and Income'!$E$31=0,0,D56/'Rents and Income'!$E$31))</f>
        <v>250</v>
      </c>
      <c r="F56" s="422">
        <f>IF(ISERROR(IF(D56=0,"need data",D56/SUMPRODUCT('Rents and Income'!$E$7:$E$30*'Rents and Income'!$F$7:$F$30))),0,IF(D56=0,"need data",D56/SUMPRODUCT('Rents and Income'!$E$7:$E$30*'Rents and Income'!$F$7:$F$30)))</f>
        <v>0.41666666666666669</v>
      </c>
      <c r="G56" s="260"/>
      <c r="H56" s="474"/>
      <c r="I56" s="422">
        <v>0</v>
      </c>
      <c r="J56" s="422">
        <f>+D56</f>
        <v>5000</v>
      </c>
      <c r="K56" s="422">
        <f t="shared" si="8"/>
        <v>0</v>
      </c>
    </row>
    <row r="57" spans="1:14" s="3" customFormat="1" x14ac:dyDescent="0.2">
      <c r="A57" s="402" t="s">
        <v>424</v>
      </c>
      <c r="C57" s="72" t="s">
        <v>315</v>
      </c>
      <c r="D57" s="422">
        <f>+D111</f>
        <v>0</v>
      </c>
      <c r="E57" s="422" t="str">
        <f>IF(D57=0,"need data",IF('Rents and Income'!$E$31=0,0,D57/'Rents and Income'!$E$31))</f>
        <v>need data</v>
      </c>
      <c r="F57" s="422" t="str">
        <f>IF(ISERROR(IF(D57=0,"need data",D57/SUMPRODUCT('Rents and Income'!$E$7:$E$30*'Rents and Income'!$F$7:$F$30))),0,IF(D57=0,"need data",D57/SUMPRODUCT('Rents and Income'!$E$7:$E$30*'Rents and Income'!$F$7:$F$30)))</f>
        <v>need data</v>
      </c>
      <c r="G57" s="260"/>
      <c r="H57" s="474"/>
      <c r="I57" s="422">
        <v>0</v>
      </c>
      <c r="J57" s="422">
        <f>+D108+D109</f>
        <v>0</v>
      </c>
      <c r="K57" s="422">
        <f t="shared" si="8"/>
        <v>0</v>
      </c>
      <c r="M57" s="402" t="s">
        <v>424</v>
      </c>
      <c r="N57" s="261"/>
    </row>
    <row r="58" spans="1:14" s="3" customFormat="1" x14ac:dyDescent="0.2">
      <c r="A58" s="402" t="s">
        <v>424</v>
      </c>
      <c r="C58" s="72" t="s">
        <v>95</v>
      </c>
      <c r="D58" s="421"/>
      <c r="E58" s="422" t="str">
        <f>IF(D58=0,"need data",IF('Rents and Income'!$E$31=0,0,D58/'Rents and Income'!$E$31))</f>
        <v>need data</v>
      </c>
      <c r="F58" s="422" t="str">
        <f>IF(ISERROR(IF(D58=0,"need data",D58/SUMPRODUCT('Rents and Income'!$E$7:$E$30*'Rents and Income'!$F$7:$F$30))),0,IF(D58=0,"need data",D58/SUMPRODUCT('Rents and Income'!$E$7:$E$30*'Rents and Income'!$F$7:$F$30)))</f>
        <v>need data</v>
      </c>
      <c r="G58" s="260"/>
      <c r="H58" s="474"/>
      <c r="I58" s="422">
        <v>0</v>
      </c>
      <c r="J58" s="422">
        <f>+D58</f>
        <v>0</v>
      </c>
      <c r="K58" s="422">
        <f t="shared" si="8"/>
        <v>0</v>
      </c>
    </row>
    <row r="59" spans="1:14" s="3" customFormat="1" x14ac:dyDescent="0.2">
      <c r="A59" s="402" t="s">
        <v>424</v>
      </c>
      <c r="C59" s="72" t="s">
        <v>142</v>
      </c>
      <c r="D59" s="421"/>
      <c r="E59" s="422" t="str">
        <f>IF(D59=0,"need data",IF('Rents and Income'!$E$31=0,0,D59/'Rents and Income'!$E$31))</f>
        <v>need data</v>
      </c>
      <c r="F59" s="422" t="str">
        <f>IF(ISERROR(IF(D59=0,"need data",D59/SUMPRODUCT('Rents and Income'!$E$7:$E$30*'Rents and Income'!$F$7:$F$30))),0,IF(D59=0,"need data",D59/SUMPRODUCT('Rents and Income'!$E$7:$E$30*'Rents and Income'!$F$7:$F$30)))</f>
        <v>need data</v>
      </c>
      <c r="G59" s="260"/>
      <c r="H59" s="474"/>
      <c r="I59" s="422">
        <v>0</v>
      </c>
      <c r="J59" s="422">
        <f>+D59</f>
        <v>0</v>
      </c>
      <c r="K59" s="422">
        <f t="shared" si="8"/>
        <v>0</v>
      </c>
    </row>
    <row r="60" spans="1:14" s="3" customFormat="1" x14ac:dyDescent="0.2">
      <c r="A60" s="402" t="s">
        <v>424</v>
      </c>
      <c r="C60" s="203" t="s">
        <v>290</v>
      </c>
      <c r="D60" s="421"/>
      <c r="E60" s="422" t="str">
        <f>IF(D60=0,"need data",IF('Rents and Income'!$E$31=0,0,D60/'Rents and Income'!$E$31))</f>
        <v>need data</v>
      </c>
      <c r="F60" s="422" t="str">
        <f>IF(ISERROR(IF(D60=0,"need data",D60/SUMPRODUCT('Rents and Income'!$E$7:$E$30*'Rents and Income'!$F$7:$F$30))),0,IF(D60=0,"need data",D60/SUMPRODUCT('Rents and Income'!$E$7:$E$30*'Rents and Income'!$F$7:$F$30)))</f>
        <v>need data</v>
      </c>
      <c r="G60" s="260"/>
      <c r="H60" s="474"/>
      <c r="I60" s="422">
        <v>0</v>
      </c>
      <c r="J60" s="422">
        <f>+D60</f>
        <v>0</v>
      </c>
      <c r="K60" s="422">
        <f t="shared" si="8"/>
        <v>0</v>
      </c>
    </row>
    <row r="61" spans="1:14" s="3" customFormat="1" x14ac:dyDescent="0.2">
      <c r="A61" s="402" t="s">
        <v>424</v>
      </c>
      <c r="C61" s="203" t="s">
        <v>288</v>
      </c>
      <c r="D61" s="421"/>
      <c r="E61" s="422" t="str">
        <f>IF(D61=0,"need data",IF('Rents and Income'!$E$31=0,0,D61/'Rents and Income'!$E$31))</f>
        <v>need data</v>
      </c>
      <c r="F61" s="422" t="str">
        <f>IF(ISERROR(IF(D61=0,"need data",D61/SUMPRODUCT('Rents and Income'!$E$7:$E$30*'Rents and Income'!$F$7:$F$30))),0,IF(D61=0,"need data",D61/SUMPRODUCT('Rents and Income'!$E$7:$E$30*'Rents and Income'!$F$7:$F$30)))</f>
        <v>need data</v>
      </c>
      <c r="G61" s="260"/>
      <c r="H61" s="474"/>
      <c r="I61" s="422"/>
      <c r="J61" s="422"/>
      <c r="K61" s="422">
        <f t="shared" si="8"/>
        <v>0</v>
      </c>
    </row>
    <row r="62" spans="1:14" s="3" customFormat="1" x14ac:dyDescent="0.2">
      <c r="A62" s="402" t="s">
        <v>424</v>
      </c>
      <c r="C62" s="72" t="s">
        <v>143</v>
      </c>
      <c r="D62" s="421"/>
      <c r="E62" s="422" t="str">
        <f>IF(D62=0,"need data",IF('Rents and Income'!$E$31=0,0,D62/'Rents and Income'!$E$31))</f>
        <v>need data</v>
      </c>
      <c r="F62" s="422" t="str">
        <f>IF(ISERROR(IF(D62=0,"need data",D62/SUMPRODUCT('Rents and Income'!$E$7:$E$30*'Rents and Income'!$F$7:$F$30))),0,IF(D62=0,"need data",D62/SUMPRODUCT('Rents and Income'!$E$7:$E$30*'Rents and Income'!$F$7:$F$30)))</f>
        <v>need data</v>
      </c>
      <c r="G62" s="260"/>
      <c r="H62" s="474"/>
      <c r="I62" s="422">
        <v>0</v>
      </c>
      <c r="J62" s="422">
        <f>+D62</f>
        <v>0</v>
      </c>
      <c r="K62" s="422">
        <f t="shared" si="8"/>
        <v>0</v>
      </c>
    </row>
    <row r="63" spans="1:14" s="3" customFormat="1" x14ac:dyDescent="0.2">
      <c r="A63" s="704" t="s">
        <v>424</v>
      </c>
      <c r="C63" s="260"/>
      <c r="D63" s="421"/>
      <c r="E63" s="422" t="str">
        <f>IF(D63=0,"need data",IF('Rents and Income'!$E$31=0,0,D63/'Rents and Income'!$E$31))</f>
        <v>need data</v>
      </c>
      <c r="F63" s="422" t="str">
        <f>IF(ISERROR(IF(D63=0,"need data",D63/SUMPRODUCT('Rents and Income'!$E$7:$E$30*'Rents and Income'!$F$7:$F$30))),0,IF(D63=0,"need data",D63/SUMPRODUCT('Rents and Income'!$E$7:$E$30*'Rents and Income'!$F$7:$F$30)))</f>
        <v>need data</v>
      </c>
      <c r="G63" s="260"/>
      <c r="H63" s="474"/>
      <c r="I63" s="422">
        <v>0</v>
      </c>
      <c r="J63" s="422">
        <f>+D63</f>
        <v>0</v>
      </c>
      <c r="K63" s="422">
        <f t="shared" si="8"/>
        <v>0</v>
      </c>
    </row>
    <row r="64" spans="1:14" s="3" customFormat="1" x14ac:dyDescent="0.2">
      <c r="A64" s="704"/>
      <c r="C64" s="260"/>
      <c r="D64" s="421"/>
      <c r="E64" s="422" t="str">
        <f>IF(D64=0,"need data",IF('Rents and Income'!$E$31=0,0,D64/'Rents and Income'!$E$31))</f>
        <v>need data</v>
      </c>
      <c r="F64" s="422" t="str">
        <f>IF(ISERROR(IF(D64=0,"need data",D64/SUMPRODUCT('Rents and Income'!$E$7:$E$30*'Rents and Income'!$F$7:$F$30))),0,IF(D64=0,"need data",D64/SUMPRODUCT('Rents and Income'!$E$7:$E$30*'Rents and Income'!$F$7:$F$30)))</f>
        <v>need data</v>
      </c>
      <c r="G64" s="260"/>
      <c r="H64" s="474"/>
      <c r="I64" s="422">
        <v>0</v>
      </c>
      <c r="J64" s="422">
        <f>+D64</f>
        <v>0</v>
      </c>
      <c r="K64" s="422">
        <f t="shared" si="8"/>
        <v>0</v>
      </c>
    </row>
    <row r="65" spans="1:14" s="350" customFormat="1" ht="12.75" customHeight="1" x14ac:dyDescent="0.2">
      <c r="A65" s="402" t="s">
        <v>424</v>
      </c>
      <c r="C65" s="215" t="s">
        <v>376</v>
      </c>
      <c r="D65" s="423"/>
      <c r="E65" s="423"/>
      <c r="F65" s="423"/>
      <c r="G65" s="473"/>
      <c r="H65" s="475"/>
      <c r="I65" s="425"/>
      <c r="J65" s="425"/>
      <c r="K65" s="425"/>
    </row>
    <row r="66" spans="1:14" s="3" customFormat="1" x14ac:dyDescent="0.2">
      <c r="A66" s="402" t="s">
        <v>424</v>
      </c>
      <c r="C66" s="72" t="s">
        <v>96</v>
      </c>
      <c r="D66" s="421"/>
      <c r="E66" s="422" t="str">
        <f>IF(D66=0,"need data",IF('Rents and Income'!$E$31=0,0,D66/'Rents and Income'!$E$31))</f>
        <v>need data</v>
      </c>
      <c r="F66" s="422" t="str">
        <f>IF(ISERROR(IF(D66=0,"need data",D66/SUMPRODUCT('Rents and Income'!$E$7:$E$30*'Rents and Income'!$F$7:$F$30))),0,IF(D66=0,"need data",D66/SUMPRODUCT('Rents and Income'!$E$7:$E$30*'Rents and Income'!$F$7:$F$30)))</f>
        <v>need data</v>
      </c>
      <c r="G66" s="260"/>
      <c r="H66" s="474"/>
      <c r="I66" s="422">
        <v>0</v>
      </c>
      <c r="J66" s="422">
        <f>+D66</f>
        <v>0</v>
      </c>
      <c r="K66" s="422">
        <f t="shared" ref="K66:K74" si="9">+D66-I66-J66</f>
        <v>0</v>
      </c>
    </row>
    <row r="67" spans="1:14" s="3" customFormat="1" x14ac:dyDescent="0.2">
      <c r="A67" s="402" t="s">
        <v>424</v>
      </c>
      <c r="C67" s="72" t="s">
        <v>279</v>
      </c>
      <c r="D67" s="421">
        <v>3000</v>
      </c>
      <c r="E67" s="422">
        <f>IF(D67=0,"need data",IF('Rents and Income'!$E$31=0,0,D67/'Rents and Income'!$E$31))</f>
        <v>150</v>
      </c>
      <c r="F67" s="422">
        <f>IF(ISERROR(IF(D67=0,"need data",D67/SUMPRODUCT('Rents and Income'!$E$7:$E$30*'Rents and Income'!$F$7:$F$30))),0,IF(D67=0,"need data",D67/SUMPRODUCT('Rents and Income'!$E$7:$E$30*'Rents and Income'!$F$7:$F$30)))</f>
        <v>0.25</v>
      </c>
      <c r="G67" s="260"/>
      <c r="H67" s="474"/>
      <c r="I67" s="422">
        <v>0</v>
      </c>
      <c r="J67" s="422">
        <v>0</v>
      </c>
      <c r="K67" s="422">
        <f t="shared" si="9"/>
        <v>3000</v>
      </c>
      <c r="M67" s="402" t="s">
        <v>424</v>
      </c>
    </row>
    <row r="68" spans="1:14" s="3" customFormat="1" x14ac:dyDescent="0.2">
      <c r="A68" s="402" t="s">
        <v>424</v>
      </c>
      <c r="C68" s="72" t="s">
        <v>97</v>
      </c>
      <c r="D68" s="421"/>
      <c r="E68" s="422" t="str">
        <f>IF(D68=0,"need data",IF('Rents and Income'!$E$31=0,0,D68/'Rents and Income'!$E$31))</f>
        <v>need data</v>
      </c>
      <c r="F68" s="422" t="str">
        <f>IF(ISERROR(IF(D68=0,"need data",D68/SUMPRODUCT('Rents and Income'!$E$7:$E$30*'Rents and Income'!$F$7:$F$30))),0,IF(D68=0,"need data",D68/SUMPRODUCT('Rents and Income'!$E$7:$E$30*'Rents and Income'!$F$7:$F$30)))</f>
        <v>need data</v>
      </c>
      <c r="G68" s="260"/>
      <c r="H68" s="474"/>
      <c r="I68" s="422">
        <v>0</v>
      </c>
      <c r="J68" s="422">
        <v>0</v>
      </c>
      <c r="K68" s="422">
        <f t="shared" si="9"/>
        <v>0</v>
      </c>
    </row>
    <row r="69" spans="1:14" s="3" customFormat="1" x14ac:dyDescent="0.2">
      <c r="A69" s="402" t="s">
        <v>424</v>
      </c>
      <c r="C69" s="203" t="s">
        <v>280</v>
      </c>
      <c r="D69" s="421"/>
      <c r="E69" s="422" t="str">
        <f>IF(D69=0,"need data",IF('Rents and Income'!$E$31=0,0,D69/'Rents and Income'!$E$31))</f>
        <v>need data</v>
      </c>
      <c r="F69" s="422" t="str">
        <f>IF(ISERROR(IF(D69=0,"need data",D69/SUMPRODUCT('Rents and Income'!$E$7:$E$30*'Rents and Income'!$F$7:$F$30))),0,IF(D69=0,"need data",D69/SUMPRODUCT('Rents and Income'!$E$7:$E$30*'Rents and Income'!$F$7:$F$30)))</f>
        <v>need data</v>
      </c>
      <c r="G69" s="260"/>
      <c r="H69" s="474"/>
      <c r="I69" s="422"/>
      <c r="J69" s="422">
        <v>0</v>
      </c>
      <c r="K69" s="422">
        <f t="shared" si="9"/>
        <v>0</v>
      </c>
    </row>
    <row r="70" spans="1:14" s="3" customFormat="1" x14ac:dyDescent="0.2">
      <c r="A70" s="402" t="s">
        <v>424</v>
      </c>
      <c r="C70" s="75" t="s">
        <v>144</v>
      </c>
      <c r="D70" s="421">
        <v>50000</v>
      </c>
      <c r="E70" s="422">
        <f>IF(D70=0,"need data",IF('Rents and Income'!$E$31=0,0,D70/'Rents and Income'!$E$31))</f>
        <v>2500</v>
      </c>
      <c r="F70" s="422">
        <f>IF(ISERROR(IF(D70=0,"need data",D70/SUMPRODUCT('Rents and Income'!$E$7:$E$30*'Rents and Income'!$F$7:$F$30))),0,IF(D70=0,"need data",D70/SUMPRODUCT('Rents and Income'!$E$7:$E$30*'Rents and Income'!$F$7:$F$30)))</f>
        <v>4.166666666666667</v>
      </c>
      <c r="G70" s="260"/>
      <c r="H70" s="474"/>
      <c r="I70" s="422">
        <v>0</v>
      </c>
      <c r="J70" s="422">
        <v>0</v>
      </c>
      <c r="K70" s="422">
        <f t="shared" si="9"/>
        <v>50000</v>
      </c>
      <c r="M70" s="402" t="s">
        <v>424</v>
      </c>
      <c r="N70" s="261"/>
    </row>
    <row r="71" spans="1:14" s="3" customFormat="1" x14ac:dyDescent="0.2">
      <c r="A71" s="402" t="s">
        <v>424</v>
      </c>
      <c r="C71" s="203" t="s">
        <v>295</v>
      </c>
      <c r="D71" s="421">
        <v>5000</v>
      </c>
      <c r="E71" s="422">
        <f>IF(D71=0,"need data",IF('Rents and Income'!$E$31=0,0,D71/'Rents and Income'!$E$31))</f>
        <v>250</v>
      </c>
      <c r="F71" s="422">
        <f>IF(ISERROR(IF(D71=0,"need data",D71/SUMPRODUCT('Rents and Income'!$E$7:$E$30*'Rents and Income'!$F$7:$F$30))),0,IF(D71=0,"need data",D71/SUMPRODUCT('Rents and Income'!$E$7:$E$30*'Rents and Income'!$F$7:$F$30)))</f>
        <v>0.41666666666666669</v>
      </c>
      <c r="G71" s="260"/>
      <c r="H71" s="474"/>
      <c r="I71" s="422"/>
      <c r="J71" s="422">
        <v>0</v>
      </c>
      <c r="K71" s="422">
        <f t="shared" si="9"/>
        <v>5000</v>
      </c>
      <c r="M71" s="402" t="s">
        <v>424</v>
      </c>
    </row>
    <row r="72" spans="1:14" s="3" customFormat="1" x14ac:dyDescent="0.2">
      <c r="A72" s="704" t="s">
        <v>424</v>
      </c>
      <c r="C72" s="260"/>
      <c r="D72" s="421"/>
      <c r="E72" s="422" t="str">
        <f>IF(D72=0,"need data",IF('Rents and Income'!$E$31=0,0,D72/'Rents and Income'!$E$31))</f>
        <v>need data</v>
      </c>
      <c r="F72" s="422" t="str">
        <f>IF(ISERROR(IF(D72=0,"need data",D72/SUMPRODUCT('Rents and Income'!$E$7:$E$30*'Rents and Income'!$F$7:$F$30))),0,IF(D72=0,"need data",D72/SUMPRODUCT('Rents and Income'!$E$7:$E$30*'Rents and Income'!$F$7:$F$30)))</f>
        <v>need data</v>
      </c>
      <c r="G72" s="260"/>
      <c r="H72" s="474"/>
      <c r="I72" s="422">
        <v>0</v>
      </c>
      <c r="J72" s="422">
        <f>+D72</f>
        <v>0</v>
      </c>
      <c r="K72" s="422">
        <f t="shared" si="9"/>
        <v>0</v>
      </c>
    </row>
    <row r="73" spans="1:14" s="3" customFormat="1" x14ac:dyDescent="0.2">
      <c r="A73" s="704"/>
      <c r="C73" s="260"/>
      <c r="D73" s="421"/>
      <c r="E73" s="422" t="str">
        <f>IF(D73=0,"need data",IF('Rents and Income'!$E$31=0,0,D73/'Rents and Income'!$E$31))</f>
        <v>need data</v>
      </c>
      <c r="F73" s="422" t="str">
        <f>IF(ISERROR(IF(D73=0,"need data",D73/SUMPRODUCT('Rents and Income'!$E$7:$E$30*'Rents and Income'!$F$7:$F$30))),0,IF(D73=0,"need data",D73/SUMPRODUCT('Rents and Income'!$E$7:$E$30*'Rents and Income'!$F$7:$F$30)))</f>
        <v>need data</v>
      </c>
      <c r="G73" s="260"/>
      <c r="H73" s="474"/>
      <c r="I73" s="422">
        <v>0</v>
      </c>
      <c r="J73" s="422">
        <f>+D73</f>
        <v>0</v>
      </c>
      <c r="K73" s="422">
        <f t="shared" si="9"/>
        <v>0</v>
      </c>
    </row>
    <row r="74" spans="1:14" s="3" customFormat="1" ht="26.25" customHeight="1" x14ac:dyDescent="0.2">
      <c r="A74" s="402" t="s">
        <v>424</v>
      </c>
      <c r="C74" s="76" t="s">
        <v>101</v>
      </c>
      <c r="D74" s="421">
        <v>240000</v>
      </c>
      <c r="E74" s="422">
        <f>IF(D74=0,"need data",IF('Rents and Income'!$E$31=0,0,D74/'Rents and Income'!$E$31))</f>
        <v>12000</v>
      </c>
      <c r="F74" s="422">
        <f>IF(ISERROR(IF(D74=0,"need data",D74/SUMPRODUCT('Rents and Income'!$E$7:$E$30*'Rents and Income'!$F$7:$F$30))),0,IF(D74=0,"need data",D74/SUMPRODUCT('Rents and Income'!$E$7:$E$30*'Rents and Income'!$F$7:$F$30)))</f>
        <v>20</v>
      </c>
      <c r="G74" s="260"/>
      <c r="H74" s="474"/>
      <c r="I74" s="422">
        <v>0</v>
      </c>
      <c r="J74" s="422">
        <f>+D74</f>
        <v>240000</v>
      </c>
      <c r="K74" s="422">
        <f t="shared" si="9"/>
        <v>0</v>
      </c>
    </row>
    <row r="75" spans="1:14" s="350" customFormat="1" ht="12.75" customHeight="1" x14ac:dyDescent="0.2">
      <c r="A75" s="402" t="s">
        <v>424</v>
      </c>
      <c r="C75" s="215" t="s">
        <v>100</v>
      </c>
      <c r="D75" s="423"/>
      <c r="E75" s="423"/>
      <c r="F75" s="423"/>
      <c r="G75" s="473"/>
      <c r="H75" s="475"/>
      <c r="I75" s="425"/>
      <c r="J75" s="425"/>
      <c r="K75" s="425"/>
      <c r="M75" s="402" t="s">
        <v>424</v>
      </c>
    </row>
    <row r="76" spans="1:14" s="3" customFormat="1" x14ac:dyDescent="0.2">
      <c r="A76" s="402" t="s">
        <v>424</v>
      </c>
      <c r="C76" s="72" t="s">
        <v>580</v>
      </c>
      <c r="D76" s="421"/>
      <c r="E76" s="422" t="str">
        <f>IF(D76=0,"need data",IF('Rents and Income'!$E$31=0,0,D76/'Rents and Income'!$E$31))</f>
        <v>need data</v>
      </c>
      <c r="F76" s="422" t="str">
        <f>IF(ISERROR(IF(D76=0,"need data",D76/SUMPRODUCT('Rents and Income'!$E$7:$E$30*'Rents and Income'!$F$7:$F$30))),0,IF(D76=0,"need data",D76/SUMPRODUCT('Rents and Income'!$E$7:$E$30*'Rents and Income'!$F$7:$F$30)))</f>
        <v>need data</v>
      </c>
      <c r="G76" s="260"/>
      <c r="H76" s="474"/>
      <c r="I76" s="422">
        <v>0</v>
      </c>
      <c r="J76" s="422">
        <v>0</v>
      </c>
      <c r="K76" s="422">
        <f t="shared" ref="K76:K82" si="10">+D76-I76-J76</f>
        <v>0</v>
      </c>
    </row>
    <row r="77" spans="1:14" s="3" customFormat="1" x14ac:dyDescent="0.2">
      <c r="A77" s="402" t="s">
        <v>424</v>
      </c>
      <c r="C77" s="72" t="s">
        <v>581</v>
      </c>
      <c r="D77" s="421">
        <v>10000</v>
      </c>
      <c r="E77" s="422">
        <f>IF(D77=0,"need data",IF('Rents and Income'!$E$31=0,0,D77/'Rents and Income'!$E$31))</f>
        <v>500</v>
      </c>
      <c r="F77" s="422">
        <f>IF(ISERROR(IF(D77=0,"need data",D77/SUMPRODUCT('Rents and Income'!$E$7:$E$30*'Rents and Income'!$F$7:$F$30))),0,IF(D77=0,"need data",D77/SUMPRODUCT('Rents and Income'!$E$7:$E$30*'Rents and Income'!$F$7:$F$30)))</f>
        <v>0.83333333333333337</v>
      </c>
      <c r="G77" s="260"/>
      <c r="H77" s="474"/>
      <c r="I77" s="422">
        <v>0</v>
      </c>
      <c r="J77" s="422">
        <v>0</v>
      </c>
      <c r="K77" s="422">
        <f t="shared" si="10"/>
        <v>10000</v>
      </c>
    </row>
    <row r="78" spans="1:14" s="3" customFormat="1" x14ac:dyDescent="0.2">
      <c r="A78" s="559" t="s">
        <v>424</v>
      </c>
      <c r="C78" s="558" t="s">
        <v>582</v>
      </c>
      <c r="D78" s="421">
        <v>90000</v>
      </c>
      <c r="E78" s="422"/>
      <c r="F78" s="422"/>
      <c r="G78" s="260"/>
      <c r="H78" s="474"/>
      <c r="I78" s="422"/>
      <c r="J78" s="422"/>
      <c r="K78" s="422"/>
    </row>
    <row r="79" spans="1:14" s="3" customFormat="1" x14ac:dyDescent="0.2">
      <c r="A79" s="402" t="s">
        <v>424</v>
      </c>
      <c r="C79" s="203" t="s">
        <v>583</v>
      </c>
      <c r="D79" s="421"/>
      <c r="E79" s="422" t="str">
        <f>IF(D79=0,"need data",IF('Rents and Income'!$E$31=0,0,D79/'Rents and Income'!$E$31))</f>
        <v>need data</v>
      </c>
      <c r="F79" s="422" t="str">
        <f>IF(ISERROR(IF(D79=0,"need data",D79/SUMPRODUCT('Rents and Income'!$E$7:$E$30*'Rents and Income'!$F$7:$F$30))),0,IF(D79=0,"need data",D79/SUMPRODUCT('Rents and Income'!$E$7:$E$30*'Rents and Income'!$F$7:$F$30)))</f>
        <v>need data</v>
      </c>
      <c r="G79" s="260"/>
      <c r="H79" s="474"/>
      <c r="I79" s="422">
        <v>0</v>
      </c>
      <c r="J79" s="422">
        <v>0</v>
      </c>
      <c r="K79" s="422">
        <f t="shared" si="10"/>
        <v>0</v>
      </c>
    </row>
    <row r="80" spans="1:14" s="3" customFormat="1" x14ac:dyDescent="0.2">
      <c r="A80" s="402" t="s">
        <v>424</v>
      </c>
      <c r="C80" s="72" t="s">
        <v>584</v>
      </c>
      <c r="D80" s="421">
        <v>20000</v>
      </c>
      <c r="E80" s="422">
        <f>IF(D80=0,"need data",IF('Rents and Income'!$E$31=0,0,D80/'Rents and Income'!$E$31))</f>
        <v>1000</v>
      </c>
      <c r="F80" s="422">
        <f>IF(ISERROR(IF(D80=0,"need data",D80/SUMPRODUCT('Rents and Income'!$E$7:$E$30*'Rents and Income'!$F$7:$F$30))),0,IF(D80=0,"need data",D80/SUMPRODUCT('Rents and Income'!$E$7:$E$30*'Rents and Income'!$F$7:$F$30)))</f>
        <v>1.6666666666666667</v>
      </c>
      <c r="G80" s="260"/>
      <c r="H80" s="474"/>
      <c r="I80" s="422">
        <v>0</v>
      </c>
      <c r="J80" s="422">
        <v>0</v>
      </c>
      <c r="K80" s="422">
        <f t="shared" si="10"/>
        <v>20000</v>
      </c>
    </row>
    <row r="81" spans="1:14" s="3" customFormat="1" x14ac:dyDescent="0.2">
      <c r="A81" s="704" t="s">
        <v>424</v>
      </c>
      <c r="C81" s="260"/>
      <c r="D81" s="421"/>
      <c r="E81" s="422" t="str">
        <f>IF(D81=0,"need data",IF('Rents and Income'!$E$31=0,0,D81/'Rents and Income'!$E$31))</f>
        <v>need data</v>
      </c>
      <c r="F81" s="422" t="str">
        <f>IF(ISERROR(IF(D81=0,"need data",D81/SUMPRODUCT('Rents and Income'!$E$7:$E$30*'Rents and Income'!$F$7:$F$30))),0,IF(D81=0,"need data",D81/SUMPRODUCT('Rents and Income'!$E$7:$E$30*'Rents and Income'!$F$7:$F$30)))</f>
        <v>need data</v>
      </c>
      <c r="G81" s="260"/>
      <c r="H81" s="474"/>
      <c r="I81" s="422">
        <v>0</v>
      </c>
      <c r="J81" s="422">
        <v>0</v>
      </c>
      <c r="K81" s="422">
        <f t="shared" si="10"/>
        <v>0</v>
      </c>
    </row>
    <row r="82" spans="1:14" s="3" customFormat="1" x14ac:dyDescent="0.2">
      <c r="A82" s="704"/>
      <c r="C82" s="260"/>
      <c r="D82" s="421"/>
      <c r="E82" s="422" t="str">
        <f>IF(D82=0,"need data",IF('Rents and Income'!$E$31=0,0,D82/'Rents and Income'!$E$31))</f>
        <v>need data</v>
      </c>
      <c r="F82" s="422" t="str">
        <f>IF(ISERROR(IF(D82=0,"need data",D82/SUMPRODUCT('Rents and Income'!$E$7:$E$30*'Rents and Income'!$F$7:$F$30))),0,IF(D82=0,"need data",D82/SUMPRODUCT('Rents and Income'!$E$7:$E$30*'Rents and Income'!$F$7:$F$30)))</f>
        <v>need data</v>
      </c>
      <c r="G82" s="260"/>
      <c r="H82" s="474"/>
      <c r="I82" s="422">
        <v>0</v>
      </c>
      <c r="J82" s="422">
        <v>0</v>
      </c>
      <c r="K82" s="422">
        <f t="shared" si="10"/>
        <v>0</v>
      </c>
    </row>
    <row r="83" spans="1:14" s="350" customFormat="1" ht="12.75" customHeight="1" x14ac:dyDescent="0.2">
      <c r="A83" s="402" t="s">
        <v>424</v>
      </c>
      <c r="C83" s="215" t="s">
        <v>229</v>
      </c>
      <c r="D83" s="423"/>
      <c r="E83" s="423"/>
      <c r="F83" s="423"/>
      <c r="G83" s="473"/>
      <c r="H83" s="475"/>
      <c r="I83" s="425"/>
      <c r="J83" s="425"/>
      <c r="K83" s="425"/>
    </row>
    <row r="84" spans="1:14" s="3" customFormat="1" x14ac:dyDescent="0.2">
      <c r="A84" s="402" t="s">
        <v>424</v>
      </c>
      <c r="C84" s="72" t="s">
        <v>98</v>
      </c>
      <c r="D84" s="421"/>
      <c r="E84" s="422" t="str">
        <f>IF(D84=0,"need data",IF('Rents and Income'!$E$31=0,0,D84/'Rents and Income'!$E$31))</f>
        <v>need data</v>
      </c>
      <c r="F84" s="422" t="str">
        <f>IF(ISERROR(IF(D84=0,"need data",D84/SUMPRODUCT('Rents and Income'!$E$7:$E$30*'Rents and Income'!$F$7:$F$30))),0,IF(D84=0,"need data",D84/SUMPRODUCT('Rents and Income'!$E$7:$E$30*'Rents and Income'!$F$7:$F$30)))</f>
        <v>need data</v>
      </c>
      <c r="G84" s="260"/>
      <c r="H84" s="474"/>
      <c r="I84" s="422">
        <v>0</v>
      </c>
      <c r="J84" s="422">
        <f>+D84</f>
        <v>0</v>
      </c>
      <c r="K84" s="422">
        <f t="shared" ref="K84:K89" si="11">+D84-I84-J84</f>
        <v>0</v>
      </c>
    </row>
    <row r="85" spans="1:14" s="3" customFormat="1" x14ac:dyDescent="0.2">
      <c r="A85" s="402" t="s">
        <v>424</v>
      </c>
      <c r="C85" s="72" t="s">
        <v>113</v>
      </c>
      <c r="D85" s="421"/>
      <c r="E85" s="422" t="str">
        <f>IF(D85=0,"need data",IF('Rents and Income'!$E$31=0,0,D85/'Rents and Income'!$E$31))</f>
        <v>need data</v>
      </c>
      <c r="F85" s="422" t="str">
        <f>IF(ISERROR(IF(D85=0,"need data",D85/SUMPRODUCT('Rents and Income'!$E$7:$E$30*'Rents and Income'!$F$7:$F$30))),0,IF(D85=0,"need data",D85/SUMPRODUCT('Rents and Income'!$E$7:$E$30*'Rents and Income'!$F$7:$F$30)))</f>
        <v>need data</v>
      </c>
      <c r="G85" s="260"/>
      <c r="H85" s="474"/>
      <c r="I85" s="422">
        <v>0</v>
      </c>
      <c r="J85" s="422">
        <f>+D85</f>
        <v>0</v>
      </c>
      <c r="K85" s="422">
        <f t="shared" si="11"/>
        <v>0</v>
      </c>
    </row>
    <row r="86" spans="1:14" s="3" customFormat="1" x14ac:dyDescent="0.2">
      <c r="A86" s="402" t="s">
        <v>424</v>
      </c>
      <c r="C86" s="203" t="s">
        <v>278</v>
      </c>
      <c r="D86" s="421">
        <v>5000</v>
      </c>
      <c r="E86" s="422">
        <f>IF(D86=0,"need data",IF('Rents and Income'!$E$31=0,0,D86/'Rents and Income'!$E$31))</f>
        <v>250</v>
      </c>
      <c r="F86" s="422">
        <f>IF(ISERROR(IF(D86=0,"need data",D86/SUMPRODUCT('Rents and Income'!$E$7:$E$30*'Rents and Income'!$F$7:$F$30))),0,IF(D86=0,"need data",D86/SUMPRODUCT('Rents and Income'!$E$7:$E$30*'Rents and Income'!$F$7:$F$30)))</f>
        <v>0.41666666666666669</v>
      </c>
      <c r="G86" s="260"/>
      <c r="H86" s="474"/>
      <c r="I86" s="422">
        <v>0</v>
      </c>
      <c r="J86" s="422">
        <f>D86</f>
        <v>5000</v>
      </c>
      <c r="K86" s="422">
        <f t="shared" si="11"/>
        <v>0</v>
      </c>
      <c r="M86" s="490" t="s">
        <v>424</v>
      </c>
      <c r="N86" s="513"/>
    </row>
    <row r="87" spans="1:14" s="3" customFormat="1" x14ac:dyDescent="0.2">
      <c r="A87" s="402" t="s">
        <v>424</v>
      </c>
      <c r="C87" s="203" t="s">
        <v>135</v>
      </c>
      <c r="D87" s="421"/>
      <c r="E87" s="422" t="str">
        <f>IF(D87=0,"need data",IF('Rents and Income'!$E$31=0,0,D87/'Rents and Income'!$E$31))</f>
        <v>need data</v>
      </c>
      <c r="F87" s="422" t="str">
        <f>IF(ISERROR(IF(D87=0,"need data",D87/SUMPRODUCT('Rents and Income'!$E$7:$E$30*'Rents and Income'!$F$7:$F$30))),0,IF(D87=0,"need data",D87/SUMPRODUCT('Rents and Income'!$E$7:$E$30*'Rents and Income'!$F$7:$F$30)))</f>
        <v>need data</v>
      </c>
      <c r="G87" s="260"/>
      <c r="H87" s="474"/>
      <c r="I87" s="422">
        <v>0</v>
      </c>
      <c r="J87" s="422">
        <v>0</v>
      </c>
      <c r="K87" s="422">
        <f t="shared" si="11"/>
        <v>0</v>
      </c>
    </row>
    <row r="88" spans="1:14" s="3" customFormat="1" x14ac:dyDescent="0.2">
      <c r="A88" s="704" t="s">
        <v>424</v>
      </c>
      <c r="C88" s="260"/>
      <c r="D88" s="421"/>
      <c r="E88" s="422" t="str">
        <f>IF(D88=0,"need data",IF('Rents and Income'!$E$31=0,0,D88/'Rents and Income'!$E$31))</f>
        <v>need data</v>
      </c>
      <c r="F88" s="422" t="str">
        <f>IF(ISERROR(IF(D88=0,"need data",D88/SUMPRODUCT('Rents and Income'!$E$7:$E$30*'Rents and Income'!$F$7:$F$30))),0,IF(D88=0,"need data",D88/SUMPRODUCT('Rents and Income'!$E$7:$E$30*'Rents and Income'!$F$7:$F$30)))</f>
        <v>need data</v>
      </c>
      <c r="G88" s="260"/>
      <c r="H88" s="474"/>
      <c r="I88" s="422">
        <v>0</v>
      </c>
      <c r="J88" s="422">
        <f>+D88</f>
        <v>0</v>
      </c>
      <c r="K88" s="422">
        <f t="shared" si="11"/>
        <v>0</v>
      </c>
    </row>
    <row r="89" spans="1:14" s="3" customFormat="1" x14ac:dyDescent="0.2">
      <c r="A89" s="704"/>
      <c r="C89" s="260"/>
      <c r="D89" s="421"/>
      <c r="E89" s="422" t="str">
        <f>IF(D89=0,"need data",IF('Rents and Income'!$E$31=0,0,D89/'Rents and Income'!$E$31))</f>
        <v>need data</v>
      </c>
      <c r="F89" s="422" t="str">
        <f>IF(ISERROR(IF(D89=0,"need data",D89/SUMPRODUCT('Rents and Income'!$E$7:$E$30*'Rents and Income'!$F$7:$F$30))),0,IF(D89=0,"need data",D89/SUMPRODUCT('Rents and Income'!$E$7:$E$30*'Rents and Income'!$F$7:$F$30)))</f>
        <v>need data</v>
      </c>
      <c r="G89" s="260"/>
      <c r="H89" s="474"/>
      <c r="I89" s="422">
        <v>0</v>
      </c>
      <c r="J89" s="422">
        <f>+D89</f>
        <v>0</v>
      </c>
      <c r="K89" s="422">
        <f t="shared" si="11"/>
        <v>0</v>
      </c>
    </row>
    <row r="90" spans="1:14" s="350" customFormat="1" ht="12.75" customHeight="1" x14ac:dyDescent="0.2">
      <c r="A90" s="402" t="s">
        <v>424</v>
      </c>
      <c r="C90" s="215" t="s">
        <v>172</v>
      </c>
      <c r="D90" s="423"/>
      <c r="E90" s="423"/>
      <c r="F90" s="423"/>
      <c r="G90" s="473"/>
      <c r="H90" s="475"/>
      <c r="I90" s="425"/>
      <c r="J90" s="425"/>
      <c r="K90" s="425"/>
    </row>
    <row r="91" spans="1:14" s="3" customFormat="1" x14ac:dyDescent="0.2">
      <c r="C91" s="78"/>
      <c r="D91" s="421"/>
      <c r="E91" s="422" t="str">
        <f>IF(D91=0,"need data",IF('Rents and Income'!$E$31=0,0,D91/'Rents and Income'!$E$31))</f>
        <v>need data</v>
      </c>
      <c r="F91" s="422" t="str">
        <f>IF(ISERROR(IF(D91=0,"need data",D91/SUMPRODUCT('Rents and Income'!$E$7:$E$30*'Rents and Income'!$F$7:$F$30))),0,IF(D91=0,"need data",D91/SUMPRODUCT('Rents and Income'!$E$7:$E$30*'Rents and Income'!$F$7:$F$30)))</f>
        <v>need data</v>
      </c>
      <c r="G91" s="260"/>
      <c r="H91" s="474"/>
      <c r="I91" s="422">
        <v>0</v>
      </c>
      <c r="J91" s="422">
        <f t="shared" ref="J91:J96" si="12">+D91</f>
        <v>0</v>
      </c>
      <c r="K91" s="422">
        <f t="shared" ref="K91:K96" si="13">+D91-I91-J91</f>
        <v>0</v>
      </c>
    </row>
    <row r="92" spans="1:14" s="3" customFormat="1" x14ac:dyDescent="0.2">
      <c r="C92" s="78"/>
      <c r="D92" s="421"/>
      <c r="E92" s="422" t="str">
        <f>IF(D92=0,"need data",IF('Rents and Income'!$E$31=0,0,D92/'Rents and Income'!$E$31))</f>
        <v>need data</v>
      </c>
      <c r="F92" s="422" t="str">
        <f>IF(ISERROR(IF(D92=0,"need data",D92/SUMPRODUCT('Rents and Income'!$E$7:$E$30*'Rents and Income'!$F$7:$F$30))),0,IF(D92=0,"need data",D92/SUMPRODUCT('Rents and Income'!$E$7:$E$30*'Rents and Income'!$F$7:$F$30)))</f>
        <v>need data</v>
      </c>
      <c r="G92" s="260"/>
      <c r="H92" s="474"/>
      <c r="I92" s="422">
        <v>0</v>
      </c>
      <c r="J92" s="422">
        <f t="shared" si="12"/>
        <v>0</v>
      </c>
      <c r="K92" s="422">
        <f t="shared" si="13"/>
        <v>0</v>
      </c>
    </row>
    <row r="93" spans="1:14" s="3" customFormat="1" x14ac:dyDescent="0.2">
      <c r="C93" s="78"/>
      <c r="D93" s="421"/>
      <c r="E93" s="422" t="str">
        <f>IF(D93=0,"need data",IF('Rents and Income'!$E$31=0,0,D93/'Rents and Income'!$E$31))</f>
        <v>need data</v>
      </c>
      <c r="F93" s="422" t="str">
        <f>IF(ISERROR(IF(D93=0,"need data",D93/SUMPRODUCT('Rents and Income'!$E$7:$E$30*'Rents and Income'!$F$7:$F$30))),0,IF(D93=0,"need data",D93/SUMPRODUCT('Rents and Income'!$E$7:$E$30*'Rents and Income'!$F$7:$F$30)))</f>
        <v>need data</v>
      </c>
      <c r="G93" s="260"/>
      <c r="H93" s="474"/>
      <c r="I93" s="422">
        <v>0</v>
      </c>
      <c r="J93" s="422">
        <f t="shared" si="12"/>
        <v>0</v>
      </c>
      <c r="K93" s="422">
        <f t="shared" si="13"/>
        <v>0</v>
      </c>
    </row>
    <row r="94" spans="1:14" s="3" customFormat="1" x14ac:dyDescent="0.2">
      <c r="C94" s="78"/>
      <c r="D94" s="421"/>
      <c r="E94" s="422" t="str">
        <f>IF(D94=0,"need data",IF('Rents and Income'!$E$31=0,0,D94/'Rents and Income'!$E$31))</f>
        <v>need data</v>
      </c>
      <c r="F94" s="422" t="str">
        <f>IF(ISERROR(IF(D94=0,"need data",D94/SUMPRODUCT('Rents and Income'!$E$7:$E$30*'Rents and Income'!$F$7:$F$30))),0,IF(D94=0,"need data",D94/SUMPRODUCT('Rents and Income'!$E$7:$E$30*'Rents and Income'!$F$7:$F$30)))</f>
        <v>need data</v>
      </c>
      <c r="G94" s="260"/>
      <c r="H94" s="474"/>
      <c r="I94" s="422">
        <v>0</v>
      </c>
      <c r="J94" s="422">
        <f t="shared" si="12"/>
        <v>0</v>
      </c>
      <c r="K94" s="422">
        <f t="shared" si="13"/>
        <v>0</v>
      </c>
    </row>
    <row r="95" spans="1:14" s="3" customFormat="1" x14ac:dyDescent="0.2">
      <c r="C95" s="78"/>
      <c r="D95" s="421"/>
      <c r="E95" s="422" t="str">
        <f>IF(D95=0,"need data",IF('Rents and Income'!$E$31=0,0,D95/'Rents and Income'!$E$31))</f>
        <v>need data</v>
      </c>
      <c r="F95" s="422" t="str">
        <f>IF(ISERROR(IF(D95=0,"need data",D95/SUMPRODUCT('Rents and Income'!$E$7:$E$30*'Rents and Income'!$F$7:$F$30))),0,IF(D95=0,"need data",D95/SUMPRODUCT('Rents and Income'!$E$7:$E$30*'Rents and Income'!$F$7:$F$30)))</f>
        <v>need data</v>
      </c>
      <c r="G95" s="260"/>
      <c r="H95" s="474"/>
      <c r="I95" s="422">
        <v>0</v>
      </c>
      <c r="J95" s="422">
        <f t="shared" si="12"/>
        <v>0</v>
      </c>
      <c r="K95" s="422">
        <f t="shared" si="13"/>
        <v>0</v>
      </c>
    </row>
    <row r="96" spans="1:14" s="3" customFormat="1" x14ac:dyDescent="0.2">
      <c r="C96" s="78"/>
      <c r="D96" s="421"/>
      <c r="E96" s="422" t="str">
        <f>IF(D96=0,"need data",IF('Rents and Income'!$E$31=0,0,D96/'Rents and Income'!$E$31))</f>
        <v>need data</v>
      </c>
      <c r="F96" s="422" t="str">
        <f>IF(ISERROR(IF(D96=0,"need data",D96/SUMPRODUCT('Rents and Income'!$E$7:$E$30*'Rents and Income'!$F$7:$F$30))),0,IF(D96=0,"need data",D96/SUMPRODUCT('Rents and Income'!$E$7:$E$30*'Rents and Income'!$F$7:$F$30)))</f>
        <v>need data</v>
      </c>
      <c r="G96" s="260"/>
      <c r="H96" s="474"/>
      <c r="I96" s="422">
        <v>0</v>
      </c>
      <c r="J96" s="422">
        <f t="shared" si="12"/>
        <v>0</v>
      </c>
      <c r="K96" s="422">
        <f t="shared" si="13"/>
        <v>0</v>
      </c>
    </row>
    <row r="97" spans="1:11" x14ac:dyDescent="0.2">
      <c r="C97" s="44"/>
      <c r="D97" s="44"/>
      <c r="E97" s="79"/>
      <c r="F97" s="79"/>
      <c r="G97" s="80"/>
      <c r="I97" s="426"/>
      <c r="J97" s="426"/>
      <c r="K97" s="426"/>
    </row>
    <row r="98" spans="1:11" ht="15" x14ac:dyDescent="0.2">
      <c r="C98" s="86" t="s">
        <v>199</v>
      </c>
      <c r="D98" s="424">
        <f>SUM(D5:D97)</f>
        <v>2039000</v>
      </c>
      <c r="E98" s="44"/>
      <c r="F98" s="44"/>
      <c r="G98" s="82"/>
      <c r="I98" s="413">
        <f>SUM(I5:I97)</f>
        <v>100000</v>
      </c>
      <c r="J98" s="413">
        <f>SUM(J5:J97)</f>
        <v>1521000</v>
      </c>
      <c r="K98" s="413">
        <f>SUM(K5:K97)</f>
        <v>328000</v>
      </c>
    </row>
    <row r="99" spans="1:11" x14ac:dyDescent="0.2">
      <c r="C99" s="44"/>
      <c r="D99" s="44"/>
      <c r="E99" s="79"/>
      <c r="F99" s="79"/>
      <c r="G99" s="80"/>
      <c r="I99" s="426"/>
      <c r="J99" s="426"/>
      <c r="K99" s="426"/>
    </row>
    <row r="100" spans="1:11" x14ac:dyDescent="0.2">
      <c r="C100" s="709" t="s">
        <v>129</v>
      </c>
      <c r="D100" s="710"/>
      <c r="E100" s="79"/>
      <c r="F100" s="79"/>
      <c r="G100" s="81"/>
      <c r="I100" s="426"/>
      <c r="J100" s="426"/>
      <c r="K100" s="426"/>
    </row>
    <row r="101" spans="1:11" x14ac:dyDescent="0.2">
      <c r="A101" s="402" t="s">
        <v>424</v>
      </c>
      <c r="B101" s="513"/>
      <c r="C101" s="72" t="s">
        <v>105</v>
      </c>
      <c r="D101" s="421"/>
      <c r="E101" s="44"/>
      <c r="F101" s="44"/>
      <c r="G101" s="260"/>
      <c r="I101" s="426"/>
      <c r="J101" s="426"/>
      <c r="K101" s="426"/>
    </row>
    <row r="102" spans="1:11" x14ac:dyDescent="0.2">
      <c r="C102" s="72" t="s">
        <v>11</v>
      </c>
      <c r="D102" s="430"/>
      <c r="E102" s="44"/>
      <c r="F102" s="44"/>
      <c r="G102" s="260"/>
      <c r="I102" s="426"/>
      <c r="J102" s="426"/>
      <c r="K102" s="426"/>
    </row>
    <row r="103" spans="1:11" x14ac:dyDescent="0.2">
      <c r="A103" s="402" t="s">
        <v>424</v>
      </c>
      <c r="C103" s="203" t="s">
        <v>296</v>
      </c>
      <c r="D103" s="421"/>
      <c r="E103" s="44"/>
      <c r="F103" s="44"/>
      <c r="G103" s="260"/>
      <c r="I103" s="426"/>
      <c r="J103" s="426"/>
      <c r="K103" s="426"/>
    </row>
    <row r="104" spans="1:11" x14ac:dyDescent="0.2">
      <c r="A104" s="402" t="s">
        <v>424</v>
      </c>
      <c r="B104" s="513"/>
      <c r="C104" s="72" t="s">
        <v>106</v>
      </c>
      <c r="D104" s="432"/>
      <c r="E104" s="44"/>
      <c r="F104" s="44"/>
      <c r="G104" s="260"/>
      <c r="I104" s="426"/>
      <c r="J104" s="426"/>
      <c r="K104" s="426"/>
    </row>
    <row r="105" spans="1:11" x14ac:dyDescent="0.2">
      <c r="A105" s="402" t="s">
        <v>424</v>
      </c>
      <c r="B105" s="513"/>
      <c r="C105" s="203" t="s">
        <v>297</v>
      </c>
      <c r="D105" s="432"/>
      <c r="E105" s="44"/>
      <c r="F105" s="44"/>
      <c r="G105" s="351"/>
      <c r="I105" s="426"/>
      <c r="J105" s="426"/>
      <c r="K105" s="426"/>
    </row>
    <row r="106" spans="1:11" x14ac:dyDescent="0.2">
      <c r="A106" s="402" t="s">
        <v>424</v>
      </c>
      <c r="B106" s="513"/>
      <c r="C106" s="72" t="s">
        <v>12</v>
      </c>
      <c r="D106" s="431"/>
      <c r="E106" s="44"/>
      <c r="F106" s="44"/>
      <c r="G106" s="260"/>
      <c r="I106" s="426"/>
      <c r="J106" s="426"/>
      <c r="K106" s="426"/>
    </row>
    <row r="107" spans="1:11" x14ac:dyDescent="0.2">
      <c r="C107" s="70"/>
      <c r="D107" s="70"/>
      <c r="E107" s="44"/>
      <c r="F107" s="44"/>
      <c r="G107" s="70"/>
      <c r="I107" s="426"/>
      <c r="J107" s="426"/>
      <c r="K107" s="426"/>
    </row>
    <row r="108" spans="1:11" x14ac:dyDescent="0.2">
      <c r="C108" s="203" t="s">
        <v>298</v>
      </c>
      <c r="D108" s="413">
        <f>ROUND(D103*$D$102/12*$D$104,0)</f>
        <v>0</v>
      </c>
      <c r="E108" s="44"/>
      <c r="F108" s="44"/>
      <c r="G108" s="70"/>
      <c r="I108" s="426"/>
      <c r="J108" s="426"/>
      <c r="K108" s="426"/>
    </row>
    <row r="109" spans="1:11" x14ac:dyDescent="0.2">
      <c r="C109" s="203" t="s">
        <v>299</v>
      </c>
      <c r="D109" s="413">
        <f>ROUND((D101-D103)*D106*$D$102/12*$D$104,0)</f>
        <v>0</v>
      </c>
      <c r="E109" s="44"/>
      <c r="F109" s="44"/>
      <c r="G109" s="70"/>
      <c r="I109" s="426"/>
      <c r="J109" s="426"/>
      <c r="K109" s="426"/>
    </row>
    <row r="110" spans="1:11" x14ac:dyDescent="0.2">
      <c r="C110" s="203" t="s">
        <v>300</v>
      </c>
      <c r="D110" s="413">
        <f>ROUND(D101*$D$102/12*$D$105,0)</f>
        <v>0</v>
      </c>
      <c r="E110" s="44"/>
      <c r="F110" s="44"/>
      <c r="G110" s="70"/>
      <c r="I110" s="426"/>
      <c r="J110" s="426"/>
      <c r="K110" s="426"/>
    </row>
    <row r="111" spans="1:11" x14ac:dyDescent="0.2">
      <c r="C111" s="77" t="s">
        <v>301</v>
      </c>
      <c r="D111" s="413">
        <f>SUM(D108:D110)</f>
        <v>0</v>
      </c>
      <c r="E111" s="44"/>
      <c r="F111" s="44"/>
      <c r="G111" s="70"/>
      <c r="I111" s="426"/>
      <c r="J111" s="426"/>
      <c r="K111" s="426"/>
    </row>
    <row r="112" spans="1:11" s="17" customFormat="1" ht="3" customHeight="1" x14ac:dyDescent="0.2">
      <c r="C112" s="83"/>
      <c r="D112" s="84"/>
      <c r="E112" s="74"/>
      <c r="F112" s="74"/>
      <c r="G112" s="85"/>
      <c r="I112" s="427"/>
      <c r="J112" s="427"/>
      <c r="K112" s="427"/>
    </row>
    <row r="113" spans="1:15" x14ac:dyDescent="0.2">
      <c r="C113" s="44"/>
      <c r="D113" s="44"/>
      <c r="E113" s="44"/>
      <c r="F113" s="44"/>
      <c r="G113" s="82"/>
      <c r="I113" s="426"/>
      <c r="J113" s="517"/>
      <c r="K113" s="426"/>
    </row>
    <row r="114" spans="1:15" x14ac:dyDescent="0.2">
      <c r="C114" s="87" t="s">
        <v>314</v>
      </c>
      <c r="D114" s="44"/>
      <c r="E114" s="44"/>
      <c r="F114" s="44"/>
      <c r="G114" s="70"/>
      <c r="I114" s="429">
        <f>+D18+D21+D22+D26+D27+D28+D29</f>
        <v>920000</v>
      </c>
      <c r="J114" s="428" t="s">
        <v>523</v>
      </c>
      <c r="K114" s="426"/>
    </row>
    <row r="115" spans="1:15" x14ac:dyDescent="0.2">
      <c r="C115" s="265" t="str">
        <f>J115&amp;" is "&amp;IF((I114-I115)=0,"0%",TEXT(I115/($I$114-I115),"0.0%"))</f>
        <v>Construction Contingency is 15.0%</v>
      </c>
      <c r="D115" s="266"/>
      <c r="E115" s="266"/>
      <c r="F115" s="266"/>
      <c r="G115" s="266"/>
      <c r="I115" s="429">
        <f>+D27</f>
        <v>120000</v>
      </c>
      <c r="J115" s="428" t="str">
        <f>+C27</f>
        <v>Construction Contingency</v>
      </c>
      <c r="K115" s="426"/>
    </row>
    <row r="116" spans="1:15" x14ac:dyDescent="0.2">
      <c r="C116" s="265" t="str">
        <f>J116&amp;" is "&amp;IF(I114=0,"0%",TEXT(I116/$I$114,"0.0%"))&amp;" of construction costs"</f>
        <v>General Requirements is 4.3% of construction costs</v>
      </c>
      <c r="D116" s="266"/>
      <c r="E116" s="266"/>
      <c r="F116" s="266"/>
      <c r="G116" s="266"/>
      <c r="I116" s="429">
        <f>+D23</f>
        <v>40000</v>
      </c>
      <c r="J116" s="428" t="str">
        <f>+C23</f>
        <v>General Requirements</v>
      </c>
      <c r="K116" s="426"/>
    </row>
    <row r="117" spans="1:15" x14ac:dyDescent="0.2">
      <c r="C117" s="265" t="str">
        <f>J117&amp;" is "&amp;IF(I114=0,"0%",TEXT(I117/$I$114,"0.0%"))&amp;" of construction costs"</f>
        <v>Builder’s Overhead is 1.6% of construction costs</v>
      </c>
      <c r="D117" s="266"/>
      <c r="E117" s="266"/>
      <c r="F117" s="266"/>
      <c r="G117" s="266"/>
      <c r="I117" s="429">
        <f>+D24</f>
        <v>15000</v>
      </c>
      <c r="J117" s="428" t="str">
        <f>+C24</f>
        <v>Builder’s Overhead</v>
      </c>
      <c r="K117" s="426"/>
    </row>
    <row r="118" spans="1:15" x14ac:dyDescent="0.2">
      <c r="C118" s="265" t="str">
        <f>J118&amp;" is "&amp;IF(I114=0,"0%",TEXT(I118/$I$114,"0.0%"))&amp;" of construction costs"</f>
        <v>Builder Profit is 5.4% of construction costs</v>
      </c>
      <c r="D118" s="266"/>
      <c r="E118" s="266"/>
      <c r="F118" s="266"/>
      <c r="G118" s="266"/>
      <c r="I118" s="429">
        <f>+D25</f>
        <v>50000</v>
      </c>
      <c r="J118" s="428" t="str">
        <f>+C25</f>
        <v>Builder Profit</v>
      </c>
      <c r="K118" s="426"/>
    </row>
    <row r="119" spans="1:15" x14ac:dyDescent="0.2">
      <c r="C119" s="267"/>
      <c r="D119" s="267"/>
      <c r="E119" s="267"/>
      <c r="F119" s="267"/>
      <c r="G119" s="267"/>
      <c r="I119" s="429">
        <f>+D98-D74-SUM(D76:D82)</f>
        <v>1679000</v>
      </c>
      <c r="J119" s="428" t="s">
        <v>524</v>
      </c>
      <c r="K119" s="426"/>
    </row>
    <row r="120" spans="1:15" x14ac:dyDescent="0.2">
      <c r="C120" s="708" t="str">
        <f>J120&amp;" is "&amp;IF(I119=0,"0%",TEXT(I120/$I$119,"0.0%"))&amp;" of total development cost (excluding developer fee and initial reserves)"</f>
        <v>Developer's Fee is 14.3% of total development cost (excluding developer fee and initial reserves)</v>
      </c>
      <c r="D120" s="708"/>
      <c r="E120" s="708"/>
      <c r="F120" s="708"/>
      <c r="G120" s="708"/>
      <c r="I120" s="429">
        <f>+D74</f>
        <v>240000</v>
      </c>
      <c r="J120" s="426" t="str">
        <f>+C74</f>
        <v>Developer's Fee</v>
      </c>
      <c r="K120" s="426"/>
    </row>
    <row r="121" spans="1:15" x14ac:dyDescent="0.2">
      <c r="C121" s="264"/>
      <c r="D121" s="44"/>
      <c r="E121" s="44"/>
      <c r="F121" s="44"/>
      <c r="G121" s="70"/>
      <c r="N121" s="262"/>
      <c r="O121" s="263"/>
    </row>
    <row r="122" spans="1:15" ht="42.75" customHeight="1" x14ac:dyDescent="0.2">
      <c r="C122" s="715" t="s">
        <v>574</v>
      </c>
      <c r="D122" s="716"/>
      <c r="E122" s="716"/>
      <c r="F122" s="716"/>
      <c r="G122" s="717"/>
      <c r="N122" s="262"/>
      <c r="O122" s="263"/>
    </row>
    <row r="123" spans="1:15" x14ac:dyDescent="0.2">
      <c r="C123" s="264"/>
      <c r="D123" s="44"/>
      <c r="E123" s="44"/>
      <c r="F123" s="44"/>
      <c r="G123" s="70"/>
      <c r="N123" s="262"/>
      <c r="O123" s="263"/>
    </row>
    <row r="124" spans="1:15" x14ac:dyDescent="0.2">
      <c r="A124" s="402" t="s">
        <v>424</v>
      </c>
      <c r="C124" s="214" t="s">
        <v>415</v>
      </c>
      <c r="D124" s="397" t="s">
        <v>25</v>
      </c>
      <c r="E124" s="711" t="s">
        <v>273</v>
      </c>
      <c r="F124" s="712"/>
      <c r="G124" s="713"/>
      <c r="N124" s="262"/>
      <c r="O124" s="263"/>
    </row>
    <row r="125" spans="1:15" x14ac:dyDescent="0.2">
      <c r="C125" s="558" t="str">
        <f>+C14</f>
        <v>Construction Equipment (non-HOME eligible portion)</v>
      </c>
      <c r="D125" s="413">
        <f>+D14+D20</f>
        <v>8000</v>
      </c>
      <c r="E125" s="705"/>
      <c r="F125" s="706"/>
      <c r="G125" s="707"/>
      <c r="N125" s="262"/>
      <c r="O125" s="263"/>
    </row>
    <row r="126" spans="1:15" x14ac:dyDescent="0.2">
      <c r="C126" s="558" t="str">
        <f>+C11</f>
        <v>Off-Site Costs (these are not HOME eligible)</v>
      </c>
      <c r="D126" s="413">
        <f>+D11</f>
        <v>1000</v>
      </c>
      <c r="E126" s="705"/>
      <c r="F126" s="706"/>
      <c r="G126" s="707"/>
      <c r="N126" s="262"/>
      <c r="O126" s="263"/>
    </row>
    <row r="127" spans="1:15" x14ac:dyDescent="0.2">
      <c r="C127" s="558" t="str">
        <f>+C76</f>
        <v>Initial Rent-Up Reserve (not HOME eligible)</v>
      </c>
      <c r="D127" s="413">
        <f>+D76</f>
        <v>0</v>
      </c>
      <c r="E127" s="705"/>
      <c r="F127" s="706"/>
      <c r="G127" s="707"/>
      <c r="N127" s="262"/>
      <c r="O127" s="263"/>
    </row>
    <row r="128" spans="1:15" x14ac:dyDescent="0.2">
      <c r="C128" s="558" t="str">
        <f t="shared" ref="C128:D130" si="14">+C78</f>
        <v>Initial Operating Reserve (non-HOME-eligible portion)</v>
      </c>
      <c r="D128" s="413">
        <f t="shared" si="14"/>
        <v>90000</v>
      </c>
      <c r="E128" s="705"/>
      <c r="F128" s="706"/>
      <c r="G128" s="707"/>
      <c r="N128" s="262"/>
      <c r="O128" s="263"/>
    </row>
    <row r="129" spans="3:15" x14ac:dyDescent="0.2">
      <c r="C129" s="558" t="str">
        <f t="shared" si="14"/>
        <v>Initial Debt Service Reserve (not HOME eligible)</v>
      </c>
      <c r="D129" s="413">
        <f t="shared" si="14"/>
        <v>0</v>
      </c>
      <c r="E129" s="705"/>
      <c r="F129" s="706"/>
      <c r="G129" s="707"/>
      <c r="N129" s="262"/>
      <c r="O129" s="263"/>
    </row>
    <row r="130" spans="3:15" x14ac:dyDescent="0.2">
      <c r="C130" s="558" t="str">
        <f t="shared" si="14"/>
        <v>Initial Replacement Reserve (not HOME eligible)</v>
      </c>
      <c r="D130" s="413">
        <f t="shared" si="14"/>
        <v>20000</v>
      </c>
      <c r="E130" s="705"/>
      <c r="F130" s="706"/>
      <c r="G130" s="707"/>
      <c r="N130" s="262"/>
      <c r="O130" s="263"/>
    </row>
    <row r="131" spans="3:15" x14ac:dyDescent="0.2">
      <c r="C131" s="260" t="s">
        <v>585</v>
      </c>
      <c r="D131" s="421">
        <v>0</v>
      </c>
      <c r="E131" s="705"/>
      <c r="F131" s="706"/>
      <c r="G131" s="707"/>
      <c r="N131" s="262"/>
      <c r="O131" s="263"/>
    </row>
    <row r="132" spans="3:15" x14ac:dyDescent="0.2">
      <c r="C132" s="260" t="s">
        <v>586</v>
      </c>
      <c r="D132" s="421">
        <v>0</v>
      </c>
      <c r="E132" s="705"/>
      <c r="F132" s="706"/>
      <c r="G132" s="707"/>
      <c r="N132" s="262"/>
      <c r="O132" s="263"/>
    </row>
    <row r="133" spans="3:15" x14ac:dyDescent="0.2">
      <c r="C133" s="260" t="s">
        <v>587</v>
      </c>
      <c r="D133" s="421">
        <v>0</v>
      </c>
      <c r="E133" s="705"/>
      <c r="F133" s="706"/>
      <c r="G133" s="707"/>
      <c r="N133" s="262"/>
      <c r="O133" s="263"/>
    </row>
    <row r="134" spans="3:15" x14ac:dyDescent="0.2">
      <c r="C134" s="260" t="s">
        <v>588</v>
      </c>
      <c r="D134" s="421">
        <v>0</v>
      </c>
      <c r="E134" s="705"/>
      <c r="F134" s="706"/>
      <c r="G134" s="707"/>
      <c r="N134" s="262"/>
      <c r="O134" s="263"/>
    </row>
    <row r="135" spans="3:15" x14ac:dyDescent="0.2">
      <c r="C135" s="3"/>
      <c r="D135" s="426"/>
    </row>
    <row r="136" spans="3:15" x14ac:dyDescent="0.2">
      <c r="C136" s="398" t="s">
        <v>416</v>
      </c>
      <c r="D136" s="424">
        <f>SUM(D124:D135)</f>
        <v>119000</v>
      </c>
    </row>
    <row r="137" spans="3:15" x14ac:dyDescent="0.2">
      <c r="C137" s="3"/>
    </row>
    <row r="138" spans="3:15" x14ac:dyDescent="0.2">
      <c r="C138" s="44" t="s">
        <v>657</v>
      </c>
      <c r="E138" s="513"/>
    </row>
    <row r="139" spans="3:15" x14ac:dyDescent="0.2">
      <c r="C139" s="530"/>
    </row>
    <row r="140" spans="3:15" x14ac:dyDescent="0.2">
      <c r="D140" s="44"/>
      <c r="E140" s="44"/>
      <c r="F140" s="44"/>
      <c r="G140" s="70"/>
    </row>
    <row r="141" spans="3:15" x14ac:dyDescent="0.2">
      <c r="C141" s="3"/>
    </row>
    <row r="142" spans="3:15" x14ac:dyDescent="0.2">
      <c r="C142" s="12"/>
    </row>
    <row r="143" spans="3:15" x14ac:dyDescent="0.2">
      <c r="C143" s="12"/>
    </row>
    <row r="144" spans="3:15" x14ac:dyDescent="0.2">
      <c r="C144" s="3"/>
    </row>
    <row r="145" spans="3:3" x14ac:dyDescent="0.2">
      <c r="C145" s="3"/>
    </row>
    <row r="146" spans="3:3" x14ac:dyDescent="0.2">
      <c r="C146" s="3"/>
    </row>
    <row r="147" spans="3:3" x14ac:dyDescent="0.2">
      <c r="C147" s="3"/>
    </row>
    <row r="148" spans="3:3" x14ac:dyDescent="0.2">
      <c r="C148" s="3"/>
    </row>
    <row r="149" spans="3:3" x14ac:dyDescent="0.2">
      <c r="C149" s="3"/>
    </row>
    <row r="150" spans="3:3" x14ac:dyDescent="0.2">
      <c r="C150" s="3"/>
    </row>
    <row r="151" spans="3:3" x14ac:dyDescent="0.2">
      <c r="C151" s="3"/>
    </row>
    <row r="152" spans="3:3" x14ac:dyDescent="0.2">
      <c r="C152" s="3"/>
    </row>
    <row r="153" spans="3:3" x14ac:dyDescent="0.2">
      <c r="C153" s="3"/>
    </row>
    <row r="154" spans="3:3" x14ac:dyDescent="0.2">
      <c r="C154" s="3"/>
    </row>
    <row r="155" spans="3:3" x14ac:dyDescent="0.2">
      <c r="C155" s="3"/>
    </row>
    <row r="156" spans="3:3" x14ac:dyDescent="0.2">
      <c r="C156" s="3"/>
    </row>
    <row r="157" spans="3:3" x14ac:dyDescent="0.2">
      <c r="C157" s="3"/>
    </row>
    <row r="158" spans="3:3" x14ac:dyDescent="0.2">
      <c r="C158" s="3"/>
    </row>
    <row r="159" spans="3:3" x14ac:dyDescent="0.2">
      <c r="C159" s="3"/>
    </row>
    <row r="160" spans="3:3" x14ac:dyDescent="0.2">
      <c r="C160" s="3"/>
    </row>
    <row r="161" spans="3:3" x14ac:dyDescent="0.2">
      <c r="C161" s="3"/>
    </row>
    <row r="162" spans="3:3" x14ac:dyDescent="0.2">
      <c r="C162" s="3"/>
    </row>
    <row r="163" spans="3:3" x14ac:dyDescent="0.2">
      <c r="C163" s="3"/>
    </row>
    <row r="164" spans="3:3" x14ac:dyDescent="0.2">
      <c r="C164" s="3"/>
    </row>
    <row r="165" spans="3:3" x14ac:dyDescent="0.2">
      <c r="C165" s="3"/>
    </row>
    <row r="166" spans="3:3" x14ac:dyDescent="0.2">
      <c r="C166" s="3"/>
    </row>
    <row r="167" spans="3:3" x14ac:dyDescent="0.2">
      <c r="C167" s="3"/>
    </row>
    <row r="168" spans="3:3" x14ac:dyDescent="0.2">
      <c r="C168" s="3"/>
    </row>
    <row r="169" spans="3:3" x14ac:dyDescent="0.2">
      <c r="C169" s="3"/>
    </row>
    <row r="170" spans="3:3" x14ac:dyDescent="0.2">
      <c r="C170" s="3"/>
    </row>
    <row r="171" spans="3:3" x14ac:dyDescent="0.2">
      <c r="C171" s="3"/>
    </row>
    <row r="172" spans="3:3" x14ac:dyDescent="0.2">
      <c r="C172" s="3"/>
    </row>
    <row r="173" spans="3:3" x14ac:dyDescent="0.2">
      <c r="C173" s="3"/>
    </row>
    <row r="174" spans="3:3" x14ac:dyDescent="0.2">
      <c r="C174" s="3"/>
    </row>
    <row r="175" spans="3:3" x14ac:dyDescent="0.2">
      <c r="C175" s="3"/>
    </row>
    <row r="176" spans="3:3" x14ac:dyDescent="0.2">
      <c r="C176" s="3"/>
    </row>
    <row r="177" spans="3:3" x14ac:dyDescent="0.2">
      <c r="C177" s="3"/>
    </row>
    <row r="178" spans="3:3" x14ac:dyDescent="0.2">
      <c r="C178" s="3"/>
    </row>
    <row r="179" spans="3:3" x14ac:dyDescent="0.2">
      <c r="C179" s="3"/>
    </row>
    <row r="180" spans="3:3" x14ac:dyDescent="0.2">
      <c r="C180" s="3"/>
    </row>
    <row r="181" spans="3:3" x14ac:dyDescent="0.2">
      <c r="C181" s="3"/>
    </row>
    <row r="182" spans="3:3" x14ac:dyDescent="0.2">
      <c r="C182" s="3"/>
    </row>
    <row r="183" spans="3:3" x14ac:dyDescent="0.2">
      <c r="C183" s="3"/>
    </row>
    <row r="184" spans="3:3" x14ac:dyDescent="0.2">
      <c r="C184" s="3"/>
    </row>
    <row r="185" spans="3:3" x14ac:dyDescent="0.2">
      <c r="C185" s="3"/>
    </row>
    <row r="186" spans="3:3" x14ac:dyDescent="0.2">
      <c r="C186" s="3"/>
    </row>
    <row r="187" spans="3:3" x14ac:dyDescent="0.2">
      <c r="C187" s="3"/>
    </row>
    <row r="188" spans="3:3" x14ac:dyDescent="0.2">
      <c r="C188" s="3"/>
    </row>
    <row r="189" spans="3:3" x14ac:dyDescent="0.2">
      <c r="C189" s="3"/>
    </row>
    <row r="190" spans="3:3" x14ac:dyDescent="0.2">
      <c r="C190" s="3"/>
    </row>
    <row r="191" spans="3:3" x14ac:dyDescent="0.2">
      <c r="C191" s="3"/>
    </row>
    <row r="192" spans="3:3" x14ac:dyDescent="0.2">
      <c r="C192" s="3"/>
    </row>
    <row r="193" spans="3:3" x14ac:dyDescent="0.2">
      <c r="C193" s="3"/>
    </row>
    <row r="194" spans="3:3" x14ac:dyDescent="0.2">
      <c r="C194" s="3"/>
    </row>
    <row r="195" spans="3:3" x14ac:dyDescent="0.2">
      <c r="C195" s="3"/>
    </row>
    <row r="196" spans="3:3" x14ac:dyDescent="0.2">
      <c r="C196" s="3"/>
    </row>
    <row r="197" spans="3:3" x14ac:dyDescent="0.2">
      <c r="C197" s="3"/>
    </row>
    <row r="198" spans="3:3" x14ac:dyDescent="0.2">
      <c r="C198" s="3"/>
    </row>
    <row r="199" spans="3:3" x14ac:dyDescent="0.2">
      <c r="C199" s="3"/>
    </row>
    <row r="200" spans="3:3" x14ac:dyDescent="0.2">
      <c r="C200" s="3"/>
    </row>
    <row r="201" spans="3:3" x14ac:dyDescent="0.2">
      <c r="C201" s="3"/>
    </row>
    <row r="202" spans="3:3" x14ac:dyDescent="0.2">
      <c r="C202" s="3"/>
    </row>
    <row r="203" spans="3:3" x14ac:dyDescent="0.2">
      <c r="C203" s="3"/>
    </row>
    <row r="204" spans="3:3" x14ac:dyDescent="0.2">
      <c r="C204" s="3"/>
    </row>
    <row r="205" spans="3:3" x14ac:dyDescent="0.2">
      <c r="C205" s="3"/>
    </row>
    <row r="206" spans="3:3" x14ac:dyDescent="0.2">
      <c r="C206" s="3"/>
    </row>
    <row r="207" spans="3:3" x14ac:dyDescent="0.2">
      <c r="C207" s="3"/>
    </row>
    <row r="208" spans="3:3" x14ac:dyDescent="0.2">
      <c r="C208" s="3"/>
    </row>
    <row r="209" spans="3:3" x14ac:dyDescent="0.2">
      <c r="C209" s="3"/>
    </row>
    <row r="210" spans="3:3" x14ac:dyDescent="0.2">
      <c r="C210" s="3"/>
    </row>
    <row r="211" spans="3:3" x14ac:dyDescent="0.2">
      <c r="C211" s="3"/>
    </row>
    <row r="212" spans="3:3" x14ac:dyDescent="0.2">
      <c r="C212" s="3"/>
    </row>
    <row r="213" spans="3:3" x14ac:dyDescent="0.2">
      <c r="C213" s="3"/>
    </row>
    <row r="214" spans="3:3" x14ac:dyDescent="0.2">
      <c r="C214" s="3"/>
    </row>
    <row r="215" spans="3:3" x14ac:dyDescent="0.2">
      <c r="C215" s="3"/>
    </row>
    <row r="216" spans="3:3" x14ac:dyDescent="0.2">
      <c r="C216" s="3"/>
    </row>
    <row r="217" spans="3:3" x14ac:dyDescent="0.2">
      <c r="C217" s="3"/>
    </row>
    <row r="218" spans="3:3" x14ac:dyDescent="0.2">
      <c r="C218" s="3"/>
    </row>
    <row r="219" spans="3:3" x14ac:dyDescent="0.2">
      <c r="C219" s="3"/>
    </row>
    <row r="220" spans="3:3" x14ac:dyDescent="0.2">
      <c r="C220" s="3"/>
    </row>
    <row r="221" spans="3:3" x14ac:dyDescent="0.2">
      <c r="C221" s="3"/>
    </row>
    <row r="222" spans="3:3" x14ac:dyDescent="0.2">
      <c r="C222" s="3"/>
    </row>
    <row r="223" spans="3:3" x14ac:dyDescent="0.2">
      <c r="C223" s="3"/>
    </row>
    <row r="224" spans="3:3" x14ac:dyDescent="0.2">
      <c r="C224" s="3"/>
    </row>
    <row r="225" spans="3:3" x14ac:dyDescent="0.2">
      <c r="C225" s="3"/>
    </row>
    <row r="226" spans="3:3" x14ac:dyDescent="0.2">
      <c r="C226" s="3"/>
    </row>
    <row r="227" spans="3:3" x14ac:dyDescent="0.2">
      <c r="C227" s="3"/>
    </row>
    <row r="228" spans="3:3" x14ac:dyDescent="0.2">
      <c r="C228" s="3"/>
    </row>
    <row r="229" spans="3:3" x14ac:dyDescent="0.2">
      <c r="C229" s="3"/>
    </row>
    <row r="230" spans="3:3" x14ac:dyDescent="0.2">
      <c r="C230" s="3"/>
    </row>
    <row r="231" spans="3:3" x14ac:dyDescent="0.2">
      <c r="C231" s="3"/>
    </row>
    <row r="232" spans="3:3" x14ac:dyDescent="0.2">
      <c r="C232" s="3"/>
    </row>
    <row r="233" spans="3:3" x14ac:dyDescent="0.2">
      <c r="C233" s="3"/>
    </row>
    <row r="234" spans="3:3" x14ac:dyDescent="0.2">
      <c r="C234" s="3"/>
    </row>
    <row r="235" spans="3:3" x14ac:dyDescent="0.2">
      <c r="C235" s="3"/>
    </row>
    <row r="236" spans="3:3" x14ac:dyDescent="0.2">
      <c r="C236" s="3"/>
    </row>
    <row r="237" spans="3:3" x14ac:dyDescent="0.2">
      <c r="C237" s="3"/>
    </row>
    <row r="238" spans="3:3" x14ac:dyDescent="0.2">
      <c r="C238" s="3"/>
    </row>
    <row r="239" spans="3:3" x14ac:dyDescent="0.2">
      <c r="C239" s="3"/>
    </row>
    <row r="240" spans="3:3" x14ac:dyDescent="0.2">
      <c r="C240" s="3"/>
    </row>
    <row r="241" spans="3:3" x14ac:dyDescent="0.2">
      <c r="C241" s="3"/>
    </row>
    <row r="242" spans="3:3" x14ac:dyDescent="0.2">
      <c r="C242" s="3"/>
    </row>
    <row r="243" spans="3:3" x14ac:dyDescent="0.2">
      <c r="C243" s="3"/>
    </row>
    <row r="244" spans="3:3" x14ac:dyDescent="0.2">
      <c r="C244" s="3"/>
    </row>
    <row r="245" spans="3:3" x14ac:dyDescent="0.2">
      <c r="C245" s="3"/>
    </row>
    <row r="246" spans="3:3" x14ac:dyDescent="0.2">
      <c r="C246" s="3"/>
    </row>
    <row r="247" spans="3:3" x14ac:dyDescent="0.2">
      <c r="C247" s="3"/>
    </row>
    <row r="248" spans="3:3" x14ac:dyDescent="0.2">
      <c r="C248" s="3"/>
    </row>
    <row r="249" spans="3:3" x14ac:dyDescent="0.2">
      <c r="C249" s="3"/>
    </row>
    <row r="250" spans="3:3" x14ac:dyDescent="0.2">
      <c r="C250" s="3"/>
    </row>
    <row r="251" spans="3:3" x14ac:dyDescent="0.2">
      <c r="C251" s="3"/>
    </row>
    <row r="252" spans="3:3" x14ac:dyDescent="0.2">
      <c r="C252" s="3"/>
    </row>
    <row r="253" spans="3:3" x14ac:dyDescent="0.2">
      <c r="C253" s="3"/>
    </row>
    <row r="254" spans="3:3" x14ac:dyDescent="0.2">
      <c r="C254" s="3"/>
    </row>
    <row r="255" spans="3:3" x14ac:dyDescent="0.2">
      <c r="C255" s="3"/>
    </row>
    <row r="256" spans="3:3" x14ac:dyDescent="0.2">
      <c r="C256" s="3"/>
    </row>
    <row r="257" spans="3:3" x14ac:dyDescent="0.2">
      <c r="C257" s="3"/>
    </row>
    <row r="258" spans="3:3" x14ac:dyDescent="0.2">
      <c r="C258" s="3"/>
    </row>
    <row r="259" spans="3:3" x14ac:dyDescent="0.2">
      <c r="C259" s="3"/>
    </row>
    <row r="260" spans="3:3" x14ac:dyDescent="0.2">
      <c r="C260" s="3"/>
    </row>
    <row r="261" spans="3:3" x14ac:dyDescent="0.2">
      <c r="C261" s="3"/>
    </row>
    <row r="262" spans="3:3" x14ac:dyDescent="0.2">
      <c r="C262" s="3"/>
    </row>
    <row r="263" spans="3:3" x14ac:dyDescent="0.2">
      <c r="C263" s="3"/>
    </row>
    <row r="264" spans="3:3" x14ac:dyDescent="0.2">
      <c r="C264" s="3"/>
    </row>
    <row r="265" spans="3:3" x14ac:dyDescent="0.2">
      <c r="C265" s="3"/>
    </row>
    <row r="266" spans="3:3" x14ac:dyDescent="0.2">
      <c r="C266" s="3"/>
    </row>
    <row r="267" spans="3:3" x14ac:dyDescent="0.2">
      <c r="C267" s="3"/>
    </row>
    <row r="268" spans="3:3" x14ac:dyDescent="0.2">
      <c r="C268" s="3"/>
    </row>
    <row r="269" spans="3:3" x14ac:dyDescent="0.2">
      <c r="C269" s="3"/>
    </row>
    <row r="270" spans="3:3" x14ac:dyDescent="0.2">
      <c r="C270" s="3"/>
    </row>
    <row r="271" spans="3:3" x14ac:dyDescent="0.2">
      <c r="C271" s="3"/>
    </row>
    <row r="272" spans="3:3" x14ac:dyDescent="0.2">
      <c r="C272" s="3"/>
    </row>
    <row r="273" spans="3:3" x14ac:dyDescent="0.2">
      <c r="C273" s="3"/>
    </row>
    <row r="274" spans="3:3" x14ac:dyDescent="0.2">
      <c r="C274" s="3"/>
    </row>
    <row r="275" spans="3:3" x14ac:dyDescent="0.2">
      <c r="C275" s="3"/>
    </row>
    <row r="276" spans="3:3" x14ac:dyDescent="0.2">
      <c r="C276" s="3"/>
    </row>
    <row r="277" spans="3:3" x14ac:dyDescent="0.2">
      <c r="C277" s="3"/>
    </row>
    <row r="278" spans="3:3" x14ac:dyDescent="0.2">
      <c r="C278" s="3"/>
    </row>
    <row r="279" spans="3:3" x14ac:dyDescent="0.2">
      <c r="C279" s="3"/>
    </row>
    <row r="280" spans="3:3" x14ac:dyDescent="0.2">
      <c r="C280" s="3"/>
    </row>
    <row r="281" spans="3:3" x14ac:dyDescent="0.2">
      <c r="C281" s="3"/>
    </row>
    <row r="282" spans="3:3" x14ac:dyDescent="0.2">
      <c r="C282" s="3"/>
    </row>
    <row r="283" spans="3:3" x14ac:dyDescent="0.2">
      <c r="C283" s="3"/>
    </row>
    <row r="284" spans="3:3" x14ac:dyDescent="0.2">
      <c r="C284" s="3"/>
    </row>
    <row r="285" spans="3:3" x14ac:dyDescent="0.2">
      <c r="C285" s="3"/>
    </row>
    <row r="286" spans="3:3" x14ac:dyDescent="0.2">
      <c r="C286" s="3"/>
    </row>
    <row r="287" spans="3:3" x14ac:dyDescent="0.2">
      <c r="C287" s="3"/>
    </row>
    <row r="288" spans="3:3" x14ac:dyDescent="0.2">
      <c r="C288" s="3"/>
    </row>
    <row r="289" spans="3:3" x14ac:dyDescent="0.2">
      <c r="C289" s="3"/>
    </row>
    <row r="290" spans="3:3" x14ac:dyDescent="0.2">
      <c r="C290" s="3"/>
    </row>
    <row r="291" spans="3:3" x14ac:dyDescent="0.2">
      <c r="C291" s="3"/>
    </row>
    <row r="292" spans="3:3" x14ac:dyDescent="0.2">
      <c r="C292" s="3"/>
    </row>
    <row r="293" spans="3:3" x14ac:dyDescent="0.2">
      <c r="C293" s="3"/>
    </row>
    <row r="294" spans="3:3" x14ac:dyDescent="0.2">
      <c r="C294" s="3"/>
    </row>
    <row r="295" spans="3:3" x14ac:dyDescent="0.2">
      <c r="C295" s="3"/>
    </row>
    <row r="296" spans="3:3" x14ac:dyDescent="0.2">
      <c r="C296" s="3"/>
    </row>
    <row r="297" spans="3:3" x14ac:dyDescent="0.2">
      <c r="C297" s="3"/>
    </row>
    <row r="298" spans="3:3" x14ac:dyDescent="0.2">
      <c r="C298" s="3"/>
    </row>
    <row r="299" spans="3:3" x14ac:dyDescent="0.2">
      <c r="C299" s="3"/>
    </row>
    <row r="300" spans="3:3" x14ac:dyDescent="0.2">
      <c r="C300" s="3"/>
    </row>
    <row r="301" spans="3:3" x14ac:dyDescent="0.2">
      <c r="C301" s="3"/>
    </row>
    <row r="302" spans="3:3" x14ac:dyDescent="0.2">
      <c r="C302" s="3"/>
    </row>
    <row r="303" spans="3:3" x14ac:dyDescent="0.2">
      <c r="C303" s="3"/>
    </row>
    <row r="304" spans="3:3" x14ac:dyDescent="0.2">
      <c r="C304" s="3"/>
    </row>
    <row r="305" spans="3:3" x14ac:dyDescent="0.2">
      <c r="C305" s="3"/>
    </row>
    <row r="306" spans="3:3" x14ac:dyDescent="0.2">
      <c r="C306" s="3"/>
    </row>
    <row r="307" spans="3:3" x14ac:dyDescent="0.2">
      <c r="C307" s="3"/>
    </row>
    <row r="308" spans="3:3" x14ac:dyDescent="0.2">
      <c r="C308" s="3"/>
    </row>
    <row r="309" spans="3:3" x14ac:dyDescent="0.2">
      <c r="C309" s="3"/>
    </row>
    <row r="310" spans="3:3" x14ac:dyDescent="0.2">
      <c r="C310" s="3"/>
    </row>
    <row r="311" spans="3:3" x14ac:dyDescent="0.2">
      <c r="C311" s="3"/>
    </row>
    <row r="312" spans="3:3" x14ac:dyDescent="0.2">
      <c r="C312" s="3"/>
    </row>
    <row r="313" spans="3:3" x14ac:dyDescent="0.2">
      <c r="C313" s="3"/>
    </row>
    <row r="314" spans="3:3" x14ac:dyDescent="0.2">
      <c r="C314" s="3"/>
    </row>
    <row r="315" spans="3:3" x14ac:dyDescent="0.2">
      <c r="C315" s="3"/>
    </row>
    <row r="316" spans="3:3" x14ac:dyDescent="0.2">
      <c r="C316" s="3"/>
    </row>
    <row r="317" spans="3:3" x14ac:dyDescent="0.2">
      <c r="C317" s="3"/>
    </row>
    <row r="318" spans="3:3" x14ac:dyDescent="0.2">
      <c r="C318" s="3"/>
    </row>
    <row r="319" spans="3:3" x14ac:dyDescent="0.2">
      <c r="C319" s="3"/>
    </row>
    <row r="320" spans="3:3" x14ac:dyDescent="0.2">
      <c r="C320" s="3"/>
    </row>
    <row r="321" spans="3:3" x14ac:dyDescent="0.2">
      <c r="C321" s="3"/>
    </row>
    <row r="322" spans="3:3" x14ac:dyDescent="0.2">
      <c r="C322" s="3"/>
    </row>
    <row r="323" spans="3:3" x14ac:dyDescent="0.2">
      <c r="C323" s="3"/>
    </row>
    <row r="324" spans="3:3" x14ac:dyDescent="0.2">
      <c r="C324" s="3"/>
    </row>
    <row r="325" spans="3:3" x14ac:dyDescent="0.2">
      <c r="C325" s="3"/>
    </row>
    <row r="326" spans="3:3" x14ac:dyDescent="0.2">
      <c r="C326" s="3"/>
    </row>
    <row r="327" spans="3:3" x14ac:dyDescent="0.2">
      <c r="C327" s="3"/>
    </row>
    <row r="328" spans="3:3" x14ac:dyDescent="0.2">
      <c r="C328" s="3"/>
    </row>
    <row r="329" spans="3:3" x14ac:dyDescent="0.2">
      <c r="C329" s="3"/>
    </row>
    <row r="330" spans="3:3" x14ac:dyDescent="0.2">
      <c r="C330" s="3"/>
    </row>
    <row r="331" spans="3:3" x14ac:dyDescent="0.2">
      <c r="C331" s="3"/>
    </row>
    <row r="332" spans="3:3" x14ac:dyDescent="0.2">
      <c r="C332" s="3"/>
    </row>
    <row r="333" spans="3:3" x14ac:dyDescent="0.2">
      <c r="C333" s="3"/>
    </row>
    <row r="334" spans="3:3" x14ac:dyDescent="0.2">
      <c r="C334" s="3"/>
    </row>
    <row r="335" spans="3:3" x14ac:dyDescent="0.2">
      <c r="C335" s="3"/>
    </row>
    <row r="336" spans="3:3" x14ac:dyDescent="0.2">
      <c r="C336" s="3"/>
    </row>
    <row r="337" spans="3:3" x14ac:dyDescent="0.2">
      <c r="C337" s="3"/>
    </row>
    <row r="338" spans="3:3" x14ac:dyDescent="0.2">
      <c r="C338" s="3"/>
    </row>
    <row r="339" spans="3:3" x14ac:dyDescent="0.2">
      <c r="C339" s="3"/>
    </row>
    <row r="340" spans="3:3" x14ac:dyDescent="0.2">
      <c r="C340" s="3"/>
    </row>
    <row r="341" spans="3:3" x14ac:dyDescent="0.2">
      <c r="C341" s="3"/>
    </row>
    <row r="342" spans="3:3" x14ac:dyDescent="0.2">
      <c r="C342" s="3"/>
    </row>
    <row r="343" spans="3:3" x14ac:dyDescent="0.2">
      <c r="C343" s="3"/>
    </row>
    <row r="344" spans="3:3" x14ac:dyDescent="0.2">
      <c r="C344" s="3"/>
    </row>
    <row r="345" spans="3:3" x14ac:dyDescent="0.2">
      <c r="C345" s="3"/>
    </row>
    <row r="346" spans="3:3" x14ac:dyDescent="0.2">
      <c r="C346" s="3"/>
    </row>
    <row r="347" spans="3:3" x14ac:dyDescent="0.2">
      <c r="C347" s="3"/>
    </row>
    <row r="348" spans="3:3" x14ac:dyDescent="0.2">
      <c r="C348" s="3"/>
    </row>
    <row r="349" spans="3:3" x14ac:dyDescent="0.2">
      <c r="C349" s="3"/>
    </row>
    <row r="350" spans="3:3" x14ac:dyDescent="0.2">
      <c r="C350" s="3"/>
    </row>
    <row r="351" spans="3:3" x14ac:dyDescent="0.2">
      <c r="C351" s="3"/>
    </row>
    <row r="352" spans="3:3" x14ac:dyDescent="0.2">
      <c r="C352" s="3"/>
    </row>
    <row r="353" spans="3:3" x14ac:dyDescent="0.2">
      <c r="C353" s="3"/>
    </row>
    <row r="354" spans="3:3" x14ac:dyDescent="0.2">
      <c r="C354" s="3"/>
    </row>
    <row r="355" spans="3:3" x14ac:dyDescent="0.2">
      <c r="C355" s="3"/>
    </row>
    <row r="356" spans="3:3" x14ac:dyDescent="0.2">
      <c r="C356" s="3"/>
    </row>
    <row r="357" spans="3:3" x14ac:dyDescent="0.2">
      <c r="C357" s="3"/>
    </row>
    <row r="358" spans="3:3" x14ac:dyDescent="0.2">
      <c r="C358" s="3"/>
    </row>
    <row r="359" spans="3:3" x14ac:dyDescent="0.2">
      <c r="C359" s="3"/>
    </row>
    <row r="360" spans="3:3" x14ac:dyDescent="0.2">
      <c r="C360" s="3"/>
    </row>
    <row r="361" spans="3:3" x14ac:dyDescent="0.2">
      <c r="C361" s="3"/>
    </row>
    <row r="362" spans="3:3" x14ac:dyDescent="0.2">
      <c r="C362" s="3"/>
    </row>
    <row r="363" spans="3:3" x14ac:dyDescent="0.2">
      <c r="C363" s="3"/>
    </row>
    <row r="364" spans="3:3" x14ac:dyDescent="0.2">
      <c r="C364" s="3"/>
    </row>
    <row r="365" spans="3:3" x14ac:dyDescent="0.2">
      <c r="C365" s="3"/>
    </row>
    <row r="366" spans="3:3" x14ac:dyDescent="0.2">
      <c r="C366" s="3"/>
    </row>
    <row r="367" spans="3:3" x14ac:dyDescent="0.2">
      <c r="C367" s="3"/>
    </row>
    <row r="368" spans="3:3" x14ac:dyDescent="0.2">
      <c r="C368" s="3"/>
    </row>
    <row r="369" spans="3:3" x14ac:dyDescent="0.2">
      <c r="C369" s="3"/>
    </row>
    <row r="370" spans="3:3" x14ac:dyDescent="0.2">
      <c r="C370" s="3"/>
    </row>
    <row r="371" spans="3:3" x14ac:dyDescent="0.2">
      <c r="C371" s="3"/>
    </row>
    <row r="372" spans="3:3" x14ac:dyDescent="0.2">
      <c r="C372" s="3"/>
    </row>
    <row r="373" spans="3:3" x14ac:dyDescent="0.2">
      <c r="C373" s="3"/>
    </row>
    <row r="374" spans="3:3" x14ac:dyDescent="0.2">
      <c r="C374" s="3"/>
    </row>
    <row r="375" spans="3:3" x14ac:dyDescent="0.2">
      <c r="C375" s="3"/>
    </row>
    <row r="376" spans="3:3" x14ac:dyDescent="0.2">
      <c r="C376" s="3"/>
    </row>
    <row r="377" spans="3:3" x14ac:dyDescent="0.2">
      <c r="C377" s="3"/>
    </row>
    <row r="378" spans="3:3" x14ac:dyDescent="0.2">
      <c r="C378" s="3"/>
    </row>
    <row r="379" spans="3:3" x14ac:dyDescent="0.2">
      <c r="C379" s="3"/>
    </row>
    <row r="380" spans="3:3" x14ac:dyDescent="0.2">
      <c r="C380" s="3"/>
    </row>
    <row r="381" spans="3:3" x14ac:dyDescent="0.2">
      <c r="C381" s="3"/>
    </row>
    <row r="382" spans="3:3" x14ac:dyDescent="0.2">
      <c r="C382" s="3"/>
    </row>
    <row r="383" spans="3:3" x14ac:dyDescent="0.2">
      <c r="C383" s="3"/>
    </row>
    <row r="384" spans="3:3" x14ac:dyDescent="0.2">
      <c r="C384" s="3"/>
    </row>
    <row r="385" spans="3:3" x14ac:dyDescent="0.2">
      <c r="C385" s="3"/>
    </row>
    <row r="386" spans="3:3" x14ac:dyDescent="0.2">
      <c r="C386" s="3"/>
    </row>
    <row r="387" spans="3:3" x14ac:dyDescent="0.2">
      <c r="C387" s="3"/>
    </row>
    <row r="388" spans="3:3" x14ac:dyDescent="0.2">
      <c r="C388" s="3"/>
    </row>
    <row r="389" spans="3:3" x14ac:dyDescent="0.2">
      <c r="C389" s="3"/>
    </row>
    <row r="390" spans="3:3" x14ac:dyDescent="0.2">
      <c r="C390" s="3"/>
    </row>
    <row r="391" spans="3:3" x14ac:dyDescent="0.2">
      <c r="C391" s="3"/>
    </row>
    <row r="392" spans="3:3" x14ac:dyDescent="0.2">
      <c r="C392" s="3"/>
    </row>
    <row r="393" spans="3:3" x14ac:dyDescent="0.2">
      <c r="C393" s="3"/>
    </row>
    <row r="394" spans="3:3" x14ac:dyDescent="0.2">
      <c r="C394" s="3"/>
    </row>
    <row r="395" spans="3:3" x14ac:dyDescent="0.2">
      <c r="C395" s="3"/>
    </row>
    <row r="396" spans="3:3" x14ac:dyDescent="0.2">
      <c r="C396" s="3"/>
    </row>
    <row r="397" spans="3:3" x14ac:dyDescent="0.2">
      <c r="C397" s="3"/>
    </row>
    <row r="398" spans="3:3" x14ac:dyDescent="0.2">
      <c r="C398" s="3"/>
    </row>
    <row r="399" spans="3:3" x14ac:dyDescent="0.2">
      <c r="C399" s="3"/>
    </row>
    <row r="400" spans="3:3" x14ac:dyDescent="0.2">
      <c r="C400" s="3"/>
    </row>
    <row r="401" spans="3:3" x14ac:dyDescent="0.2">
      <c r="C401" s="3"/>
    </row>
    <row r="402" spans="3:3" x14ac:dyDescent="0.2">
      <c r="C402" s="3"/>
    </row>
    <row r="403" spans="3:3" x14ac:dyDescent="0.2">
      <c r="C403" s="3"/>
    </row>
    <row r="404" spans="3:3" x14ac:dyDescent="0.2">
      <c r="C404" s="3"/>
    </row>
    <row r="405" spans="3:3" x14ac:dyDescent="0.2">
      <c r="C405" s="3"/>
    </row>
    <row r="406" spans="3:3" x14ac:dyDescent="0.2">
      <c r="C406" s="3"/>
    </row>
    <row r="407" spans="3:3" x14ac:dyDescent="0.2">
      <c r="C407" s="3"/>
    </row>
    <row r="408" spans="3:3" x14ac:dyDescent="0.2">
      <c r="C408" s="3"/>
    </row>
    <row r="409" spans="3:3" x14ac:dyDescent="0.2">
      <c r="C409" s="3"/>
    </row>
    <row r="410" spans="3:3" x14ac:dyDescent="0.2">
      <c r="C410" s="3"/>
    </row>
    <row r="411" spans="3:3" x14ac:dyDescent="0.2">
      <c r="C411" s="3"/>
    </row>
    <row r="412" spans="3:3" x14ac:dyDescent="0.2">
      <c r="C412" s="3"/>
    </row>
    <row r="413" spans="3:3" x14ac:dyDescent="0.2">
      <c r="C413" s="3"/>
    </row>
    <row r="414" spans="3:3" x14ac:dyDescent="0.2">
      <c r="C414" s="3"/>
    </row>
    <row r="415" spans="3:3" x14ac:dyDescent="0.2">
      <c r="C415" s="3"/>
    </row>
    <row r="416" spans="3:3" x14ac:dyDescent="0.2">
      <c r="C416" s="3"/>
    </row>
    <row r="417" spans="3:3" x14ac:dyDescent="0.2">
      <c r="C417" s="3"/>
    </row>
    <row r="418" spans="3:3" x14ac:dyDescent="0.2">
      <c r="C418" s="3"/>
    </row>
    <row r="419" spans="3:3" x14ac:dyDescent="0.2">
      <c r="C419" s="3"/>
    </row>
    <row r="420" spans="3:3" x14ac:dyDescent="0.2">
      <c r="C420" s="3"/>
    </row>
    <row r="421" spans="3:3" x14ac:dyDescent="0.2">
      <c r="C421" s="3"/>
    </row>
    <row r="422" spans="3:3" x14ac:dyDescent="0.2">
      <c r="C422" s="3"/>
    </row>
    <row r="423" spans="3:3" x14ac:dyDescent="0.2">
      <c r="C423" s="3"/>
    </row>
    <row r="424" spans="3:3" x14ac:dyDescent="0.2">
      <c r="C424" s="3"/>
    </row>
    <row r="425" spans="3:3" x14ac:dyDescent="0.2">
      <c r="C425" s="3"/>
    </row>
    <row r="426" spans="3:3" x14ac:dyDescent="0.2">
      <c r="C426" s="3"/>
    </row>
    <row r="427" spans="3:3" x14ac:dyDescent="0.2">
      <c r="C427" s="3"/>
    </row>
    <row r="428" spans="3:3" x14ac:dyDescent="0.2">
      <c r="C428" s="3"/>
    </row>
    <row r="429" spans="3:3" x14ac:dyDescent="0.2">
      <c r="C429" s="3"/>
    </row>
    <row r="430" spans="3:3" x14ac:dyDescent="0.2">
      <c r="C430" s="3"/>
    </row>
    <row r="431" spans="3:3" x14ac:dyDescent="0.2">
      <c r="C431" s="3"/>
    </row>
    <row r="432" spans="3:3" x14ac:dyDescent="0.2">
      <c r="C432" s="3"/>
    </row>
    <row r="433" spans="3:3" x14ac:dyDescent="0.2">
      <c r="C433" s="3"/>
    </row>
    <row r="434" spans="3:3" x14ac:dyDescent="0.2">
      <c r="C434" s="3"/>
    </row>
    <row r="435" spans="3:3" x14ac:dyDescent="0.2">
      <c r="C435" s="3"/>
    </row>
    <row r="436" spans="3:3" x14ac:dyDescent="0.2">
      <c r="C436" s="3"/>
    </row>
    <row r="437" spans="3:3" x14ac:dyDescent="0.2">
      <c r="C437" s="3"/>
    </row>
    <row r="438" spans="3:3" x14ac:dyDescent="0.2">
      <c r="C438" s="3"/>
    </row>
    <row r="439" spans="3:3" x14ac:dyDescent="0.2">
      <c r="C439" s="3"/>
    </row>
    <row r="440" spans="3:3" x14ac:dyDescent="0.2">
      <c r="C440" s="3"/>
    </row>
    <row r="441" spans="3:3" x14ac:dyDescent="0.2">
      <c r="C441" s="3"/>
    </row>
    <row r="442" spans="3:3" x14ac:dyDescent="0.2">
      <c r="C442" s="3"/>
    </row>
    <row r="443" spans="3:3" x14ac:dyDescent="0.2">
      <c r="C443" s="3"/>
    </row>
    <row r="444" spans="3:3" x14ac:dyDescent="0.2">
      <c r="C444" s="3"/>
    </row>
    <row r="445" spans="3:3" x14ac:dyDescent="0.2">
      <c r="C445" s="3"/>
    </row>
    <row r="446" spans="3:3" x14ac:dyDescent="0.2">
      <c r="C446" s="3"/>
    </row>
    <row r="447" spans="3:3" x14ac:dyDescent="0.2">
      <c r="C447" s="3"/>
    </row>
    <row r="448" spans="3:3" x14ac:dyDescent="0.2">
      <c r="C448" s="3"/>
    </row>
    <row r="449" spans="3:3" x14ac:dyDescent="0.2">
      <c r="C449" s="3"/>
    </row>
    <row r="450" spans="3:3" x14ac:dyDescent="0.2">
      <c r="C450" s="3"/>
    </row>
    <row r="451" spans="3:3" x14ac:dyDescent="0.2">
      <c r="C451" s="3"/>
    </row>
    <row r="452" spans="3:3" x14ac:dyDescent="0.2">
      <c r="C452" s="3"/>
    </row>
    <row r="453" spans="3:3" x14ac:dyDescent="0.2">
      <c r="C453" s="3"/>
    </row>
    <row r="454" spans="3:3" x14ac:dyDescent="0.2">
      <c r="C454" s="3"/>
    </row>
    <row r="455" spans="3:3" x14ac:dyDescent="0.2">
      <c r="C455" s="3"/>
    </row>
    <row r="456" spans="3:3" x14ac:dyDescent="0.2">
      <c r="C456" s="3"/>
    </row>
    <row r="457" spans="3:3" x14ac:dyDescent="0.2">
      <c r="C457" s="3"/>
    </row>
    <row r="458" spans="3:3" x14ac:dyDescent="0.2">
      <c r="C458" s="3"/>
    </row>
    <row r="459" spans="3:3" x14ac:dyDescent="0.2">
      <c r="C459" s="3"/>
    </row>
    <row r="460" spans="3:3" x14ac:dyDescent="0.2">
      <c r="C460" s="3"/>
    </row>
    <row r="461" spans="3:3" x14ac:dyDescent="0.2">
      <c r="C461" s="3"/>
    </row>
    <row r="462" spans="3:3" x14ac:dyDescent="0.2">
      <c r="C462" s="3"/>
    </row>
    <row r="463" spans="3:3" x14ac:dyDescent="0.2">
      <c r="C463" s="3"/>
    </row>
    <row r="464" spans="3:3" x14ac:dyDescent="0.2">
      <c r="C464" s="3"/>
    </row>
    <row r="465" spans="3:3" x14ac:dyDescent="0.2">
      <c r="C465" s="3"/>
    </row>
    <row r="466" spans="3:3" x14ac:dyDescent="0.2">
      <c r="C466" s="3"/>
    </row>
    <row r="467" spans="3:3" x14ac:dyDescent="0.2">
      <c r="C467" s="3"/>
    </row>
    <row r="468" spans="3:3" x14ac:dyDescent="0.2">
      <c r="C468" s="3"/>
    </row>
    <row r="469" spans="3:3" x14ac:dyDescent="0.2">
      <c r="C469" s="3"/>
    </row>
    <row r="470" spans="3:3" x14ac:dyDescent="0.2">
      <c r="C470" s="3"/>
    </row>
    <row r="471" spans="3:3" x14ac:dyDescent="0.2">
      <c r="C471" s="3"/>
    </row>
    <row r="472" spans="3:3" x14ac:dyDescent="0.2">
      <c r="C472" s="3"/>
    </row>
    <row r="473" spans="3:3" x14ac:dyDescent="0.2">
      <c r="C473" s="3"/>
    </row>
    <row r="474" spans="3:3" x14ac:dyDescent="0.2">
      <c r="C474" s="3"/>
    </row>
    <row r="475" spans="3:3" x14ac:dyDescent="0.2">
      <c r="C475" s="3"/>
    </row>
    <row r="476" spans="3:3" x14ac:dyDescent="0.2">
      <c r="C476" s="3"/>
    </row>
    <row r="477" spans="3:3" x14ac:dyDescent="0.2">
      <c r="C477" s="3"/>
    </row>
    <row r="478" spans="3:3" x14ac:dyDescent="0.2">
      <c r="C478" s="3"/>
    </row>
    <row r="479" spans="3:3" x14ac:dyDescent="0.2">
      <c r="C479" s="3"/>
    </row>
    <row r="480" spans="3:3" x14ac:dyDescent="0.2">
      <c r="C480" s="3"/>
    </row>
    <row r="481" spans="3:3" x14ac:dyDescent="0.2">
      <c r="C481" s="3"/>
    </row>
    <row r="482" spans="3:3" x14ac:dyDescent="0.2">
      <c r="C482" s="3"/>
    </row>
    <row r="483" spans="3:3" x14ac:dyDescent="0.2">
      <c r="C483" s="3"/>
    </row>
    <row r="484" spans="3:3" x14ac:dyDescent="0.2">
      <c r="C484" s="3"/>
    </row>
    <row r="485" spans="3:3" x14ac:dyDescent="0.2">
      <c r="C485" s="3"/>
    </row>
    <row r="486" spans="3:3" x14ac:dyDescent="0.2">
      <c r="C486" s="3"/>
    </row>
    <row r="487" spans="3:3" x14ac:dyDescent="0.2">
      <c r="C487" s="3"/>
    </row>
    <row r="488" spans="3:3" x14ac:dyDescent="0.2">
      <c r="C488" s="3"/>
    </row>
    <row r="489" spans="3:3" x14ac:dyDescent="0.2">
      <c r="C489" s="3"/>
    </row>
    <row r="490" spans="3:3" x14ac:dyDescent="0.2">
      <c r="C490" s="3"/>
    </row>
    <row r="491" spans="3:3" x14ac:dyDescent="0.2">
      <c r="C491" s="3"/>
    </row>
    <row r="492" spans="3:3" x14ac:dyDescent="0.2">
      <c r="C492" s="3"/>
    </row>
    <row r="493" spans="3:3" x14ac:dyDescent="0.2">
      <c r="C493" s="3"/>
    </row>
    <row r="494" spans="3:3" x14ac:dyDescent="0.2">
      <c r="C494" s="3"/>
    </row>
    <row r="495" spans="3:3" x14ac:dyDescent="0.2">
      <c r="C495" s="3"/>
    </row>
    <row r="496" spans="3:3" x14ac:dyDescent="0.2">
      <c r="C496" s="3"/>
    </row>
    <row r="497" spans="3:3" x14ac:dyDescent="0.2">
      <c r="C497" s="3"/>
    </row>
    <row r="498" spans="3:3" x14ac:dyDescent="0.2">
      <c r="C498" s="3"/>
    </row>
    <row r="499" spans="3:3" x14ac:dyDescent="0.2">
      <c r="C499" s="3"/>
    </row>
    <row r="500" spans="3:3" x14ac:dyDescent="0.2">
      <c r="C500" s="3"/>
    </row>
    <row r="501" spans="3:3" x14ac:dyDescent="0.2">
      <c r="C501" s="3"/>
    </row>
    <row r="502" spans="3:3" x14ac:dyDescent="0.2">
      <c r="C502" s="3"/>
    </row>
    <row r="503" spans="3:3" x14ac:dyDescent="0.2">
      <c r="C503" s="3"/>
    </row>
    <row r="504" spans="3:3" x14ac:dyDescent="0.2">
      <c r="C504" s="3"/>
    </row>
    <row r="505" spans="3:3" x14ac:dyDescent="0.2">
      <c r="C505" s="3"/>
    </row>
    <row r="506" spans="3:3" x14ac:dyDescent="0.2">
      <c r="C506" s="3"/>
    </row>
    <row r="507" spans="3:3" x14ac:dyDescent="0.2">
      <c r="C507" s="3"/>
    </row>
    <row r="508" spans="3:3" x14ac:dyDescent="0.2">
      <c r="C508" s="3"/>
    </row>
    <row r="509" spans="3:3" x14ac:dyDescent="0.2">
      <c r="C509" s="3"/>
    </row>
    <row r="510" spans="3:3" x14ac:dyDescent="0.2">
      <c r="C510" s="3"/>
    </row>
    <row r="511" spans="3:3" x14ac:dyDescent="0.2">
      <c r="C511" s="3"/>
    </row>
    <row r="512" spans="3:3" x14ac:dyDescent="0.2">
      <c r="C512" s="3"/>
    </row>
    <row r="513" spans="3:3" x14ac:dyDescent="0.2">
      <c r="C513" s="3"/>
    </row>
    <row r="514" spans="3:3" x14ac:dyDescent="0.2">
      <c r="C514" s="3"/>
    </row>
    <row r="515" spans="3:3" x14ac:dyDescent="0.2">
      <c r="C515" s="3"/>
    </row>
    <row r="516" spans="3:3" x14ac:dyDescent="0.2">
      <c r="C516" s="3"/>
    </row>
    <row r="517" spans="3:3" x14ac:dyDescent="0.2">
      <c r="C517" s="3"/>
    </row>
    <row r="518" spans="3:3" x14ac:dyDescent="0.2">
      <c r="C518" s="3"/>
    </row>
    <row r="519" spans="3:3" x14ac:dyDescent="0.2">
      <c r="C519" s="3"/>
    </row>
    <row r="520" spans="3:3" x14ac:dyDescent="0.2">
      <c r="C520" s="3"/>
    </row>
    <row r="521" spans="3:3" x14ac:dyDescent="0.2">
      <c r="C521" s="3"/>
    </row>
    <row r="522" spans="3:3" x14ac:dyDescent="0.2">
      <c r="C522" s="3"/>
    </row>
    <row r="523" spans="3:3" x14ac:dyDescent="0.2">
      <c r="C523" s="3"/>
    </row>
    <row r="524" spans="3:3" x14ac:dyDescent="0.2">
      <c r="C524" s="3"/>
    </row>
    <row r="525" spans="3:3" x14ac:dyDescent="0.2">
      <c r="C525" s="3"/>
    </row>
    <row r="526" spans="3:3" x14ac:dyDescent="0.2">
      <c r="C526" s="3"/>
    </row>
    <row r="527" spans="3:3" x14ac:dyDescent="0.2">
      <c r="C527" s="3"/>
    </row>
    <row r="528" spans="3:3" x14ac:dyDescent="0.2">
      <c r="C528" s="3"/>
    </row>
    <row r="529" spans="3:3" x14ac:dyDescent="0.2">
      <c r="C529" s="3"/>
    </row>
    <row r="530" spans="3:3" x14ac:dyDescent="0.2">
      <c r="C530" s="3"/>
    </row>
    <row r="531" spans="3:3" x14ac:dyDescent="0.2">
      <c r="C531" s="3"/>
    </row>
    <row r="532" spans="3:3" x14ac:dyDescent="0.2">
      <c r="C532" s="3"/>
    </row>
    <row r="533" spans="3:3" x14ac:dyDescent="0.2">
      <c r="C533" s="3"/>
    </row>
    <row r="534" spans="3:3" x14ac:dyDescent="0.2">
      <c r="C534" s="3"/>
    </row>
    <row r="535" spans="3:3" x14ac:dyDescent="0.2">
      <c r="C535" s="3"/>
    </row>
    <row r="536" spans="3:3" x14ac:dyDescent="0.2">
      <c r="C536" s="3"/>
    </row>
    <row r="537" spans="3:3" x14ac:dyDescent="0.2">
      <c r="C537" s="3"/>
    </row>
    <row r="538" spans="3:3" x14ac:dyDescent="0.2">
      <c r="C538" s="3"/>
    </row>
    <row r="539" spans="3:3" x14ac:dyDescent="0.2">
      <c r="C539" s="3"/>
    </row>
    <row r="540" spans="3:3" x14ac:dyDescent="0.2">
      <c r="C540" s="3"/>
    </row>
    <row r="541" spans="3:3" x14ac:dyDescent="0.2">
      <c r="C541" s="3"/>
    </row>
    <row r="542" spans="3:3" x14ac:dyDescent="0.2">
      <c r="C542" s="3"/>
    </row>
    <row r="543" spans="3:3" x14ac:dyDescent="0.2">
      <c r="C543" s="3"/>
    </row>
    <row r="544" spans="3:3" x14ac:dyDescent="0.2">
      <c r="C544" s="3"/>
    </row>
    <row r="545" spans="3:3" x14ac:dyDescent="0.2">
      <c r="C545" s="3"/>
    </row>
    <row r="546" spans="3:3" x14ac:dyDescent="0.2">
      <c r="C546" s="3"/>
    </row>
    <row r="547" spans="3:3" x14ac:dyDescent="0.2">
      <c r="C547" s="3"/>
    </row>
    <row r="548" spans="3:3" x14ac:dyDescent="0.2">
      <c r="C548" s="3"/>
    </row>
    <row r="549" spans="3:3" x14ac:dyDescent="0.2">
      <c r="C549" s="3"/>
    </row>
    <row r="550" spans="3:3" x14ac:dyDescent="0.2">
      <c r="C550" s="3"/>
    </row>
    <row r="551" spans="3:3" x14ac:dyDescent="0.2">
      <c r="C551" s="3"/>
    </row>
    <row r="552" spans="3:3" x14ac:dyDescent="0.2">
      <c r="C552" s="3"/>
    </row>
    <row r="553" spans="3:3" x14ac:dyDescent="0.2">
      <c r="C553" s="3"/>
    </row>
    <row r="554" spans="3:3" x14ac:dyDescent="0.2">
      <c r="C554" s="3"/>
    </row>
    <row r="555" spans="3:3" x14ac:dyDescent="0.2">
      <c r="C555" s="3"/>
    </row>
    <row r="556" spans="3:3" x14ac:dyDescent="0.2">
      <c r="C556" s="3"/>
    </row>
    <row r="557" spans="3:3" x14ac:dyDescent="0.2">
      <c r="C557" s="3"/>
    </row>
    <row r="558" spans="3:3" x14ac:dyDescent="0.2">
      <c r="C558" s="3"/>
    </row>
    <row r="559" spans="3:3" x14ac:dyDescent="0.2">
      <c r="C559" s="3"/>
    </row>
    <row r="560" spans="3:3" x14ac:dyDescent="0.2">
      <c r="C560" s="3"/>
    </row>
    <row r="561" spans="3:3" x14ac:dyDescent="0.2">
      <c r="C561" s="3"/>
    </row>
    <row r="562" spans="3:3" x14ac:dyDescent="0.2">
      <c r="C562" s="3"/>
    </row>
    <row r="563" spans="3:3" x14ac:dyDescent="0.2">
      <c r="C563" s="3"/>
    </row>
    <row r="564" spans="3:3" x14ac:dyDescent="0.2">
      <c r="C564" s="3"/>
    </row>
    <row r="565" spans="3:3" x14ac:dyDescent="0.2">
      <c r="C565" s="3"/>
    </row>
    <row r="566" spans="3:3" x14ac:dyDescent="0.2">
      <c r="C566" s="3"/>
    </row>
    <row r="567" spans="3:3" x14ac:dyDescent="0.2">
      <c r="C567" s="3"/>
    </row>
    <row r="568" spans="3:3" x14ac:dyDescent="0.2">
      <c r="C568" s="3"/>
    </row>
    <row r="569" spans="3:3" x14ac:dyDescent="0.2">
      <c r="C569" s="3"/>
    </row>
    <row r="570" spans="3:3" x14ac:dyDescent="0.2">
      <c r="C570" s="3"/>
    </row>
    <row r="571" spans="3:3" x14ac:dyDescent="0.2">
      <c r="C571" s="3"/>
    </row>
    <row r="572" spans="3:3" x14ac:dyDescent="0.2">
      <c r="C572" s="3"/>
    </row>
    <row r="573" spans="3:3" x14ac:dyDescent="0.2">
      <c r="C573" s="3"/>
    </row>
    <row r="574" spans="3:3" x14ac:dyDescent="0.2">
      <c r="C574" s="3"/>
    </row>
    <row r="575" spans="3:3" x14ac:dyDescent="0.2">
      <c r="C575" s="3"/>
    </row>
    <row r="576" spans="3:3" x14ac:dyDescent="0.2">
      <c r="C576" s="3"/>
    </row>
    <row r="577" spans="3:3" x14ac:dyDescent="0.2">
      <c r="C577" s="3"/>
    </row>
    <row r="578" spans="3:3" x14ac:dyDescent="0.2">
      <c r="C578" s="3"/>
    </row>
    <row r="579" spans="3:3" x14ac:dyDescent="0.2">
      <c r="C579" s="3"/>
    </row>
    <row r="580" spans="3:3" x14ac:dyDescent="0.2">
      <c r="C580" s="3"/>
    </row>
    <row r="581" spans="3:3" x14ac:dyDescent="0.2">
      <c r="C581" s="3"/>
    </row>
    <row r="582" spans="3:3" x14ac:dyDescent="0.2">
      <c r="C582" s="3"/>
    </row>
    <row r="583" spans="3:3" x14ac:dyDescent="0.2">
      <c r="C583" s="3"/>
    </row>
    <row r="584" spans="3:3" x14ac:dyDescent="0.2">
      <c r="C584" s="3"/>
    </row>
    <row r="585" spans="3:3" x14ac:dyDescent="0.2">
      <c r="C585" s="3"/>
    </row>
    <row r="586" spans="3:3" x14ac:dyDescent="0.2">
      <c r="C586" s="3"/>
    </row>
    <row r="587" spans="3:3" x14ac:dyDescent="0.2">
      <c r="C587" s="3"/>
    </row>
    <row r="588" spans="3:3" x14ac:dyDescent="0.2">
      <c r="C588" s="3"/>
    </row>
    <row r="589" spans="3:3" x14ac:dyDescent="0.2">
      <c r="C589" s="3"/>
    </row>
    <row r="590" spans="3:3" x14ac:dyDescent="0.2">
      <c r="C590" s="3"/>
    </row>
    <row r="591" spans="3:3" x14ac:dyDescent="0.2">
      <c r="C591" s="3"/>
    </row>
    <row r="592" spans="3:3" x14ac:dyDescent="0.2">
      <c r="C592" s="3"/>
    </row>
    <row r="593" spans="3:3" x14ac:dyDescent="0.2">
      <c r="C593" s="3"/>
    </row>
    <row r="594" spans="3:3" x14ac:dyDescent="0.2">
      <c r="C594" s="3"/>
    </row>
    <row r="595" spans="3:3" x14ac:dyDescent="0.2">
      <c r="C595" s="3"/>
    </row>
    <row r="596" spans="3:3" x14ac:dyDescent="0.2">
      <c r="C596" s="3"/>
    </row>
    <row r="597" spans="3:3" x14ac:dyDescent="0.2">
      <c r="C597" s="3"/>
    </row>
    <row r="598" spans="3:3" x14ac:dyDescent="0.2">
      <c r="C598" s="3"/>
    </row>
    <row r="599" spans="3:3" x14ac:dyDescent="0.2">
      <c r="C599" s="3"/>
    </row>
    <row r="600" spans="3:3" x14ac:dyDescent="0.2">
      <c r="C600" s="3"/>
    </row>
    <row r="601" spans="3:3" x14ac:dyDescent="0.2">
      <c r="C601" s="3"/>
    </row>
    <row r="602" spans="3:3" x14ac:dyDescent="0.2">
      <c r="C602" s="3"/>
    </row>
    <row r="603" spans="3:3" x14ac:dyDescent="0.2">
      <c r="C603" s="3"/>
    </row>
    <row r="604" spans="3:3" x14ac:dyDescent="0.2">
      <c r="C604" s="3"/>
    </row>
    <row r="605" spans="3:3" x14ac:dyDescent="0.2">
      <c r="C605" s="3"/>
    </row>
    <row r="606" spans="3:3" x14ac:dyDescent="0.2">
      <c r="C606" s="3"/>
    </row>
    <row r="607" spans="3:3" x14ac:dyDescent="0.2">
      <c r="C607" s="3"/>
    </row>
    <row r="608" spans="3:3" x14ac:dyDescent="0.2">
      <c r="C608" s="3"/>
    </row>
    <row r="609" spans="3:3" x14ac:dyDescent="0.2">
      <c r="C609" s="3"/>
    </row>
    <row r="610" spans="3:3" x14ac:dyDescent="0.2">
      <c r="C610" s="3"/>
    </row>
    <row r="611" spans="3:3" x14ac:dyDescent="0.2">
      <c r="C611" s="3"/>
    </row>
    <row r="612" spans="3:3" x14ac:dyDescent="0.2">
      <c r="C612" s="3"/>
    </row>
    <row r="613" spans="3:3" x14ac:dyDescent="0.2">
      <c r="C613" s="3"/>
    </row>
    <row r="614" spans="3:3" x14ac:dyDescent="0.2">
      <c r="C614" s="3"/>
    </row>
    <row r="615" spans="3:3" x14ac:dyDescent="0.2">
      <c r="C615" s="3"/>
    </row>
    <row r="616" spans="3:3" x14ac:dyDescent="0.2">
      <c r="C616" s="3"/>
    </row>
    <row r="617" spans="3:3" x14ac:dyDescent="0.2">
      <c r="C617" s="3"/>
    </row>
    <row r="618" spans="3:3" x14ac:dyDescent="0.2">
      <c r="C618" s="3"/>
    </row>
    <row r="619" spans="3:3" x14ac:dyDescent="0.2">
      <c r="C619" s="3"/>
    </row>
    <row r="620" spans="3:3" x14ac:dyDescent="0.2">
      <c r="C620" s="3"/>
    </row>
    <row r="621" spans="3:3" x14ac:dyDescent="0.2">
      <c r="C621" s="3"/>
    </row>
    <row r="622" spans="3:3" x14ac:dyDescent="0.2">
      <c r="C622" s="3"/>
    </row>
    <row r="623" spans="3:3" x14ac:dyDescent="0.2">
      <c r="C623" s="3"/>
    </row>
    <row r="624" spans="3:3" x14ac:dyDescent="0.2">
      <c r="C624" s="3"/>
    </row>
    <row r="625" spans="3:3" x14ac:dyDescent="0.2">
      <c r="C625" s="3"/>
    </row>
    <row r="626" spans="3:3" x14ac:dyDescent="0.2">
      <c r="C626" s="3"/>
    </row>
    <row r="627" spans="3:3" x14ac:dyDescent="0.2">
      <c r="C627" s="3"/>
    </row>
    <row r="628" spans="3:3" x14ac:dyDescent="0.2">
      <c r="C628" s="3"/>
    </row>
    <row r="629" spans="3:3" x14ac:dyDescent="0.2">
      <c r="C629" s="3"/>
    </row>
    <row r="630" spans="3:3" x14ac:dyDescent="0.2">
      <c r="C630" s="3"/>
    </row>
    <row r="631" spans="3:3" x14ac:dyDescent="0.2">
      <c r="C631" s="3"/>
    </row>
    <row r="632" spans="3:3" x14ac:dyDescent="0.2">
      <c r="C632" s="3"/>
    </row>
    <row r="633" spans="3:3" x14ac:dyDescent="0.2">
      <c r="C633" s="3"/>
    </row>
    <row r="634" spans="3:3" x14ac:dyDescent="0.2">
      <c r="C634" s="3"/>
    </row>
    <row r="635" spans="3:3" x14ac:dyDescent="0.2">
      <c r="C635" s="3"/>
    </row>
    <row r="636" spans="3:3" x14ac:dyDescent="0.2">
      <c r="C636" s="3"/>
    </row>
    <row r="637" spans="3:3" x14ac:dyDescent="0.2">
      <c r="C637" s="3"/>
    </row>
    <row r="638" spans="3:3" x14ac:dyDescent="0.2">
      <c r="C638" s="3"/>
    </row>
    <row r="639" spans="3:3" x14ac:dyDescent="0.2">
      <c r="C639" s="3"/>
    </row>
    <row r="640" spans="3:3" x14ac:dyDescent="0.2">
      <c r="C640" s="3"/>
    </row>
    <row r="641" spans="3:3" x14ac:dyDescent="0.2">
      <c r="C641" s="3"/>
    </row>
    <row r="642" spans="3:3" x14ac:dyDescent="0.2">
      <c r="C642" s="3"/>
    </row>
    <row r="643" spans="3:3" x14ac:dyDescent="0.2">
      <c r="C643" s="3"/>
    </row>
    <row r="644" spans="3:3" x14ac:dyDescent="0.2">
      <c r="C644" s="3"/>
    </row>
    <row r="645" spans="3:3" x14ac:dyDescent="0.2">
      <c r="C645" s="3"/>
    </row>
    <row r="646" spans="3:3" x14ac:dyDescent="0.2">
      <c r="C646" s="3"/>
    </row>
    <row r="647" spans="3:3" x14ac:dyDescent="0.2">
      <c r="C647" s="3"/>
    </row>
    <row r="648" spans="3:3" x14ac:dyDescent="0.2">
      <c r="C648" s="3"/>
    </row>
    <row r="649" spans="3:3" x14ac:dyDescent="0.2">
      <c r="C649" s="3"/>
    </row>
    <row r="650" spans="3:3" x14ac:dyDescent="0.2">
      <c r="C650" s="3"/>
    </row>
    <row r="651" spans="3:3" x14ac:dyDescent="0.2">
      <c r="C651" s="3"/>
    </row>
    <row r="652" spans="3:3" x14ac:dyDescent="0.2">
      <c r="C652" s="3"/>
    </row>
    <row r="653" spans="3:3" x14ac:dyDescent="0.2">
      <c r="C653" s="3"/>
    </row>
    <row r="654" spans="3:3" x14ac:dyDescent="0.2">
      <c r="C654" s="3"/>
    </row>
    <row r="655" spans="3:3" x14ac:dyDescent="0.2">
      <c r="C655" s="3"/>
    </row>
    <row r="656" spans="3:3" x14ac:dyDescent="0.2">
      <c r="C656" s="3"/>
    </row>
    <row r="657" spans="3:3" x14ac:dyDescent="0.2">
      <c r="C657" s="3"/>
    </row>
    <row r="658" spans="3:3" x14ac:dyDescent="0.2">
      <c r="C658" s="3"/>
    </row>
    <row r="659" spans="3:3" x14ac:dyDescent="0.2">
      <c r="C659" s="3"/>
    </row>
    <row r="660" spans="3:3" x14ac:dyDescent="0.2">
      <c r="C660" s="3"/>
    </row>
    <row r="661" spans="3:3" x14ac:dyDescent="0.2">
      <c r="C661" s="3"/>
    </row>
    <row r="662" spans="3:3" x14ac:dyDescent="0.2">
      <c r="C662" s="3"/>
    </row>
    <row r="663" spans="3:3" x14ac:dyDescent="0.2">
      <c r="C663" s="3"/>
    </row>
    <row r="664" spans="3:3" x14ac:dyDescent="0.2">
      <c r="C664" s="3"/>
    </row>
    <row r="665" spans="3:3" x14ac:dyDescent="0.2">
      <c r="C665" s="3"/>
    </row>
    <row r="666" spans="3:3" x14ac:dyDescent="0.2">
      <c r="C666" s="3"/>
    </row>
    <row r="667" spans="3:3" x14ac:dyDescent="0.2">
      <c r="C667" s="3"/>
    </row>
    <row r="668" spans="3:3" x14ac:dyDescent="0.2">
      <c r="C668" s="3"/>
    </row>
    <row r="669" spans="3:3" x14ac:dyDescent="0.2">
      <c r="C669" s="3"/>
    </row>
    <row r="670" spans="3:3" x14ac:dyDescent="0.2">
      <c r="C670" s="3"/>
    </row>
    <row r="671" spans="3:3" x14ac:dyDescent="0.2">
      <c r="C671" s="3"/>
    </row>
    <row r="672" spans="3:3" x14ac:dyDescent="0.2">
      <c r="C672" s="3"/>
    </row>
    <row r="673" spans="3:3" x14ac:dyDescent="0.2">
      <c r="C673" s="3"/>
    </row>
    <row r="674" spans="3:3" x14ac:dyDescent="0.2">
      <c r="C674" s="3"/>
    </row>
    <row r="675" spans="3:3" x14ac:dyDescent="0.2">
      <c r="C675" s="3"/>
    </row>
    <row r="676" spans="3:3" x14ac:dyDescent="0.2">
      <c r="C676" s="3"/>
    </row>
    <row r="677" spans="3:3" x14ac:dyDescent="0.2">
      <c r="C677" s="3"/>
    </row>
    <row r="678" spans="3:3" x14ac:dyDescent="0.2">
      <c r="C678" s="3"/>
    </row>
    <row r="679" spans="3:3" x14ac:dyDescent="0.2">
      <c r="C679" s="3"/>
    </row>
    <row r="680" spans="3:3" x14ac:dyDescent="0.2">
      <c r="C680" s="3"/>
    </row>
    <row r="681" spans="3:3" x14ac:dyDescent="0.2">
      <c r="C681" s="3"/>
    </row>
    <row r="682" spans="3:3" x14ac:dyDescent="0.2">
      <c r="C682" s="3"/>
    </row>
    <row r="683" spans="3:3" x14ac:dyDescent="0.2">
      <c r="C683" s="3"/>
    </row>
    <row r="684" spans="3:3" x14ac:dyDescent="0.2">
      <c r="C684" s="3"/>
    </row>
    <row r="685" spans="3:3" x14ac:dyDescent="0.2">
      <c r="C685" s="3"/>
    </row>
    <row r="686" spans="3:3" x14ac:dyDescent="0.2">
      <c r="C686" s="3"/>
    </row>
    <row r="687" spans="3:3" x14ac:dyDescent="0.2">
      <c r="C687" s="3"/>
    </row>
    <row r="688" spans="3:3" x14ac:dyDescent="0.2">
      <c r="C688" s="3"/>
    </row>
    <row r="689" spans="3:3" x14ac:dyDescent="0.2">
      <c r="C689" s="3"/>
    </row>
    <row r="690" spans="3:3" x14ac:dyDescent="0.2">
      <c r="C690" s="3"/>
    </row>
    <row r="691" spans="3:3" x14ac:dyDescent="0.2">
      <c r="C691" s="3"/>
    </row>
    <row r="692" spans="3:3" x14ac:dyDescent="0.2">
      <c r="C692" s="3"/>
    </row>
    <row r="693" spans="3:3" x14ac:dyDescent="0.2">
      <c r="C693" s="3"/>
    </row>
    <row r="694" spans="3:3" x14ac:dyDescent="0.2">
      <c r="C694" s="3"/>
    </row>
    <row r="695" spans="3:3" x14ac:dyDescent="0.2">
      <c r="C695" s="3"/>
    </row>
    <row r="696" spans="3:3" x14ac:dyDescent="0.2">
      <c r="C696" s="3"/>
    </row>
    <row r="697" spans="3:3" x14ac:dyDescent="0.2">
      <c r="C697" s="3"/>
    </row>
    <row r="698" spans="3:3" x14ac:dyDescent="0.2">
      <c r="C698" s="3"/>
    </row>
    <row r="699" spans="3:3" x14ac:dyDescent="0.2">
      <c r="C699" s="3"/>
    </row>
    <row r="700" spans="3:3" x14ac:dyDescent="0.2">
      <c r="C700" s="3"/>
    </row>
    <row r="701" spans="3:3" x14ac:dyDescent="0.2">
      <c r="C701" s="3"/>
    </row>
    <row r="702" spans="3:3" x14ac:dyDescent="0.2">
      <c r="C702" s="3"/>
    </row>
    <row r="703" spans="3:3" x14ac:dyDescent="0.2">
      <c r="C703" s="3"/>
    </row>
    <row r="704" spans="3:3" x14ac:dyDescent="0.2">
      <c r="C704" s="3"/>
    </row>
    <row r="705" spans="3:3" x14ac:dyDescent="0.2">
      <c r="C705" s="3"/>
    </row>
    <row r="706" spans="3:3" x14ac:dyDescent="0.2">
      <c r="C706" s="3"/>
    </row>
    <row r="707" spans="3:3" x14ac:dyDescent="0.2">
      <c r="C707" s="3"/>
    </row>
    <row r="708" spans="3:3" x14ac:dyDescent="0.2">
      <c r="C708" s="3"/>
    </row>
    <row r="709" spans="3:3" x14ac:dyDescent="0.2">
      <c r="C709" s="3"/>
    </row>
  </sheetData>
  <mergeCells count="28">
    <mergeCell ref="C100:D100"/>
    <mergeCell ref="E125:G125"/>
    <mergeCell ref="E124:G124"/>
    <mergeCell ref="E126:G126"/>
    <mergeCell ref="D1:F1"/>
    <mergeCell ref="C122:G122"/>
    <mergeCell ref="E127:G127"/>
    <mergeCell ref="C120:G120"/>
    <mergeCell ref="E133:G133"/>
    <mergeCell ref="E134:G134"/>
    <mergeCell ref="E128:G128"/>
    <mergeCell ref="E129:G129"/>
    <mergeCell ref="E130:G130"/>
    <mergeCell ref="E131:G131"/>
    <mergeCell ref="E132:G132"/>
    <mergeCell ref="A9:A10"/>
    <mergeCell ref="A28:A29"/>
    <mergeCell ref="A31:A32"/>
    <mergeCell ref="A41:A42"/>
    <mergeCell ref="A39:A40"/>
    <mergeCell ref="A37:A38"/>
    <mergeCell ref="A13:A14"/>
    <mergeCell ref="A19:A20"/>
    <mergeCell ref="A52:A53"/>
    <mergeCell ref="A63:A64"/>
    <mergeCell ref="A81:A82"/>
    <mergeCell ref="A72:A73"/>
    <mergeCell ref="A88:A89"/>
  </mergeCells>
  <phoneticPr fontId="0" type="noConversion"/>
  <pageMargins left="0.75" right="0.75" top="1" bottom="1" header="0.5" footer="0.5"/>
  <pageSetup scale="61" fitToHeight="0" orientation="portrait" r:id="rId1"/>
  <headerFooter alignWithMargins="0">
    <oddHeader>&amp;L&amp;F&amp;R&amp;A</oddHeader>
    <oddFooter>&amp;LPage &amp;P of &amp;N&amp;RPrinted &amp;D</oddFooter>
  </headerFooter>
  <rowBreaks count="1" manualBreakCount="1">
    <brk id="82" min="2" max="6" man="1"/>
  </rowBreak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C1:O49"/>
  <sheetViews>
    <sheetView workbookViewId="0">
      <selection activeCell="C41" sqref="C41:H41"/>
    </sheetView>
  </sheetViews>
  <sheetFormatPr defaultColWidth="9.140625" defaultRowHeight="12.75" x14ac:dyDescent="0.2"/>
  <cols>
    <col min="1" max="1" width="3.5703125" style="282" customWidth="1"/>
    <col min="2" max="2" width="1" style="282" customWidth="1"/>
    <col min="3" max="3" width="51.5703125" style="282" customWidth="1"/>
    <col min="4" max="4" width="13.42578125" style="282" customWidth="1"/>
    <col min="5" max="5" width="15.140625" style="282" customWidth="1"/>
    <col min="6" max="6" width="15.5703125" style="282" customWidth="1"/>
    <col min="7" max="7" width="10" style="282" customWidth="1"/>
    <col min="8" max="8" width="11.28515625" style="282" customWidth="1"/>
    <col min="9" max="9" width="1.42578125" style="282" customWidth="1"/>
    <col min="10" max="10" width="16" style="282" customWidth="1"/>
    <col min="11" max="11" width="11.7109375" style="282" customWidth="1"/>
    <col min="12" max="12" width="11.28515625" style="282" customWidth="1"/>
    <col min="13" max="13" width="15.5703125" style="282" customWidth="1"/>
    <col min="14" max="14" width="12.140625" style="282" customWidth="1"/>
    <col min="15" max="15" width="12.5703125" style="282" customWidth="1"/>
    <col min="16" max="16384" width="9.140625" style="282"/>
  </cols>
  <sheetData>
    <row r="1" spans="3:15" s="581" customFormat="1" ht="22.5" customHeight="1" x14ac:dyDescent="0.2">
      <c r="C1" s="582" t="s">
        <v>608</v>
      </c>
      <c r="D1" s="714" t="s">
        <v>59</v>
      </c>
      <c r="E1" s="714"/>
      <c r="F1" s="714"/>
      <c r="G1" s="714"/>
      <c r="H1" s="714"/>
      <c r="I1" s="583"/>
      <c r="J1" s="583"/>
      <c r="K1" s="583"/>
    </row>
    <row r="2" spans="3:15" s="350" customFormat="1" ht="17.25" customHeight="1" x14ac:dyDescent="0.25">
      <c r="C2" s="454" t="str">
        <f>Requirements!C4</f>
        <v>Project Name - Sample Project : 20 Units</v>
      </c>
      <c r="D2" s="592"/>
      <c r="E2" s="591"/>
      <c r="F2" s="585"/>
      <c r="G2" s="584"/>
      <c r="J2" s="592">
        <f>+Requirements!$G$39</f>
        <v>15</v>
      </c>
      <c r="K2" s="591" t="s">
        <v>626</v>
      </c>
    </row>
    <row r="3" spans="3:15" x14ac:dyDescent="0.2">
      <c r="D3" s="586"/>
      <c r="E3" s="586"/>
      <c r="F3" s="586"/>
    </row>
    <row r="4" spans="3:15" ht="106.5" customHeight="1" x14ac:dyDescent="0.2">
      <c r="C4" s="719" t="s">
        <v>748</v>
      </c>
      <c r="D4" s="719"/>
      <c r="E4" s="719"/>
      <c r="F4" s="719"/>
      <c r="G4" s="719"/>
      <c r="H4" s="719"/>
    </row>
    <row r="5" spans="3:15" x14ac:dyDescent="0.2">
      <c r="D5" s="586"/>
      <c r="E5" s="586"/>
      <c r="F5" s="586"/>
    </row>
    <row r="6" spans="3:15" ht="42" customHeight="1" x14ac:dyDescent="0.2">
      <c r="C6" s="719" t="s">
        <v>673</v>
      </c>
      <c r="D6" s="719"/>
      <c r="E6" s="719"/>
      <c r="F6" s="719"/>
      <c r="G6" s="719"/>
      <c r="H6" s="719"/>
    </row>
    <row r="8" spans="3:15" x14ac:dyDescent="0.2">
      <c r="D8" s="586"/>
      <c r="E8" s="573" t="s">
        <v>424</v>
      </c>
      <c r="F8" s="573" t="s">
        <v>424</v>
      </c>
      <c r="G8" s="573" t="s">
        <v>424</v>
      </c>
      <c r="H8" s="573" t="s">
        <v>424</v>
      </c>
      <c r="M8" s="573" t="s">
        <v>424</v>
      </c>
      <c r="N8" s="573" t="s">
        <v>424</v>
      </c>
      <c r="O8" s="573" t="s">
        <v>424</v>
      </c>
    </row>
    <row r="9" spans="3:15" ht="25.5" x14ac:dyDescent="0.2">
      <c r="C9" s="640" t="s">
        <v>741</v>
      </c>
      <c r="D9" s="53" t="s">
        <v>610</v>
      </c>
      <c r="E9" s="53" t="s">
        <v>609</v>
      </c>
      <c r="F9" s="53" t="s">
        <v>615</v>
      </c>
      <c r="G9" s="53" t="s">
        <v>612</v>
      </c>
      <c r="H9" s="53" t="s">
        <v>611</v>
      </c>
      <c r="J9" s="53" t="s">
        <v>616</v>
      </c>
      <c r="K9" s="53" t="s">
        <v>625</v>
      </c>
      <c r="L9" s="53" t="s">
        <v>624</v>
      </c>
      <c r="M9" s="53" t="s">
        <v>627</v>
      </c>
      <c r="N9" s="53" t="s">
        <v>628</v>
      </c>
      <c r="O9" s="53" t="s">
        <v>632</v>
      </c>
    </row>
    <row r="11" spans="3:15" x14ac:dyDescent="0.2">
      <c r="C11" s="282" t="s">
        <v>613</v>
      </c>
      <c r="D11" s="590">
        <v>1</v>
      </c>
      <c r="E11" s="589" t="s">
        <v>614</v>
      </c>
      <c r="F11" s="587">
        <v>5000</v>
      </c>
      <c r="G11" s="588">
        <v>30</v>
      </c>
      <c r="H11" s="588">
        <v>30</v>
      </c>
      <c r="J11" s="422">
        <f t="shared" ref="J11:J38" si="0">+F11*D11</f>
        <v>5000</v>
      </c>
      <c r="K11" s="422">
        <f>IF(G11=0,0,$J11/G11)</f>
        <v>166.66666666666666</v>
      </c>
      <c r="L11" s="422">
        <f>IF(H11=0,0,$J11/H11)</f>
        <v>166.66666666666666</v>
      </c>
      <c r="M11" s="593" t="str">
        <f t="shared" ref="M11:M38" si="1">IF(G11&lt;$J$2,"Yes","No")</f>
        <v>No</v>
      </c>
      <c r="N11" s="422">
        <f t="shared" ref="N11:N38" si="2">IF(M11="Yes",K11,0)</f>
        <v>0</v>
      </c>
      <c r="O11" s="422">
        <f t="shared" ref="O11:O38" si="3">MAX(K11,L11)</f>
        <v>166.66666666666666</v>
      </c>
    </row>
    <row r="12" spans="3:15" x14ac:dyDescent="0.2">
      <c r="C12" s="282" t="s">
        <v>618</v>
      </c>
      <c r="D12" s="590">
        <v>2000</v>
      </c>
      <c r="E12" s="589" t="s">
        <v>617</v>
      </c>
      <c r="F12" s="587">
        <v>1.5</v>
      </c>
      <c r="G12" s="588">
        <v>20</v>
      </c>
      <c r="H12" s="588">
        <v>20</v>
      </c>
      <c r="J12" s="422">
        <f t="shared" si="0"/>
        <v>3000</v>
      </c>
      <c r="K12" s="422">
        <f t="shared" ref="K12:K21" si="4">IF(G12=0,0,$J12/G12)</f>
        <v>150</v>
      </c>
      <c r="L12" s="422">
        <f t="shared" ref="L12:L21" si="5">IF(H12=0,0,$J12/H12)</f>
        <v>150</v>
      </c>
      <c r="M12" s="593" t="str">
        <f t="shared" si="1"/>
        <v>No</v>
      </c>
      <c r="N12" s="422">
        <f t="shared" si="2"/>
        <v>0</v>
      </c>
      <c r="O12" s="422">
        <f t="shared" si="3"/>
        <v>150</v>
      </c>
    </row>
    <row r="13" spans="3:15" x14ac:dyDescent="0.2">
      <c r="C13" s="282" t="s">
        <v>619</v>
      </c>
      <c r="D13" s="590">
        <v>2000</v>
      </c>
      <c r="E13" s="589" t="s">
        <v>617</v>
      </c>
      <c r="F13" s="587">
        <v>0.5</v>
      </c>
      <c r="G13" s="588">
        <v>7</v>
      </c>
      <c r="H13" s="588">
        <v>7</v>
      </c>
      <c r="J13" s="422">
        <f t="shared" si="0"/>
        <v>1000</v>
      </c>
      <c r="K13" s="422">
        <f t="shared" si="4"/>
        <v>142.85714285714286</v>
      </c>
      <c r="L13" s="422">
        <f t="shared" si="5"/>
        <v>142.85714285714286</v>
      </c>
      <c r="M13" s="593" t="str">
        <f t="shared" si="1"/>
        <v>Yes</v>
      </c>
      <c r="N13" s="422">
        <f t="shared" si="2"/>
        <v>142.85714285714286</v>
      </c>
      <c r="O13" s="422">
        <f t="shared" si="3"/>
        <v>142.85714285714286</v>
      </c>
    </row>
    <row r="14" spans="3:15" x14ac:dyDescent="0.2">
      <c r="C14" s="260" t="s">
        <v>620</v>
      </c>
      <c r="D14" s="590"/>
      <c r="E14" s="589"/>
      <c r="F14" s="587"/>
      <c r="G14" s="588"/>
      <c r="H14" s="588"/>
      <c r="J14" s="422">
        <f t="shared" si="0"/>
        <v>0</v>
      </c>
      <c r="K14" s="422">
        <f t="shared" si="4"/>
        <v>0</v>
      </c>
      <c r="L14" s="422">
        <f t="shared" si="5"/>
        <v>0</v>
      </c>
      <c r="M14" s="593" t="str">
        <f t="shared" si="1"/>
        <v>Yes</v>
      </c>
      <c r="N14" s="422">
        <f t="shared" si="2"/>
        <v>0</v>
      </c>
      <c r="O14" s="422">
        <f t="shared" si="3"/>
        <v>0</v>
      </c>
    </row>
    <row r="15" spans="3:15" x14ac:dyDescent="0.2">
      <c r="C15" s="260" t="s">
        <v>621</v>
      </c>
      <c r="D15" s="590"/>
      <c r="E15" s="589"/>
      <c r="F15" s="587"/>
      <c r="G15" s="588"/>
      <c r="H15" s="588"/>
      <c r="J15" s="422">
        <f t="shared" si="0"/>
        <v>0</v>
      </c>
      <c r="K15" s="422">
        <f t="shared" si="4"/>
        <v>0</v>
      </c>
      <c r="L15" s="422">
        <f t="shared" si="5"/>
        <v>0</v>
      </c>
      <c r="M15" s="593" t="str">
        <f t="shared" si="1"/>
        <v>Yes</v>
      </c>
      <c r="N15" s="422">
        <f t="shared" si="2"/>
        <v>0</v>
      </c>
      <c r="O15" s="422">
        <f t="shared" si="3"/>
        <v>0</v>
      </c>
    </row>
    <row r="16" spans="3:15" x14ac:dyDescent="0.2">
      <c r="C16" s="260" t="s">
        <v>622</v>
      </c>
      <c r="D16" s="590"/>
      <c r="E16" s="589"/>
      <c r="F16" s="587"/>
      <c r="G16" s="588"/>
      <c r="H16" s="588"/>
      <c r="J16" s="422">
        <f t="shared" si="0"/>
        <v>0</v>
      </c>
      <c r="K16" s="422">
        <f t="shared" si="4"/>
        <v>0</v>
      </c>
      <c r="L16" s="422">
        <f t="shared" si="5"/>
        <v>0</v>
      </c>
      <c r="M16" s="593" t="str">
        <f t="shared" si="1"/>
        <v>Yes</v>
      </c>
      <c r="N16" s="422">
        <f t="shared" si="2"/>
        <v>0</v>
      </c>
      <c r="O16" s="422">
        <f t="shared" si="3"/>
        <v>0</v>
      </c>
    </row>
    <row r="17" spans="3:15" x14ac:dyDescent="0.2">
      <c r="C17" s="282" t="s">
        <v>623</v>
      </c>
      <c r="D17" s="590">
        <v>100</v>
      </c>
      <c r="E17" s="589" t="s">
        <v>614</v>
      </c>
      <c r="F17" s="587">
        <v>400</v>
      </c>
      <c r="G17" s="588">
        <v>20</v>
      </c>
      <c r="H17" s="588">
        <v>30</v>
      </c>
      <c r="J17" s="422">
        <f t="shared" si="0"/>
        <v>40000</v>
      </c>
      <c r="K17" s="422">
        <f t="shared" si="4"/>
        <v>2000</v>
      </c>
      <c r="L17" s="422">
        <f t="shared" si="5"/>
        <v>1333.3333333333333</v>
      </c>
      <c r="M17" s="593" t="str">
        <f t="shared" si="1"/>
        <v>No</v>
      </c>
      <c r="N17" s="422">
        <f t="shared" si="2"/>
        <v>0</v>
      </c>
      <c r="O17" s="422">
        <f t="shared" si="3"/>
        <v>2000</v>
      </c>
    </row>
    <row r="18" spans="3:15" x14ac:dyDescent="0.2">
      <c r="C18" s="260" t="s">
        <v>629</v>
      </c>
      <c r="D18" s="590">
        <v>8000</v>
      </c>
      <c r="E18" s="589" t="s">
        <v>631</v>
      </c>
      <c r="F18" s="587">
        <v>9</v>
      </c>
      <c r="G18" s="588">
        <v>30</v>
      </c>
      <c r="H18" s="588">
        <v>30</v>
      </c>
      <c r="J18" s="422">
        <f t="shared" si="0"/>
        <v>72000</v>
      </c>
      <c r="K18" s="422">
        <f t="shared" si="4"/>
        <v>2400</v>
      </c>
      <c r="L18" s="422">
        <f t="shared" si="5"/>
        <v>2400</v>
      </c>
      <c r="M18" s="593" t="str">
        <f t="shared" si="1"/>
        <v>No</v>
      </c>
      <c r="N18" s="422">
        <f t="shared" si="2"/>
        <v>0</v>
      </c>
      <c r="O18" s="422">
        <f t="shared" si="3"/>
        <v>2400</v>
      </c>
    </row>
    <row r="19" spans="3:15" x14ac:dyDescent="0.2">
      <c r="C19" s="260" t="s">
        <v>630</v>
      </c>
      <c r="D19" s="590"/>
      <c r="E19" s="589" t="s">
        <v>631</v>
      </c>
      <c r="F19" s="587"/>
      <c r="G19" s="588"/>
      <c r="H19" s="588"/>
      <c r="J19" s="422">
        <f t="shared" si="0"/>
        <v>0</v>
      </c>
      <c r="K19" s="422">
        <f t="shared" si="4"/>
        <v>0</v>
      </c>
      <c r="L19" s="422">
        <f t="shared" si="5"/>
        <v>0</v>
      </c>
      <c r="M19" s="593" t="str">
        <f t="shared" si="1"/>
        <v>Yes</v>
      </c>
      <c r="N19" s="422">
        <f t="shared" si="2"/>
        <v>0</v>
      </c>
      <c r="O19" s="422">
        <f t="shared" si="3"/>
        <v>0</v>
      </c>
    </row>
    <row r="20" spans="3:15" x14ac:dyDescent="0.2">
      <c r="C20" s="282" t="s">
        <v>633</v>
      </c>
      <c r="D20" s="590">
        <v>20</v>
      </c>
      <c r="E20" s="589" t="s">
        <v>634</v>
      </c>
      <c r="F20" s="587">
        <v>300</v>
      </c>
      <c r="G20" s="588">
        <v>7</v>
      </c>
      <c r="H20" s="588">
        <v>7</v>
      </c>
      <c r="J20" s="422">
        <f t="shared" si="0"/>
        <v>6000</v>
      </c>
      <c r="K20" s="422">
        <f t="shared" si="4"/>
        <v>857.14285714285711</v>
      </c>
      <c r="L20" s="422">
        <f t="shared" si="5"/>
        <v>857.14285714285711</v>
      </c>
      <c r="M20" s="593" t="str">
        <f t="shared" si="1"/>
        <v>Yes</v>
      </c>
      <c r="N20" s="422">
        <f t="shared" si="2"/>
        <v>857.14285714285711</v>
      </c>
      <c r="O20" s="422">
        <f t="shared" si="3"/>
        <v>857.14285714285711</v>
      </c>
    </row>
    <row r="21" spans="3:15" x14ac:dyDescent="0.2">
      <c r="C21" s="260" t="s">
        <v>635</v>
      </c>
      <c r="D21" s="590">
        <v>1</v>
      </c>
      <c r="E21" s="589" t="s">
        <v>614</v>
      </c>
      <c r="F21" s="587"/>
      <c r="G21" s="588"/>
      <c r="H21" s="588"/>
      <c r="J21" s="422">
        <f t="shared" si="0"/>
        <v>0</v>
      </c>
      <c r="K21" s="422">
        <f t="shared" si="4"/>
        <v>0</v>
      </c>
      <c r="L21" s="422">
        <f t="shared" si="5"/>
        <v>0</v>
      </c>
      <c r="M21" s="593" t="str">
        <f t="shared" si="1"/>
        <v>Yes</v>
      </c>
      <c r="N21" s="422">
        <f t="shared" si="2"/>
        <v>0</v>
      </c>
      <c r="O21" s="422">
        <f t="shared" si="3"/>
        <v>0</v>
      </c>
    </row>
    <row r="22" spans="3:15" x14ac:dyDescent="0.2">
      <c r="C22" s="260" t="s">
        <v>636</v>
      </c>
      <c r="D22" s="590">
        <v>1</v>
      </c>
      <c r="E22" s="589" t="s">
        <v>614</v>
      </c>
      <c r="F22" s="587"/>
      <c r="G22" s="588"/>
      <c r="H22" s="588"/>
      <c r="J22" s="422">
        <f t="shared" si="0"/>
        <v>0</v>
      </c>
      <c r="K22" s="422">
        <f t="shared" ref="K22" si="6">IF(G22=0,0,$J22/G22)</f>
        <v>0</v>
      </c>
      <c r="L22" s="422">
        <f t="shared" ref="L22" si="7">IF(H22=0,0,$J22/H22)</f>
        <v>0</v>
      </c>
      <c r="M22" s="593" t="str">
        <f t="shared" si="1"/>
        <v>Yes</v>
      </c>
      <c r="N22" s="422">
        <f t="shared" si="2"/>
        <v>0</v>
      </c>
      <c r="O22" s="422">
        <f t="shared" si="3"/>
        <v>0</v>
      </c>
    </row>
    <row r="23" spans="3:15" x14ac:dyDescent="0.2">
      <c r="C23" s="282" t="s">
        <v>637</v>
      </c>
      <c r="D23" s="590">
        <v>180</v>
      </c>
      <c r="E23" s="589" t="s">
        <v>638</v>
      </c>
      <c r="F23" s="587">
        <v>200</v>
      </c>
      <c r="G23" s="588">
        <v>20</v>
      </c>
      <c r="H23" s="588">
        <v>20</v>
      </c>
      <c r="J23" s="422">
        <f t="shared" si="0"/>
        <v>36000</v>
      </c>
      <c r="K23" s="422">
        <f t="shared" ref="K23" si="8">IF(G23=0,0,$J23/G23)</f>
        <v>1800</v>
      </c>
      <c r="L23" s="422">
        <f t="shared" ref="L23" si="9">IF(H23=0,0,$J23/H23)</f>
        <v>1800</v>
      </c>
      <c r="M23" s="593" t="str">
        <f t="shared" si="1"/>
        <v>No</v>
      </c>
      <c r="N23" s="422">
        <f t="shared" si="2"/>
        <v>0</v>
      </c>
      <c r="O23" s="422">
        <f t="shared" si="3"/>
        <v>1800</v>
      </c>
    </row>
    <row r="24" spans="3:15" x14ac:dyDescent="0.2">
      <c r="C24" s="282" t="s">
        <v>639</v>
      </c>
      <c r="D24" s="590">
        <v>600</v>
      </c>
      <c r="E24" s="589" t="s">
        <v>640</v>
      </c>
      <c r="F24" s="587">
        <v>8</v>
      </c>
      <c r="G24" s="588">
        <v>20</v>
      </c>
      <c r="H24" s="588">
        <v>20</v>
      </c>
      <c r="J24" s="422">
        <f t="shared" si="0"/>
        <v>4800</v>
      </c>
      <c r="K24" s="422">
        <f t="shared" ref="K24:K27" si="10">IF(G24=0,0,$J24/G24)</f>
        <v>240</v>
      </c>
      <c r="L24" s="422">
        <f t="shared" ref="L24:L27" si="11">IF(H24=0,0,$J24/H24)</f>
        <v>240</v>
      </c>
      <c r="M24" s="593" t="str">
        <f t="shared" si="1"/>
        <v>No</v>
      </c>
      <c r="N24" s="422">
        <f t="shared" si="2"/>
        <v>0</v>
      </c>
      <c r="O24" s="422">
        <f t="shared" si="3"/>
        <v>240</v>
      </c>
    </row>
    <row r="25" spans="3:15" x14ac:dyDescent="0.2">
      <c r="C25" s="260" t="s">
        <v>642</v>
      </c>
      <c r="D25" s="590">
        <v>2700</v>
      </c>
      <c r="E25" s="589" t="s">
        <v>631</v>
      </c>
      <c r="F25" s="587">
        <v>5</v>
      </c>
      <c r="G25" s="588">
        <v>15</v>
      </c>
      <c r="H25" s="588">
        <v>15</v>
      </c>
      <c r="J25" s="422">
        <f t="shared" si="0"/>
        <v>13500</v>
      </c>
      <c r="K25" s="422">
        <f t="shared" si="10"/>
        <v>900</v>
      </c>
      <c r="L25" s="422">
        <f t="shared" si="11"/>
        <v>900</v>
      </c>
      <c r="M25" s="593" t="str">
        <f t="shared" si="1"/>
        <v>No</v>
      </c>
      <c r="N25" s="422">
        <f t="shared" si="2"/>
        <v>0</v>
      </c>
      <c r="O25" s="422">
        <f t="shared" si="3"/>
        <v>900</v>
      </c>
    </row>
    <row r="26" spans="3:15" x14ac:dyDescent="0.2">
      <c r="C26" s="260" t="s">
        <v>641</v>
      </c>
      <c r="D26" s="590">
        <v>1200</v>
      </c>
      <c r="E26" s="589" t="s">
        <v>617</v>
      </c>
      <c r="F26" s="587">
        <v>20</v>
      </c>
      <c r="G26" s="588">
        <v>7</v>
      </c>
      <c r="H26" s="588">
        <v>7</v>
      </c>
      <c r="J26" s="422">
        <f t="shared" si="0"/>
        <v>24000</v>
      </c>
      <c r="K26" s="422">
        <f t="shared" si="10"/>
        <v>3428.5714285714284</v>
      </c>
      <c r="L26" s="422">
        <f t="shared" si="11"/>
        <v>3428.5714285714284</v>
      </c>
      <c r="M26" s="593" t="str">
        <f t="shared" si="1"/>
        <v>Yes</v>
      </c>
      <c r="N26" s="422">
        <f t="shared" si="2"/>
        <v>3428.5714285714284</v>
      </c>
      <c r="O26" s="422">
        <f t="shared" si="3"/>
        <v>3428.5714285714284</v>
      </c>
    </row>
    <row r="27" spans="3:15" x14ac:dyDescent="0.2">
      <c r="C27" s="282" t="s">
        <v>643</v>
      </c>
      <c r="D27" s="590">
        <v>20</v>
      </c>
      <c r="E27" s="589" t="s">
        <v>634</v>
      </c>
      <c r="F27" s="587">
        <v>2000</v>
      </c>
      <c r="G27" s="588">
        <v>20</v>
      </c>
      <c r="H27" s="588">
        <v>20</v>
      </c>
      <c r="J27" s="422">
        <f t="shared" si="0"/>
        <v>40000</v>
      </c>
      <c r="K27" s="422">
        <f t="shared" si="10"/>
        <v>2000</v>
      </c>
      <c r="L27" s="422">
        <f t="shared" si="11"/>
        <v>2000</v>
      </c>
      <c r="M27" s="593" t="str">
        <f t="shared" si="1"/>
        <v>No</v>
      </c>
      <c r="N27" s="422">
        <f t="shared" si="2"/>
        <v>0</v>
      </c>
      <c r="O27" s="422">
        <f t="shared" si="3"/>
        <v>2000</v>
      </c>
    </row>
    <row r="28" spans="3:15" x14ac:dyDescent="0.2">
      <c r="C28" s="282" t="s">
        <v>644</v>
      </c>
      <c r="D28" s="590">
        <v>20</v>
      </c>
      <c r="E28" s="589" t="s">
        <v>634</v>
      </c>
      <c r="F28" s="587">
        <v>500</v>
      </c>
      <c r="G28" s="588">
        <v>20</v>
      </c>
      <c r="H28" s="588">
        <v>20</v>
      </c>
      <c r="J28" s="422">
        <f t="shared" si="0"/>
        <v>10000</v>
      </c>
      <c r="K28" s="422">
        <f t="shared" ref="K28" si="12">IF(G28=0,0,$J28/G28)</f>
        <v>500</v>
      </c>
      <c r="L28" s="422">
        <f t="shared" ref="L28" si="13">IF(H28=0,0,$J28/H28)</f>
        <v>500</v>
      </c>
      <c r="M28" s="593" t="str">
        <f t="shared" si="1"/>
        <v>No</v>
      </c>
      <c r="N28" s="422">
        <f t="shared" si="2"/>
        <v>0</v>
      </c>
      <c r="O28" s="422">
        <f t="shared" si="3"/>
        <v>500</v>
      </c>
    </row>
    <row r="29" spans="3:15" x14ac:dyDescent="0.2">
      <c r="C29" s="282" t="s">
        <v>645</v>
      </c>
      <c r="D29" s="590">
        <v>20</v>
      </c>
      <c r="E29" s="589" t="s">
        <v>614</v>
      </c>
      <c r="F29" s="587">
        <v>650</v>
      </c>
      <c r="G29" s="588">
        <v>15</v>
      </c>
      <c r="H29" s="588">
        <v>15</v>
      </c>
      <c r="J29" s="422">
        <f t="shared" si="0"/>
        <v>13000</v>
      </c>
      <c r="K29" s="422">
        <f t="shared" ref="K29:K38" si="14">IF(G29=0,0,$J29/G29)</f>
        <v>866.66666666666663</v>
      </c>
      <c r="L29" s="422">
        <f t="shared" ref="L29:L38" si="15">IF(H29=0,0,$J29/H29)</f>
        <v>866.66666666666663</v>
      </c>
      <c r="M29" s="593" t="str">
        <f t="shared" si="1"/>
        <v>No</v>
      </c>
      <c r="N29" s="422">
        <f t="shared" si="2"/>
        <v>0</v>
      </c>
      <c r="O29" s="422">
        <f t="shared" si="3"/>
        <v>866.66666666666663</v>
      </c>
    </row>
    <row r="30" spans="3:15" x14ac:dyDescent="0.2">
      <c r="C30" s="282" t="s">
        <v>646</v>
      </c>
      <c r="D30" s="590">
        <v>20</v>
      </c>
      <c r="E30" s="589" t="s">
        <v>614</v>
      </c>
      <c r="F30" s="587">
        <v>400</v>
      </c>
      <c r="G30" s="588">
        <v>25</v>
      </c>
      <c r="H30" s="588">
        <v>25</v>
      </c>
      <c r="J30" s="422">
        <f t="shared" si="0"/>
        <v>8000</v>
      </c>
      <c r="K30" s="422">
        <f t="shared" si="14"/>
        <v>320</v>
      </c>
      <c r="L30" s="422">
        <f t="shared" si="15"/>
        <v>320</v>
      </c>
      <c r="M30" s="593" t="str">
        <f t="shared" si="1"/>
        <v>No</v>
      </c>
      <c r="N30" s="422">
        <f t="shared" si="2"/>
        <v>0</v>
      </c>
      <c r="O30" s="422">
        <f t="shared" si="3"/>
        <v>320</v>
      </c>
    </row>
    <row r="31" spans="3:15" x14ac:dyDescent="0.2">
      <c r="C31" s="282" t="s">
        <v>647</v>
      </c>
      <c r="D31" s="590">
        <v>20</v>
      </c>
      <c r="E31" s="589" t="s">
        <v>614</v>
      </c>
      <c r="F31" s="587">
        <v>600</v>
      </c>
      <c r="G31" s="588">
        <v>20</v>
      </c>
      <c r="H31" s="588">
        <v>20</v>
      </c>
      <c r="J31" s="422">
        <f t="shared" si="0"/>
        <v>12000</v>
      </c>
      <c r="K31" s="422">
        <f t="shared" si="14"/>
        <v>600</v>
      </c>
      <c r="L31" s="422">
        <f t="shared" si="15"/>
        <v>600</v>
      </c>
      <c r="M31" s="593" t="str">
        <f t="shared" si="1"/>
        <v>No</v>
      </c>
      <c r="N31" s="422">
        <f t="shared" si="2"/>
        <v>0</v>
      </c>
      <c r="O31" s="422">
        <f t="shared" si="3"/>
        <v>600</v>
      </c>
    </row>
    <row r="32" spans="3:15" x14ac:dyDescent="0.2">
      <c r="C32" s="282" t="s">
        <v>666</v>
      </c>
      <c r="D32" s="590">
        <v>0</v>
      </c>
      <c r="E32" s="589" t="s">
        <v>614</v>
      </c>
      <c r="F32" s="587"/>
      <c r="G32" s="588"/>
      <c r="H32" s="588"/>
      <c r="J32" s="422">
        <f t="shared" si="0"/>
        <v>0</v>
      </c>
      <c r="K32" s="422">
        <f t="shared" si="14"/>
        <v>0</v>
      </c>
      <c r="L32" s="422">
        <f t="shared" si="15"/>
        <v>0</v>
      </c>
      <c r="M32" s="593" t="str">
        <f t="shared" si="1"/>
        <v>Yes</v>
      </c>
      <c r="N32" s="422">
        <f t="shared" si="2"/>
        <v>0</v>
      </c>
      <c r="O32" s="422">
        <f t="shared" si="3"/>
        <v>0</v>
      </c>
    </row>
    <row r="33" spans="3:15" x14ac:dyDescent="0.2">
      <c r="C33" s="260" t="s">
        <v>648</v>
      </c>
      <c r="D33" s="590">
        <v>20</v>
      </c>
      <c r="E33" s="589" t="s">
        <v>614</v>
      </c>
      <c r="F33" s="587">
        <v>2000</v>
      </c>
      <c r="G33" s="588">
        <v>25</v>
      </c>
      <c r="H33" s="588">
        <v>25</v>
      </c>
      <c r="J33" s="422">
        <f t="shared" si="0"/>
        <v>40000</v>
      </c>
      <c r="K33" s="422">
        <f t="shared" si="14"/>
        <v>1600</v>
      </c>
      <c r="L33" s="422">
        <f t="shared" si="15"/>
        <v>1600</v>
      </c>
      <c r="M33" s="593" t="str">
        <f t="shared" si="1"/>
        <v>No</v>
      </c>
      <c r="N33" s="422">
        <f t="shared" si="2"/>
        <v>0</v>
      </c>
      <c r="O33" s="422">
        <f t="shared" si="3"/>
        <v>1600</v>
      </c>
    </row>
    <row r="34" spans="3:15" x14ac:dyDescent="0.2">
      <c r="C34" s="260" t="s">
        <v>649</v>
      </c>
      <c r="D34" s="590">
        <v>20</v>
      </c>
      <c r="E34" s="589" t="s">
        <v>614</v>
      </c>
      <c r="F34" s="587">
        <v>1000</v>
      </c>
      <c r="G34" s="588">
        <v>15</v>
      </c>
      <c r="H34" s="588">
        <v>15</v>
      </c>
      <c r="J34" s="422">
        <f t="shared" si="0"/>
        <v>20000</v>
      </c>
      <c r="K34" s="422">
        <f t="shared" si="14"/>
        <v>1333.3333333333333</v>
      </c>
      <c r="L34" s="422">
        <f t="shared" si="15"/>
        <v>1333.3333333333333</v>
      </c>
      <c r="M34" s="593" t="str">
        <f t="shared" si="1"/>
        <v>No</v>
      </c>
      <c r="N34" s="422">
        <f t="shared" si="2"/>
        <v>0</v>
      </c>
      <c r="O34" s="422">
        <f t="shared" si="3"/>
        <v>1333.3333333333333</v>
      </c>
    </row>
    <row r="35" spans="3:15" x14ac:dyDescent="0.2">
      <c r="C35" s="260" t="s">
        <v>650</v>
      </c>
      <c r="D35" s="590">
        <v>20</v>
      </c>
      <c r="E35" s="589" t="s">
        <v>614</v>
      </c>
      <c r="F35" s="587">
        <v>600</v>
      </c>
      <c r="G35" s="588">
        <v>10</v>
      </c>
      <c r="H35" s="588">
        <v>10</v>
      </c>
      <c r="J35" s="422">
        <f t="shared" si="0"/>
        <v>12000</v>
      </c>
      <c r="K35" s="422">
        <f t="shared" si="14"/>
        <v>1200</v>
      </c>
      <c r="L35" s="422">
        <f t="shared" si="15"/>
        <v>1200</v>
      </c>
      <c r="M35" s="593" t="str">
        <f t="shared" si="1"/>
        <v>Yes</v>
      </c>
      <c r="N35" s="422">
        <f t="shared" si="2"/>
        <v>1200</v>
      </c>
      <c r="O35" s="422">
        <f t="shared" si="3"/>
        <v>1200</v>
      </c>
    </row>
    <row r="36" spans="3:15" x14ac:dyDescent="0.2">
      <c r="C36" s="260" t="s">
        <v>651</v>
      </c>
      <c r="D36" s="590">
        <v>0</v>
      </c>
      <c r="E36" s="589" t="s">
        <v>614</v>
      </c>
      <c r="F36" s="587"/>
      <c r="G36" s="588"/>
      <c r="H36" s="588"/>
      <c r="J36" s="422">
        <f t="shared" si="0"/>
        <v>0</v>
      </c>
      <c r="K36" s="422">
        <f t="shared" si="14"/>
        <v>0</v>
      </c>
      <c r="L36" s="422">
        <f t="shared" si="15"/>
        <v>0</v>
      </c>
      <c r="M36" s="593" t="str">
        <f t="shared" si="1"/>
        <v>Yes</v>
      </c>
      <c r="N36" s="422">
        <f t="shared" si="2"/>
        <v>0</v>
      </c>
      <c r="O36" s="422">
        <f t="shared" si="3"/>
        <v>0</v>
      </c>
    </row>
    <row r="37" spans="3:15" x14ac:dyDescent="0.2">
      <c r="C37" s="260" t="s">
        <v>652</v>
      </c>
      <c r="D37" s="590">
        <v>0</v>
      </c>
      <c r="E37" s="589" t="s">
        <v>614</v>
      </c>
      <c r="F37" s="587"/>
      <c r="G37" s="588"/>
      <c r="H37" s="588"/>
      <c r="J37" s="422">
        <f t="shared" si="0"/>
        <v>0</v>
      </c>
      <c r="K37" s="422">
        <f t="shared" si="14"/>
        <v>0</v>
      </c>
      <c r="L37" s="422">
        <f t="shared" si="15"/>
        <v>0</v>
      </c>
      <c r="M37" s="593" t="str">
        <f t="shared" si="1"/>
        <v>Yes</v>
      </c>
      <c r="N37" s="422">
        <f t="shared" si="2"/>
        <v>0</v>
      </c>
      <c r="O37" s="422">
        <f t="shared" si="3"/>
        <v>0</v>
      </c>
    </row>
    <row r="38" spans="3:15" x14ac:dyDescent="0.2">
      <c r="C38" s="260" t="s">
        <v>653</v>
      </c>
      <c r="D38" s="590">
        <v>0</v>
      </c>
      <c r="E38" s="589" t="s">
        <v>614</v>
      </c>
      <c r="F38" s="587"/>
      <c r="G38" s="588"/>
      <c r="H38" s="588"/>
      <c r="J38" s="422">
        <f t="shared" si="0"/>
        <v>0</v>
      </c>
      <c r="K38" s="422">
        <f t="shared" si="14"/>
        <v>0</v>
      </c>
      <c r="L38" s="422">
        <f t="shared" si="15"/>
        <v>0</v>
      </c>
      <c r="M38" s="593" t="str">
        <f t="shared" si="1"/>
        <v>Yes</v>
      </c>
      <c r="N38" s="422">
        <f t="shared" si="2"/>
        <v>0</v>
      </c>
      <c r="O38" s="422">
        <f t="shared" si="3"/>
        <v>0</v>
      </c>
    </row>
    <row r="40" spans="3:15" x14ac:dyDescent="0.2">
      <c r="J40" s="594">
        <f>SUM(J10:J39)</f>
        <v>360300</v>
      </c>
      <c r="N40" s="594">
        <f>SUM(N10:N39)</f>
        <v>5628.5714285714284</v>
      </c>
      <c r="O40" s="594">
        <f>SUM(O10:O39)</f>
        <v>20505.238095238095</v>
      </c>
    </row>
    <row r="41" spans="3:15" ht="66.75" customHeight="1" x14ac:dyDescent="0.2">
      <c r="C41" s="669" t="s">
        <v>654</v>
      </c>
      <c r="D41" s="670"/>
      <c r="E41" s="670"/>
      <c r="F41" s="670"/>
      <c r="G41" s="670"/>
      <c r="H41" s="671"/>
    </row>
    <row r="43" spans="3:15" ht="132" customHeight="1" x14ac:dyDescent="0.2">
      <c r="C43" s="719" t="s">
        <v>656</v>
      </c>
      <c r="D43" s="719"/>
      <c r="E43" s="719"/>
      <c r="F43" s="719"/>
      <c r="G43" s="719"/>
      <c r="H43" s="719"/>
    </row>
    <row r="44" spans="3:15" ht="53.25" customHeight="1" x14ac:dyDescent="0.2">
      <c r="C44" s="718" t="str">
        <f>"Long term capital needs accrue at a rate of "&amp;TEXT(N44,"$#,##0")&amp;" per year during the HOME period of affordability.  This accrual rate is "&amp;TEXT(N44/'Rents and Income'!$E$31,"$#,##0")&amp;" per unit per year.  An annual reserve deposit at this rate (increased annually for inflation) should be adequate to fund 100% of capital needs during the HOME period of affordability, for a typical rental project."</f>
        <v>Long term capital needs accrue at a rate of $5,629 per year during the HOME period of affordability.  This accrual rate is $281 per unit per year.  An annual reserve deposit at this rate (increased annually for inflation) should be adequate to fund 100% of capital needs during the HOME period of affordability, for a typical rental project.</v>
      </c>
      <c r="D44" s="718"/>
      <c r="E44" s="718"/>
      <c r="F44" s="718"/>
      <c r="G44" s="718"/>
      <c r="H44" s="718"/>
      <c r="N44" s="594">
        <f>+N40</f>
        <v>5628.5714285714284</v>
      </c>
    </row>
    <row r="45" spans="3:15" x14ac:dyDescent="0.2">
      <c r="C45" s="471"/>
    </row>
    <row r="46" spans="3:15" ht="75.75" customHeight="1" x14ac:dyDescent="0.2">
      <c r="C46" s="719" t="s">
        <v>655</v>
      </c>
      <c r="D46" s="719"/>
      <c r="E46" s="719"/>
      <c r="F46" s="719"/>
      <c r="G46" s="719"/>
      <c r="H46" s="719"/>
    </row>
    <row r="47" spans="3:15" ht="44.25" customHeight="1" x14ac:dyDescent="0.2">
      <c r="C47" s="718" t="str">
        <f>"Long term capital needs accrue at a rate of "&amp;TEXT(N47,"$#,##0")&amp;" per year (when all building systems are considered).  This accrual rate is "&amp;TEXT(N47/'Rents and Income'!$E$31,"$#,##0")&amp;" per unit per year.  An annual reserve deposit at this rate (increased annually for inflation) should be adequate to fund 100% of capital needs over the long term, for a typical rental project."</f>
        <v>Long term capital needs accrue at a rate of $20,505 per year (when all building systems are considered).  This accrual rate is $1,025 per unit per year.  An annual reserve deposit at this rate (increased annually for inflation) should be adequate to fund 100% of capital needs over the long term, for a typical rental project.</v>
      </c>
      <c r="D47" s="718"/>
      <c r="E47" s="718"/>
      <c r="F47" s="718"/>
      <c r="G47" s="718"/>
      <c r="H47" s="718"/>
      <c r="N47" s="594">
        <f>+O40</f>
        <v>20505.238095238095</v>
      </c>
    </row>
    <row r="48" spans="3:15" x14ac:dyDescent="0.2">
      <c r="C48" s="471"/>
    </row>
    <row r="49" spans="3:3" x14ac:dyDescent="0.2">
      <c r="C49" s="44" t="s">
        <v>658</v>
      </c>
    </row>
  </sheetData>
  <mergeCells count="8">
    <mergeCell ref="C47:H47"/>
    <mergeCell ref="D1:H1"/>
    <mergeCell ref="C4:H4"/>
    <mergeCell ref="C41:H41"/>
    <mergeCell ref="C6:H6"/>
    <mergeCell ref="C43:H43"/>
    <mergeCell ref="C46:H46"/>
    <mergeCell ref="C44:H44"/>
  </mergeCells>
  <pageMargins left="0.7" right="0.7" top="0.75" bottom="0.75" header="0.3" footer="0.3"/>
  <pageSetup scale="62"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C1:N44"/>
  <sheetViews>
    <sheetView workbookViewId="0">
      <selection activeCell="C17" sqref="C17"/>
    </sheetView>
  </sheetViews>
  <sheetFormatPr defaultColWidth="9.140625" defaultRowHeight="15" x14ac:dyDescent="0.2"/>
  <cols>
    <col min="1" max="1" width="4" style="284" customWidth="1"/>
    <col min="2" max="2" width="1.42578125" style="284" customWidth="1"/>
    <col min="3" max="3" width="50.28515625" style="284" customWidth="1"/>
    <col min="4" max="4" width="28.85546875" style="284" customWidth="1"/>
    <col min="5" max="8" width="14.28515625" style="284" customWidth="1"/>
    <col min="9" max="9" width="9.140625" style="284"/>
    <col min="10" max="10" width="3.5703125" style="284" customWidth="1"/>
    <col min="11" max="12" width="16.42578125" style="284" customWidth="1"/>
    <col min="13" max="16384" width="9.140625" style="284"/>
  </cols>
  <sheetData>
    <row r="1" spans="3:14" s="299" customFormat="1" ht="22.5" customHeight="1" x14ac:dyDescent="0.2">
      <c r="C1" s="297" t="s">
        <v>598</v>
      </c>
      <c r="E1" s="723" t="s">
        <v>59</v>
      </c>
      <c r="F1" s="723"/>
      <c r="G1" s="723"/>
      <c r="H1" s="723"/>
    </row>
    <row r="2" spans="3:14" s="299" customFormat="1" ht="16.5" customHeight="1" x14ac:dyDescent="0.25">
      <c r="C2" s="561" t="str">
        <f>Requirements!C4</f>
        <v>Project Name - Sample Project : 20 Units</v>
      </c>
    </row>
    <row r="4" spans="3:14" ht="66.75" customHeight="1" x14ac:dyDescent="0.2">
      <c r="C4" s="722" t="s">
        <v>599</v>
      </c>
      <c r="D4" s="720"/>
      <c r="E4" s="720"/>
      <c r="F4" s="720"/>
      <c r="G4" s="720"/>
      <c r="H4" s="720"/>
      <c r="I4" s="720"/>
      <c r="K4" s="637" t="s">
        <v>5</v>
      </c>
      <c r="L4" s="637" t="s">
        <v>409</v>
      </c>
    </row>
    <row r="6" spans="3:14" x14ac:dyDescent="0.2">
      <c r="C6" s="284" t="s">
        <v>591</v>
      </c>
      <c r="D6" s="562">
        <v>42339</v>
      </c>
      <c r="K6" s="634">
        <f>+SUM('Development Costs'!$D$8:$D$17)+SUM('Development Costs'!$D$18:$D$22)</f>
        <v>811000</v>
      </c>
      <c r="L6" s="634">
        <f>+K6/'Rents and Income'!$E$31</f>
        <v>40550</v>
      </c>
      <c r="M6" s="282"/>
      <c r="N6" s="282" t="s">
        <v>729</v>
      </c>
    </row>
    <row r="7" spans="3:14" x14ac:dyDescent="0.2">
      <c r="K7" s="634">
        <f>+'Development Costs'!$D$27</f>
        <v>120000</v>
      </c>
      <c r="L7" s="634">
        <f>+K7/'Rents and Income'!$E$31</f>
        <v>6000</v>
      </c>
      <c r="M7" s="635">
        <f>+K7/K6</f>
        <v>0.14796547472256474</v>
      </c>
      <c r="N7" s="282" t="s">
        <v>726</v>
      </c>
    </row>
    <row r="8" spans="3:14" x14ac:dyDescent="0.2">
      <c r="C8" s="284" t="s">
        <v>596</v>
      </c>
      <c r="D8" s="562">
        <v>42491</v>
      </c>
      <c r="E8" s="563"/>
      <c r="F8" s="284" t="str">
        <f>IF(E8="","","months after HOME Commitment Date")</f>
        <v/>
      </c>
      <c r="K8" s="634">
        <f>SUM('Development Costs'!$D$23:$D$25)</f>
        <v>105000</v>
      </c>
      <c r="L8" s="634">
        <f>+K8/'Rents and Income'!$E$31</f>
        <v>5250</v>
      </c>
      <c r="M8" s="635">
        <f>+K8/K6</f>
        <v>0.12946979038224415</v>
      </c>
      <c r="N8" s="282" t="s">
        <v>731</v>
      </c>
    </row>
    <row r="9" spans="3:14" x14ac:dyDescent="0.2">
      <c r="C9" s="284" t="s">
        <v>597</v>
      </c>
      <c r="D9" s="562">
        <v>42522</v>
      </c>
      <c r="E9" s="564">
        <f>IF(OR(D$6=0,D$6="",D9=0,D9=""),"",(D9-D$6)/(365.25/12))</f>
        <v>6.0123203285420947</v>
      </c>
      <c r="F9" s="284" t="str">
        <f>IF(E9="","","months after HOME Commitment Date")</f>
        <v>months after HOME Commitment Date</v>
      </c>
      <c r="K9" s="634">
        <f>+SUM('Development Costs'!$D$75:$D$83)</f>
        <v>120000</v>
      </c>
      <c r="L9" s="634">
        <f>+K9/'Rents and Income'!$E$31</f>
        <v>6000</v>
      </c>
      <c r="N9" s="282" t="s">
        <v>730</v>
      </c>
    </row>
    <row r="10" spans="3:14" x14ac:dyDescent="0.2">
      <c r="C10" s="565" t="s">
        <v>742</v>
      </c>
      <c r="D10" s="562"/>
      <c r="E10" s="564"/>
      <c r="K10" s="634">
        <f>+'Development Costs'!$D$98-'Development Costs'!$D$74-$K$9-$K$8-$K$7-$K$6-$K$11</f>
        <v>593000</v>
      </c>
      <c r="L10" s="634">
        <f>+K10/'Rents and Income'!$E$31</f>
        <v>29650</v>
      </c>
      <c r="N10" s="282" t="s">
        <v>728</v>
      </c>
    </row>
    <row r="11" spans="3:14" x14ac:dyDescent="0.2">
      <c r="C11" s="565" t="s">
        <v>743</v>
      </c>
      <c r="D11" s="562"/>
      <c r="E11" s="564"/>
      <c r="K11" s="634">
        <f>+'Development Costs'!$D$51</f>
        <v>50000</v>
      </c>
      <c r="L11" s="634">
        <f>+K11/'Rents and Income'!$E$31</f>
        <v>2500</v>
      </c>
      <c r="M11" s="635">
        <f>+K11/K10</f>
        <v>8.4317032040472181E-2</v>
      </c>
      <c r="N11" s="282" t="s">
        <v>727</v>
      </c>
    </row>
    <row r="12" spans="3:14" x14ac:dyDescent="0.2">
      <c r="C12" s="565" t="s">
        <v>744</v>
      </c>
      <c r="D12" s="562"/>
      <c r="E12" s="564"/>
      <c r="K12" s="634">
        <f>+'Development Costs'!$D$74</f>
        <v>240000</v>
      </c>
      <c r="L12" s="634">
        <f>+K12/'Rents and Income'!$E$31</f>
        <v>12000</v>
      </c>
      <c r="M12" s="635">
        <f>+K12/(K10+K6)</f>
        <v>0.17094017094017094</v>
      </c>
      <c r="N12" s="282" t="s">
        <v>732</v>
      </c>
    </row>
    <row r="13" spans="3:14" x14ac:dyDescent="0.2">
      <c r="C13" s="565" t="s">
        <v>745</v>
      </c>
      <c r="D13" s="562"/>
      <c r="E13" s="564"/>
      <c r="K13" s="634"/>
      <c r="L13" s="634"/>
      <c r="N13" s="282"/>
    </row>
    <row r="14" spans="3:14" x14ac:dyDescent="0.2">
      <c r="C14" s="284" t="s">
        <v>592</v>
      </c>
      <c r="D14" s="562"/>
      <c r="E14" s="564"/>
      <c r="K14" s="636">
        <f>SUM(K5:K13)</f>
        <v>2039000</v>
      </c>
      <c r="L14" s="636">
        <f>+K14/'Rents and Income'!$E$31</f>
        <v>101950</v>
      </c>
      <c r="M14" s="636"/>
      <c r="N14" s="464" t="s">
        <v>378</v>
      </c>
    </row>
    <row r="15" spans="3:14" x14ac:dyDescent="0.2">
      <c r="C15" s="284" t="s">
        <v>593</v>
      </c>
      <c r="D15" s="562">
        <v>42917</v>
      </c>
      <c r="E15" s="564">
        <f>IF(OR(D$9=0,D$9="",D15=0,D15=""),"",(D15-D$9)/(365.25/12))</f>
        <v>12.97741273100616</v>
      </c>
      <c r="F15" s="284" t="str">
        <f>IF(E15="","","months construction time")</f>
        <v>months construction time</v>
      </c>
    </row>
    <row r="16" spans="3:14" x14ac:dyDescent="0.2">
      <c r="E16" s="564">
        <f>IF(OR(D$6=0,D$6="",D15=0,D15=""),"",(D15-D$6)/(365.25/12))</f>
        <v>18.989733059548254</v>
      </c>
      <c r="F16" s="284" t="str">
        <f>IF(E16="","","months after HOME Commitment Date")</f>
        <v>months after HOME Commitment Date</v>
      </c>
    </row>
    <row r="17" spans="3:9" x14ac:dyDescent="0.2">
      <c r="E17" s="564"/>
    </row>
    <row r="18" spans="3:9" x14ac:dyDescent="0.2">
      <c r="C18" s="284" t="s">
        <v>594</v>
      </c>
      <c r="D18" s="562">
        <v>43040</v>
      </c>
      <c r="E18" s="564">
        <f>IF(OR(D$15=0,D$15="",D18=0,D18=""),"",(D18-D$15)/(365.25/12))</f>
        <v>4.0410677618069819</v>
      </c>
      <c r="F18" s="284" t="str">
        <f>IF(E18="","","months lease-up time")</f>
        <v>months lease-up time</v>
      </c>
    </row>
    <row r="19" spans="3:9" x14ac:dyDescent="0.2">
      <c r="E19" s="564"/>
    </row>
    <row r="20" spans="3:9" x14ac:dyDescent="0.2">
      <c r="C20" s="284" t="s">
        <v>595</v>
      </c>
      <c r="D20" s="562">
        <v>43070</v>
      </c>
      <c r="E20" s="564">
        <f>IF(OR(D$15=0,D$15="",D20=0,D20=""),"",(D20-D$15)/(365.25/12))</f>
        <v>5.0266940451745379</v>
      </c>
      <c r="F20" s="284" t="str">
        <f>IF(E20="","","months after construction completion")</f>
        <v>months after construction completion</v>
      </c>
    </row>
    <row r="22" spans="3:9" x14ac:dyDescent="0.2">
      <c r="C22" s="724" t="str">
        <f>IF(OR(E9="",E9&lt;=12),"","Warning: Construction Scheduled to Start More than 12 Months After HOME Commitment Date")</f>
        <v/>
      </c>
      <c r="D22" s="725"/>
      <c r="E22" s="725"/>
      <c r="F22" s="725"/>
      <c r="G22" s="725"/>
      <c r="H22" s="725"/>
      <c r="I22" s="726"/>
    </row>
    <row r="24" spans="3:9" x14ac:dyDescent="0.2">
      <c r="C24" s="724" t="str">
        <f>IF(OR(E16="",E16&lt;=48),"","Warning: Construction Scheduled to Be Completed More than 48 Months After HOME Commitment Date")</f>
        <v/>
      </c>
      <c r="D24" s="725"/>
      <c r="E24" s="725"/>
      <c r="F24" s="725"/>
      <c r="G24" s="725"/>
      <c r="H24" s="725"/>
      <c r="I24" s="726"/>
    </row>
    <row r="26" spans="3:9" x14ac:dyDescent="0.2">
      <c r="C26" s="282" t="s">
        <v>724</v>
      </c>
      <c r="D26" s="282"/>
      <c r="E26" s="282"/>
      <c r="F26" s="282"/>
      <c r="G26" s="282"/>
      <c r="H26" s="282"/>
      <c r="I26" s="282"/>
    </row>
    <row r="27" spans="3:9" ht="30.75" customHeight="1" x14ac:dyDescent="0.2">
      <c r="C27" s="669"/>
      <c r="D27" s="670"/>
      <c r="E27" s="670"/>
      <c r="F27" s="670"/>
      <c r="G27" s="670"/>
      <c r="H27" s="670"/>
      <c r="I27" s="671"/>
    </row>
    <row r="29" spans="3:9" x14ac:dyDescent="0.2">
      <c r="C29" s="638" t="str">
        <f>"Budgeted construction cost is "&amp;TEXT(L6,"$#,##0")&amp;" per unit.  Budgeted hard cost contingency is "&amp;TEXT(M7,"0.0%")&amp;" of hard cost."</f>
        <v>Budgeted construction cost is $40,550 per unit.  Budgeted hard cost contingency is 14.8% of hard cost.</v>
      </c>
    </row>
    <row r="30" spans="3:9" x14ac:dyDescent="0.2">
      <c r="C30" s="638" t="str">
        <f>"Budgeted soft costs are "&amp;TEXT(L10,"$#,##0")&amp;" per unit.  Budgeted soft cost contingency is "&amp;TEXT(M11,"0.0%")&amp;" of soft cost."</f>
        <v>Budgeted soft costs are $29,650 per unit.  Budgeted soft cost contingency is 8.4% of soft cost.</v>
      </c>
    </row>
    <row r="31" spans="3:9" x14ac:dyDescent="0.2">
      <c r="C31" s="638" t="str">
        <f>"The budgeted developer fee is "&amp;TEXT(L12,"$#,##0")&amp;" per unit before any deferral.  This is "&amp;TEXT(M12,"0.0%")&amp;" of total hard cost + total soft cost."</f>
        <v>The budgeted developer fee is $12,000 per unit before any deferral.  This is 17.1% of total hard cost + total soft cost.</v>
      </c>
    </row>
    <row r="32" spans="3:9" ht="183.75" customHeight="1" x14ac:dyDescent="0.2">
      <c r="C32" s="720" t="s">
        <v>734</v>
      </c>
      <c r="D32" s="720"/>
      <c r="E32" s="720"/>
      <c r="F32" s="720"/>
      <c r="G32" s="720"/>
      <c r="H32" s="720"/>
      <c r="I32" s="720"/>
    </row>
    <row r="33" spans="3:9" x14ac:dyDescent="0.2">
      <c r="C33" s="282" t="s">
        <v>733</v>
      </c>
      <c r="D33" s="282"/>
      <c r="E33" s="282"/>
      <c r="F33" s="282"/>
      <c r="G33" s="282"/>
      <c r="H33" s="282"/>
      <c r="I33" s="282"/>
    </row>
    <row r="34" spans="3:9" ht="30.75" customHeight="1" x14ac:dyDescent="0.2">
      <c r="C34" s="669"/>
      <c r="D34" s="670"/>
      <c r="E34" s="670"/>
      <c r="F34" s="670"/>
      <c r="G34" s="670"/>
      <c r="H34" s="670"/>
      <c r="I34" s="671"/>
    </row>
    <row r="36" spans="3:9" ht="28.5" customHeight="1" x14ac:dyDescent="0.2">
      <c r="C36" s="721" t="s">
        <v>735</v>
      </c>
      <c r="D36" s="721"/>
      <c r="E36" s="721"/>
      <c r="F36" s="721"/>
      <c r="G36" s="721"/>
      <c r="H36" s="721"/>
      <c r="I36" s="721"/>
    </row>
    <row r="37" spans="3:9" ht="30.75" customHeight="1" x14ac:dyDescent="0.2">
      <c r="C37" s="669"/>
      <c r="D37" s="670"/>
      <c r="E37" s="670"/>
      <c r="F37" s="670"/>
      <c r="G37" s="670"/>
      <c r="H37" s="670"/>
      <c r="I37" s="671"/>
    </row>
    <row r="39" spans="3:9" ht="109.5" customHeight="1" x14ac:dyDescent="0.2">
      <c r="C39" s="720" t="s">
        <v>736</v>
      </c>
      <c r="D39" s="720"/>
      <c r="E39" s="720"/>
      <c r="F39" s="720"/>
      <c r="G39" s="720"/>
      <c r="H39" s="720"/>
      <c r="I39" s="720"/>
    </row>
    <row r="40" spans="3:9" x14ac:dyDescent="0.2">
      <c r="C40" s="282" t="s">
        <v>725</v>
      </c>
      <c r="D40" s="282"/>
      <c r="E40" s="282"/>
      <c r="F40" s="282"/>
      <c r="G40" s="282"/>
      <c r="H40" s="282"/>
      <c r="I40" s="282"/>
    </row>
    <row r="41" spans="3:9" ht="30.75" customHeight="1" x14ac:dyDescent="0.2">
      <c r="C41" s="669"/>
      <c r="D41" s="670"/>
      <c r="E41" s="670"/>
      <c r="F41" s="670"/>
      <c r="G41" s="670"/>
      <c r="H41" s="670"/>
      <c r="I41" s="671"/>
    </row>
    <row r="44" spans="3:9" x14ac:dyDescent="0.2">
      <c r="C44" s="202" t="s">
        <v>541</v>
      </c>
    </row>
  </sheetData>
  <mergeCells count="11">
    <mergeCell ref="C4:I4"/>
    <mergeCell ref="E1:H1"/>
    <mergeCell ref="C22:I22"/>
    <mergeCell ref="C24:I24"/>
    <mergeCell ref="C27:I27"/>
    <mergeCell ref="C39:I39"/>
    <mergeCell ref="C41:I41"/>
    <mergeCell ref="C32:I32"/>
    <mergeCell ref="C34:I34"/>
    <mergeCell ref="C37:I37"/>
    <mergeCell ref="C36:I36"/>
  </mergeCells>
  <pageMargins left="0.7" right="0.7" top="0.75" bottom="0.75" header="0.3" footer="0.3"/>
  <pageSetup scale="61"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N59"/>
  <sheetViews>
    <sheetView showGridLines="0" zoomScaleNormal="100" workbookViewId="0"/>
  </sheetViews>
  <sheetFormatPr defaultColWidth="0" defaultRowHeight="15" x14ac:dyDescent="0.2"/>
  <cols>
    <col min="1" max="1" width="4.42578125" style="112" customWidth="1"/>
    <col min="2" max="2" width="1.7109375" style="112" customWidth="1"/>
    <col min="3" max="3" width="47.140625" style="112" customWidth="1"/>
    <col min="4" max="4" width="18.28515625" style="112" customWidth="1"/>
    <col min="5" max="5" width="2.42578125" style="112" customWidth="1"/>
    <col min="6" max="7" width="18.28515625" style="112" customWidth="1"/>
    <col min="8" max="8" width="32.7109375" style="112" customWidth="1"/>
    <col min="9" max="9" width="18.28515625" style="112" customWidth="1"/>
    <col min="10" max="10" width="3.42578125" style="112" customWidth="1"/>
    <col min="11" max="13" width="18.28515625" style="112" hidden="1" customWidth="1"/>
    <col min="14" max="35" width="18.28515625" style="112" customWidth="1"/>
    <col min="36" max="38" width="9.140625" style="112" customWidth="1"/>
    <col min="39" max="16384" width="0" style="112" hidden="1"/>
  </cols>
  <sheetData>
    <row r="1" spans="1:11" ht="22.5" x14ac:dyDescent="0.2">
      <c r="C1" s="111" t="s">
        <v>380</v>
      </c>
      <c r="G1" s="723" t="s">
        <v>59</v>
      </c>
      <c r="H1" s="723"/>
    </row>
    <row r="2" spans="1:11" ht="16.5" customHeight="1" x14ac:dyDescent="0.25">
      <c r="C2" s="550" t="str">
        <f>Requirements!C4</f>
        <v>Project Name - Sample Project : 20 Units</v>
      </c>
    </row>
    <row r="3" spans="1:11" ht="16.5" customHeight="1" x14ac:dyDescent="0.2">
      <c r="C3" s="453"/>
    </row>
    <row r="4" spans="1:11" ht="86.25" customHeight="1" x14ac:dyDescent="0.2">
      <c r="C4" s="722" t="s">
        <v>706</v>
      </c>
      <c r="D4" s="720"/>
      <c r="E4" s="720"/>
      <c r="F4" s="720"/>
      <c r="G4" s="720"/>
      <c r="H4" s="720"/>
      <c r="I4" s="720"/>
    </row>
    <row r="5" spans="1:11" ht="16.5" customHeight="1" thickBot="1" x14ac:dyDescent="0.25">
      <c r="A5" s="518"/>
      <c r="C5" s="453"/>
    </row>
    <row r="6" spans="1:11" ht="17.25" customHeight="1" x14ac:dyDescent="0.2">
      <c r="A6" s="402" t="s">
        <v>424</v>
      </c>
      <c r="C6" s="355" t="s">
        <v>505</v>
      </c>
      <c r="D6" s="356" t="s">
        <v>381</v>
      </c>
      <c r="E6" s="356"/>
      <c r="F6" s="356" t="s">
        <v>382</v>
      </c>
      <c r="G6" s="357"/>
      <c r="H6" s="357"/>
      <c r="I6" s="358"/>
      <c r="K6" s="401"/>
    </row>
    <row r="7" spans="1:11" ht="17.25" customHeight="1" x14ac:dyDescent="0.2">
      <c r="C7" s="359" t="s">
        <v>397</v>
      </c>
      <c r="D7" s="360"/>
      <c r="E7" s="360"/>
      <c r="F7" s="360"/>
      <c r="G7" s="361"/>
      <c r="H7" s="362"/>
      <c r="I7" s="363"/>
      <c r="J7" s="327"/>
      <c r="K7" s="327"/>
    </row>
    <row r="8" spans="1:11" ht="17.25" customHeight="1" x14ac:dyDescent="0.2">
      <c r="A8" s="518"/>
      <c r="C8" s="364" t="s">
        <v>527</v>
      </c>
      <c r="D8" s="360">
        <f>+'Development Costs'!I98</f>
        <v>100000</v>
      </c>
      <c r="E8" s="360"/>
      <c r="F8" s="360">
        <f>+'Development Costs'!J98</f>
        <v>1521000</v>
      </c>
      <c r="G8" s="361"/>
      <c r="H8" s="361"/>
      <c r="I8" s="363"/>
      <c r="J8" s="327"/>
      <c r="K8" s="327"/>
    </row>
    <row r="9" spans="1:11" ht="17.25" customHeight="1" x14ac:dyDescent="0.2">
      <c r="C9" s="359"/>
      <c r="D9" s="360"/>
      <c r="E9" s="360"/>
      <c r="F9" s="360"/>
      <c r="G9" s="361"/>
      <c r="H9" s="362"/>
      <c r="I9" s="365"/>
    </row>
    <row r="10" spans="1:11" ht="17.25" customHeight="1" x14ac:dyDescent="0.2">
      <c r="A10" s="402" t="s">
        <v>424</v>
      </c>
      <c r="C10" s="359" t="s">
        <v>396</v>
      </c>
      <c r="D10" s="360"/>
      <c r="E10" s="360"/>
      <c r="F10" s="360"/>
      <c r="G10" s="361"/>
      <c r="H10" s="362"/>
      <c r="I10" s="365"/>
    </row>
    <row r="11" spans="1:11" ht="17.25" customHeight="1" x14ac:dyDescent="0.2">
      <c r="C11" s="366" t="s">
        <v>692</v>
      </c>
      <c r="D11" s="101"/>
      <c r="E11" s="367"/>
      <c r="F11" s="101">
        <v>-50000</v>
      </c>
      <c r="G11" s="361"/>
      <c r="H11" s="362"/>
      <c r="I11" s="365"/>
    </row>
    <row r="12" spans="1:11" ht="17.25" customHeight="1" x14ac:dyDescent="0.2">
      <c r="C12" s="366"/>
      <c r="D12" s="101"/>
      <c r="E12" s="367"/>
      <c r="F12" s="101"/>
      <c r="G12" s="361"/>
      <c r="H12" s="362"/>
      <c r="I12" s="365"/>
      <c r="K12" s="518"/>
    </row>
    <row r="13" spans="1:11" ht="17.25" customHeight="1" x14ac:dyDescent="0.2">
      <c r="C13" s="366"/>
      <c r="D13" s="101"/>
      <c r="E13" s="367"/>
      <c r="F13" s="101"/>
      <c r="G13" s="361"/>
      <c r="H13" s="362"/>
      <c r="I13" s="365"/>
    </row>
    <row r="14" spans="1:11" ht="17.25" customHeight="1" x14ac:dyDescent="0.2">
      <c r="C14" s="366"/>
      <c r="D14" s="101"/>
      <c r="E14" s="367"/>
      <c r="F14" s="101"/>
      <c r="G14" s="361"/>
      <c r="H14" s="362"/>
      <c r="I14" s="365"/>
    </row>
    <row r="15" spans="1:11" ht="17.25" customHeight="1" x14ac:dyDescent="0.2">
      <c r="C15" s="366"/>
      <c r="D15" s="101"/>
      <c r="E15" s="367"/>
      <c r="F15" s="101"/>
      <c r="G15" s="361"/>
      <c r="H15" s="362"/>
      <c r="I15" s="365"/>
    </row>
    <row r="16" spans="1:11" ht="17.25" customHeight="1" x14ac:dyDescent="0.2">
      <c r="C16" s="366"/>
      <c r="D16" s="101"/>
      <c r="E16" s="367"/>
      <c r="F16" s="101"/>
      <c r="G16" s="361"/>
      <c r="H16" s="362"/>
      <c r="I16" s="365"/>
    </row>
    <row r="17" spans="3:11" ht="17.25" customHeight="1" x14ac:dyDescent="0.2">
      <c r="C17" s="366"/>
      <c r="D17" s="101"/>
      <c r="E17" s="367"/>
      <c r="F17" s="101"/>
      <c r="G17" s="361"/>
      <c r="H17" s="362"/>
      <c r="I17" s="365"/>
    </row>
    <row r="18" spans="3:11" ht="17.25" customHeight="1" x14ac:dyDescent="0.2">
      <c r="C18" s="366"/>
      <c r="D18" s="101"/>
      <c r="E18" s="367"/>
      <c r="F18" s="101"/>
      <c r="G18" s="361"/>
      <c r="H18" s="362"/>
      <c r="I18" s="365"/>
    </row>
    <row r="19" spans="3:11" ht="17.25" customHeight="1" x14ac:dyDescent="0.2">
      <c r="C19" s="368"/>
      <c r="D19" s="367"/>
      <c r="E19" s="367"/>
      <c r="F19" s="367"/>
      <c r="G19" s="361"/>
      <c r="H19" s="362"/>
      <c r="I19" s="365"/>
    </row>
    <row r="20" spans="3:11" ht="17.25" customHeight="1" thickBot="1" x14ac:dyDescent="0.25">
      <c r="C20" s="369" t="s">
        <v>234</v>
      </c>
      <c r="D20" s="370">
        <f>SUM(D7:D19)</f>
        <v>100000</v>
      </c>
      <c r="E20" s="370"/>
      <c r="F20" s="370">
        <f>SUM(F7:F19)</f>
        <v>1471000</v>
      </c>
      <c r="G20" s="371"/>
      <c r="H20" s="372"/>
      <c r="I20" s="373"/>
    </row>
    <row r="21" spans="3:11" ht="17.25" customHeight="1" thickBot="1" x14ac:dyDescent="0.25">
      <c r="C21" s="328"/>
      <c r="D21" s="329"/>
      <c r="E21" s="329"/>
      <c r="F21" s="329"/>
      <c r="G21" s="328"/>
    </row>
    <row r="22" spans="3:11" ht="17.25" customHeight="1" x14ac:dyDescent="0.2">
      <c r="C22" s="355" t="s">
        <v>383</v>
      </c>
      <c r="D22" s="374">
        <f>IF(D24=0,0,D23/D24)</f>
        <v>1</v>
      </c>
      <c r="E22" s="375"/>
      <c r="F22" s="375"/>
      <c r="G22" s="375"/>
      <c r="H22" s="357"/>
      <c r="I22" s="358"/>
      <c r="K22" s="518"/>
    </row>
    <row r="23" spans="3:11" ht="17.25" customHeight="1" x14ac:dyDescent="0.2">
      <c r="C23" s="376" t="s">
        <v>384</v>
      </c>
      <c r="D23" s="377">
        <f>+'Rents and Income'!P31</f>
        <v>20</v>
      </c>
      <c r="E23" s="361"/>
      <c r="F23" s="39" t="s">
        <v>542</v>
      </c>
      <c r="G23" s="39"/>
      <c r="H23" s="362"/>
      <c r="I23" s="365"/>
    </row>
    <row r="24" spans="3:11" ht="17.25" customHeight="1" x14ac:dyDescent="0.2">
      <c r="C24" s="378" t="s">
        <v>385</v>
      </c>
      <c r="D24" s="377">
        <f>+'Rents and Income'!$E$31</f>
        <v>20</v>
      </c>
      <c r="E24" s="362"/>
      <c r="F24" s="39" t="s">
        <v>542</v>
      </c>
      <c r="G24" s="362"/>
      <c r="H24" s="362"/>
      <c r="I24" s="365"/>
    </row>
    <row r="25" spans="3:11" ht="17.25" customHeight="1" x14ac:dyDescent="0.2">
      <c r="C25" s="379"/>
      <c r="D25" s="362"/>
      <c r="E25" s="362"/>
      <c r="F25" s="362"/>
      <c r="G25" s="362"/>
      <c r="H25" s="362"/>
      <c r="I25" s="365"/>
    </row>
    <row r="26" spans="3:11" hidden="1" x14ac:dyDescent="0.2">
      <c r="C26" s="379"/>
      <c r="D26" s="362"/>
      <c r="E26" s="362"/>
      <c r="F26" s="362"/>
      <c r="G26" s="362"/>
      <c r="H26" s="362"/>
      <c r="I26" s="365"/>
    </row>
    <row r="27" spans="3:11" hidden="1" x14ac:dyDescent="0.2">
      <c r="C27" s="379"/>
      <c r="D27" s="362"/>
      <c r="E27" s="362"/>
      <c r="F27" s="362"/>
      <c r="G27" s="362"/>
      <c r="H27" s="362"/>
      <c r="I27" s="365"/>
    </row>
    <row r="28" spans="3:11" hidden="1" x14ac:dyDescent="0.2">
      <c r="C28" s="379"/>
      <c r="D28" s="362"/>
      <c r="E28" s="362"/>
      <c r="F28" s="362"/>
      <c r="G28" s="362"/>
      <c r="H28" s="362"/>
      <c r="I28" s="365"/>
    </row>
    <row r="29" spans="3:11" hidden="1" x14ac:dyDescent="0.2">
      <c r="C29" s="379"/>
      <c r="D29" s="362"/>
      <c r="E29" s="362"/>
      <c r="F29" s="362"/>
      <c r="G29" s="362"/>
      <c r="H29" s="362"/>
      <c r="I29" s="365"/>
    </row>
    <row r="30" spans="3:11" hidden="1" x14ac:dyDescent="0.2">
      <c r="C30" s="379"/>
      <c r="D30" s="362"/>
      <c r="E30" s="362"/>
      <c r="F30" s="362"/>
      <c r="G30" s="362"/>
      <c r="H30" s="362"/>
      <c r="I30" s="365"/>
    </row>
    <row r="31" spans="3:11" hidden="1" x14ac:dyDescent="0.2">
      <c r="C31" s="379"/>
      <c r="D31" s="362"/>
      <c r="E31" s="362"/>
      <c r="F31" s="362"/>
      <c r="G31" s="362"/>
      <c r="H31" s="362"/>
      <c r="I31" s="365"/>
    </row>
    <row r="32" spans="3:11" hidden="1" x14ac:dyDescent="0.2">
      <c r="C32" s="380"/>
      <c r="D32" s="362"/>
      <c r="E32" s="362"/>
      <c r="F32" s="362"/>
      <c r="G32" s="362"/>
      <c r="H32" s="362"/>
      <c r="I32" s="365"/>
    </row>
    <row r="33" spans="1:9" x14ac:dyDescent="0.2">
      <c r="C33" s="368" t="s">
        <v>667</v>
      </c>
      <c r="D33" s="381">
        <f>IF(D35=0,0,D34/D35)</f>
        <v>1</v>
      </c>
      <c r="E33" s="362"/>
      <c r="F33" s="362"/>
      <c r="G33" s="362"/>
      <c r="H33" s="362"/>
      <c r="I33" s="365"/>
    </row>
    <row r="34" spans="1:9" x14ac:dyDescent="0.2">
      <c r="C34" s="376" t="s">
        <v>668</v>
      </c>
      <c r="D34" s="377">
        <f>+'Rents and Income'!AC31</f>
        <v>12000</v>
      </c>
      <c r="E34" s="362"/>
      <c r="F34" s="39" t="s">
        <v>542</v>
      </c>
      <c r="G34" s="362"/>
      <c r="H34" s="362"/>
      <c r="I34" s="365"/>
    </row>
    <row r="35" spans="1:9" x14ac:dyDescent="0.2">
      <c r="C35" s="378" t="s">
        <v>669</v>
      </c>
      <c r="D35" s="377">
        <f>+'Rents and Income'!F31</f>
        <v>12000</v>
      </c>
      <c r="E35" s="362"/>
      <c r="F35" s="39" t="s">
        <v>542</v>
      </c>
      <c r="G35" s="362"/>
      <c r="H35" s="362"/>
      <c r="I35" s="365"/>
    </row>
    <row r="36" spans="1:9" x14ac:dyDescent="0.2">
      <c r="C36" s="380"/>
      <c r="D36" s="362"/>
      <c r="E36" s="362"/>
      <c r="F36" s="362"/>
      <c r="G36" s="362"/>
      <c r="H36" s="362"/>
      <c r="I36" s="365"/>
    </row>
    <row r="37" spans="1:9" ht="15.75" thickBot="1" x14ac:dyDescent="0.25">
      <c r="A37" s="402" t="s">
        <v>424</v>
      </c>
      <c r="C37" s="369" t="s">
        <v>388</v>
      </c>
      <c r="D37" s="382">
        <f>MIN(D22,D33)</f>
        <v>1</v>
      </c>
      <c r="E37" s="372"/>
      <c r="F37" s="372" t="s">
        <v>392</v>
      </c>
      <c r="G37" s="372"/>
      <c r="H37" s="372"/>
      <c r="I37" s="373"/>
    </row>
    <row r="38" spans="1:9" ht="15.75" thickBot="1" x14ac:dyDescent="0.25"/>
    <row r="39" spans="1:9" x14ac:dyDescent="0.2">
      <c r="C39" s="355" t="s">
        <v>231</v>
      </c>
      <c r="D39" s="356" t="s">
        <v>381</v>
      </c>
      <c r="E39" s="356"/>
      <c r="F39" s="356" t="s">
        <v>382</v>
      </c>
      <c r="G39" s="357"/>
      <c r="H39" s="357"/>
      <c r="I39" s="358"/>
    </row>
    <row r="40" spans="1:9" x14ac:dyDescent="0.2">
      <c r="C40" s="380"/>
      <c r="D40" s="362"/>
      <c r="E40" s="362"/>
      <c r="F40" s="362"/>
      <c r="G40" s="362"/>
      <c r="H40" s="362"/>
      <c r="I40" s="365"/>
    </row>
    <row r="41" spans="1:9" x14ac:dyDescent="0.2">
      <c r="C41" s="359" t="s">
        <v>232</v>
      </c>
      <c r="D41" s="360">
        <f>D20</f>
        <v>100000</v>
      </c>
      <c r="E41" s="360"/>
      <c r="F41" s="360">
        <f>F20</f>
        <v>1471000</v>
      </c>
      <c r="G41" s="362"/>
      <c r="H41" s="362"/>
      <c r="I41" s="365"/>
    </row>
    <row r="42" spans="1:9" x14ac:dyDescent="0.2">
      <c r="C42" s="359" t="s">
        <v>233</v>
      </c>
      <c r="D42" s="360">
        <f>D41*$G42</f>
        <v>100000</v>
      </c>
      <c r="E42" s="360"/>
      <c r="F42" s="360">
        <f>F41*$G42</f>
        <v>1471000</v>
      </c>
      <c r="G42" s="383">
        <f>+D37</f>
        <v>1</v>
      </c>
      <c r="H42" s="362"/>
      <c r="I42" s="365"/>
    </row>
    <row r="43" spans="1:9" x14ac:dyDescent="0.2">
      <c r="A43" s="402" t="s">
        <v>424</v>
      </c>
      <c r="C43" s="359" t="s">
        <v>389</v>
      </c>
      <c r="D43" s="360">
        <f>D42*$G43</f>
        <v>100000</v>
      </c>
      <c r="E43" s="362"/>
      <c r="F43" s="360">
        <f>F42*$G43</f>
        <v>1471000</v>
      </c>
      <c r="G43" s="334">
        <v>1</v>
      </c>
      <c r="H43" s="362"/>
      <c r="I43" s="365"/>
    </row>
    <row r="44" spans="1:9" x14ac:dyDescent="0.2">
      <c r="C44" s="380"/>
      <c r="D44" s="362"/>
      <c r="E44" s="362"/>
      <c r="F44" s="362"/>
      <c r="G44" s="362"/>
      <c r="H44" s="362"/>
      <c r="I44" s="365"/>
    </row>
    <row r="45" spans="1:9" x14ac:dyDescent="0.2">
      <c r="A45" s="402" t="s">
        <v>424</v>
      </c>
      <c r="C45" s="359" t="s">
        <v>390</v>
      </c>
      <c r="D45" s="335">
        <v>3.2000000000000001E-2</v>
      </c>
      <c r="E45" s="362"/>
      <c r="F45" s="335">
        <v>3.2000000000000001E-2</v>
      </c>
      <c r="G45" s="362"/>
      <c r="H45" s="362"/>
      <c r="I45" s="365"/>
    </row>
    <row r="46" spans="1:9" x14ac:dyDescent="0.2">
      <c r="C46" s="380"/>
      <c r="D46" s="362"/>
      <c r="E46" s="362"/>
      <c r="F46" s="362"/>
      <c r="G46" s="362"/>
      <c r="H46" s="362"/>
      <c r="I46" s="365"/>
    </row>
    <row r="47" spans="1:9" x14ac:dyDescent="0.2">
      <c r="C47" s="359" t="s">
        <v>391</v>
      </c>
      <c r="D47" s="360">
        <f>+D43*D45</f>
        <v>3200</v>
      </c>
      <c r="E47" s="362"/>
      <c r="F47" s="360">
        <f>+F43*F45</f>
        <v>47072</v>
      </c>
      <c r="G47" s="362"/>
      <c r="H47" s="362"/>
      <c r="I47" s="365"/>
    </row>
    <row r="48" spans="1:9" x14ac:dyDescent="0.2">
      <c r="C48" s="380"/>
      <c r="D48" s="362"/>
      <c r="E48" s="362"/>
      <c r="F48" s="362"/>
      <c r="G48" s="362"/>
      <c r="H48" s="362"/>
      <c r="I48" s="365"/>
    </row>
    <row r="49" spans="1:14" x14ac:dyDescent="0.2">
      <c r="A49" s="402" t="s">
        <v>424</v>
      </c>
      <c r="C49" s="380" t="s">
        <v>393</v>
      </c>
      <c r="D49" s="384">
        <f>+F49</f>
        <v>0.9</v>
      </c>
      <c r="E49" s="362"/>
      <c r="F49" s="336">
        <v>0.9</v>
      </c>
      <c r="G49" s="362"/>
      <c r="H49" s="362"/>
      <c r="I49" s="365"/>
    </row>
    <row r="50" spans="1:14" x14ac:dyDescent="0.2">
      <c r="C50" s="380"/>
      <c r="D50" s="362"/>
      <c r="E50" s="362"/>
      <c r="F50" s="362"/>
      <c r="G50" s="362"/>
      <c r="H50" s="362"/>
      <c r="I50" s="365"/>
    </row>
    <row r="51" spans="1:14" x14ac:dyDescent="0.2">
      <c r="C51" s="380" t="s">
        <v>394</v>
      </c>
      <c r="D51" s="385">
        <f>ROUND(D47*10*D49,0)</f>
        <v>28800</v>
      </c>
      <c r="E51" s="385"/>
      <c r="F51" s="385">
        <f>ROUND(F47*10*F49,0)</f>
        <v>423648</v>
      </c>
      <c r="G51" s="362"/>
      <c r="H51" s="362"/>
      <c r="I51" s="365"/>
    </row>
    <row r="52" spans="1:14" x14ac:dyDescent="0.2">
      <c r="C52" s="380"/>
      <c r="D52" s="385"/>
      <c r="E52" s="385"/>
      <c r="F52" s="385"/>
      <c r="G52" s="362"/>
      <c r="H52" s="362"/>
      <c r="I52" s="365"/>
    </row>
    <row r="53" spans="1:14" x14ac:dyDescent="0.2">
      <c r="C53" s="386" t="s">
        <v>395</v>
      </c>
      <c r="D53" s="387">
        <f>+D51+F51</f>
        <v>452448</v>
      </c>
      <c r="E53" s="362"/>
      <c r="F53" s="362"/>
      <c r="G53" s="362"/>
      <c r="H53" s="362"/>
      <c r="I53" s="365"/>
    </row>
    <row r="54" spans="1:14" ht="15.75" thickBot="1" x14ac:dyDescent="0.25">
      <c r="A54" s="483" t="s">
        <v>424</v>
      </c>
      <c r="C54" s="388" t="s">
        <v>482</v>
      </c>
      <c r="D54" s="389">
        <f>+'Sources and Uses'!D16</f>
        <v>450000</v>
      </c>
      <c r="E54" s="372"/>
      <c r="F54" s="390" t="str">
        <f>IF(OR(D53=0,D54=0),"",IF(OR(K54&lt;90%,K54&gt;110%),"Verify LIHTC equity amount with applicant",""))</f>
        <v/>
      </c>
      <c r="G54" s="372"/>
      <c r="H54" s="372"/>
      <c r="I54" s="373"/>
      <c r="K54" s="531">
        <f>IF(D54=0,0,D53/D54)</f>
        <v>1.0054399999999999</v>
      </c>
      <c r="L54" s="532" t="s">
        <v>406</v>
      </c>
      <c r="N54" s="518"/>
    </row>
    <row r="56" spans="1:14" ht="30.75" customHeight="1" x14ac:dyDescent="0.2">
      <c r="C56" s="669"/>
      <c r="D56" s="670"/>
      <c r="E56" s="670"/>
      <c r="F56" s="670"/>
      <c r="G56" s="670"/>
      <c r="H56" s="670"/>
      <c r="I56" s="671"/>
    </row>
    <row r="58" spans="1:14" x14ac:dyDescent="0.2">
      <c r="C58" s="337" t="s">
        <v>528</v>
      </c>
      <c r="K58" s="518"/>
    </row>
    <row r="59" spans="1:14" x14ac:dyDescent="0.2">
      <c r="C59" s="337"/>
    </row>
  </sheetData>
  <sheetProtection password="CE0A" sheet="1" objects="1" scenarios="1" formatColumns="0"/>
  <mergeCells count="3">
    <mergeCell ref="G1:H1"/>
    <mergeCell ref="C4:I4"/>
    <mergeCell ref="C56:I56"/>
  </mergeCells>
  <phoneticPr fontId="0" type="noConversion"/>
  <dataValidations count="1">
    <dataValidation type="decimal" operator="lessThanOrEqual" allowBlank="1" showInputMessage="1" showErrorMessage="1" errorTitle="Negative Entry Required" error="Enter the Ineligible Source Costs as Negative $ Amounts" sqref="D11:F18" xr:uid="{00000000-0002-0000-0700-000000000000}">
      <formula1>0</formula1>
    </dataValidation>
  </dataValidations>
  <pageMargins left="0.75" right="0.75" top="1" bottom="1" header="0.5" footer="0.5"/>
  <pageSetup scale="58" orientation="portrait" r:id="rId1"/>
  <headerFooter alignWithMargins="0">
    <oddHeader>&amp;L&amp;F&amp;R&amp;A</oddHeader>
    <oddFooter>&amp;LPage &amp;P of &amp;N&amp;RPrinted &amp;D</oddFooter>
  </headerFooter>
  <colBreaks count="3" manualBreakCount="3">
    <brk id="13" max="1048575" man="1"/>
    <brk id="22" max="1048575" man="1"/>
    <brk id="3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6648" r:id="rId4" name="Button 24">
              <controlPr defaultSize="0" print="0" autoFill="0" autoPict="0" macro="[0]!HideLIHTC">
                <anchor moveWithCells="1" sizeWithCells="1">
                  <from>
                    <xdr:col>7</xdr:col>
                    <xdr:colOff>171450</xdr:colOff>
                    <xdr:row>10</xdr:row>
                    <xdr:rowOff>142875</xdr:rowOff>
                  </from>
                  <to>
                    <xdr:col>7</xdr:col>
                    <xdr:colOff>2095500</xdr:colOff>
                    <xdr:row>12</xdr:row>
                    <xdr:rowOff>95250</xdr:rowOff>
                  </to>
                </anchor>
              </controlPr>
            </control>
          </mc:Choice>
        </mc:AlternateContent>
        <mc:AlternateContent xmlns:mc="http://schemas.openxmlformats.org/markup-compatibility/2006">
          <mc:Choice Requires="x14">
            <control shapeId="26649" r:id="rId5" name="Button 25">
              <controlPr defaultSize="0" print="0" autoFill="0" autoPict="0" macro="[0]!ShowLIHTC">
                <anchor moveWithCells="1" sizeWithCells="1">
                  <from>
                    <xdr:col>7</xdr:col>
                    <xdr:colOff>171450</xdr:colOff>
                    <xdr:row>13</xdr:row>
                    <xdr:rowOff>142875</xdr:rowOff>
                  </from>
                  <to>
                    <xdr:col>7</xdr:col>
                    <xdr:colOff>2095500</xdr:colOff>
                    <xdr:row>15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autoPageBreaks="0" fitToPage="1"/>
  </sheetPr>
  <dimension ref="A1:I634"/>
  <sheetViews>
    <sheetView showGridLines="0" zoomScaleNormal="100" zoomScaleSheetLayoutView="70" workbookViewId="0">
      <selection activeCell="A2" sqref="A2"/>
    </sheetView>
  </sheetViews>
  <sheetFormatPr defaultColWidth="9.140625" defaultRowHeight="12.75" zeroHeight="1" x14ac:dyDescent="0.2"/>
  <cols>
    <col min="1" max="1" width="4.28515625" customWidth="1"/>
    <col min="2" max="2" width="1.7109375" customWidth="1"/>
    <col min="3" max="3" width="60.42578125" customWidth="1"/>
    <col min="4" max="4" width="16.140625" customWidth="1"/>
    <col min="5" max="6" width="14.140625" customWidth="1"/>
    <col min="7" max="7" width="44.140625" customWidth="1"/>
    <col min="8" max="8" width="3.5703125" customWidth="1"/>
  </cols>
  <sheetData>
    <row r="1" spans="1:9" s="7" customFormat="1" ht="38.25" customHeight="1" x14ac:dyDescent="0.2">
      <c r="A1" s="515" t="s">
        <v>424</v>
      </c>
      <c r="C1" s="45" t="s">
        <v>113</v>
      </c>
      <c r="D1" s="45"/>
      <c r="E1" s="727" t="s">
        <v>59</v>
      </c>
      <c r="F1" s="727"/>
      <c r="G1" s="9"/>
      <c r="H1" s="9"/>
      <c r="I1" s="519"/>
    </row>
    <row r="2" spans="1:9" s="3" customFormat="1" ht="15.75" customHeight="1" x14ac:dyDescent="0.25">
      <c r="C2" s="29" t="str">
        <f>Requirements!C4</f>
        <v>Project Name - Sample Project : 20 Units</v>
      </c>
      <c r="D2" s="44"/>
      <c r="E2" s="88"/>
      <c r="F2" s="88"/>
    </row>
    <row r="3" spans="1:9" s="3" customFormat="1" ht="51" customHeight="1" x14ac:dyDescent="0.2">
      <c r="C3" s="53" t="s">
        <v>107</v>
      </c>
      <c r="D3" s="53" t="s">
        <v>124</v>
      </c>
      <c r="E3" s="89" t="s">
        <v>123</v>
      </c>
      <c r="F3" s="204" t="s">
        <v>309</v>
      </c>
      <c r="G3" s="204" t="s">
        <v>273</v>
      </c>
    </row>
    <row r="4" spans="1:9" s="3" customFormat="1" ht="15" customHeight="1" x14ac:dyDescent="0.2">
      <c r="C4" s="71" t="s">
        <v>302</v>
      </c>
      <c r="D4" s="90"/>
      <c r="E4" s="73"/>
      <c r="F4" s="73"/>
      <c r="G4" s="477"/>
      <c r="I4" s="261"/>
    </row>
    <row r="5" spans="1:9" s="3" customFormat="1" ht="15" x14ac:dyDescent="0.2">
      <c r="A5" s="402" t="s">
        <v>424</v>
      </c>
      <c r="C5" s="72" t="s">
        <v>108</v>
      </c>
      <c r="D5" s="458">
        <v>7500</v>
      </c>
      <c r="E5" s="433">
        <f>D5/12</f>
        <v>625</v>
      </c>
      <c r="F5" s="434">
        <f>IF('Rents and Income'!$E$31=0,0,IF(D5=0,"",D5/'Rents and Income'!$E$31))</f>
        <v>375</v>
      </c>
      <c r="G5" s="260"/>
    </row>
    <row r="6" spans="1:9" s="3" customFormat="1" ht="15" x14ac:dyDescent="0.2">
      <c r="A6" s="476" t="s">
        <v>424</v>
      </c>
      <c r="C6" s="72" t="s">
        <v>204</v>
      </c>
      <c r="D6" s="458">
        <v>15000</v>
      </c>
      <c r="E6" s="433">
        <f t="shared" ref="E6:E14" si="0">D6/12</f>
        <v>1250</v>
      </c>
      <c r="F6" s="434">
        <f>IF('Rents and Income'!$E$31=0,0,IF(D6=0,"",D6/'Rents and Income'!$E$31))</f>
        <v>750</v>
      </c>
      <c r="G6" s="260"/>
    </row>
    <row r="7" spans="1:9" s="3" customFormat="1" ht="15" x14ac:dyDescent="0.2">
      <c r="A7" s="481" t="s">
        <v>424</v>
      </c>
      <c r="C7" s="203" t="s">
        <v>477</v>
      </c>
      <c r="D7" s="458"/>
      <c r="E7" s="433">
        <f>D7/12</f>
        <v>0</v>
      </c>
      <c r="F7" s="434" t="str">
        <f>IF('Rents and Income'!$E$31=0,0,IF(D7=0,"",D7/'Rents and Income'!$E$31))</f>
        <v/>
      </c>
      <c r="G7" s="260"/>
    </row>
    <row r="8" spans="1:9" s="3" customFormat="1" ht="15" x14ac:dyDescent="0.2">
      <c r="A8" s="476" t="s">
        <v>424</v>
      </c>
      <c r="C8" s="72" t="s">
        <v>109</v>
      </c>
      <c r="D8" s="458">
        <v>5000</v>
      </c>
      <c r="E8" s="433">
        <f t="shared" si="0"/>
        <v>416.66666666666669</v>
      </c>
      <c r="F8" s="434">
        <f>IF('Rents and Income'!$E$31=0,0,IF(D8=0,"",D8/'Rents and Income'!$E$31))</f>
        <v>250</v>
      </c>
      <c r="G8" s="260"/>
    </row>
    <row r="9" spans="1:9" s="3" customFormat="1" ht="15" x14ac:dyDescent="0.2">
      <c r="A9" s="476" t="s">
        <v>424</v>
      </c>
      <c r="C9" s="72" t="s">
        <v>110</v>
      </c>
      <c r="D9" s="458">
        <v>5000</v>
      </c>
      <c r="E9" s="433">
        <f t="shared" si="0"/>
        <v>416.66666666666669</v>
      </c>
      <c r="F9" s="434">
        <f>IF('Rents and Income'!$E$31=0,0,IF(D9=0,"",D9/'Rents and Income'!$E$31))</f>
        <v>250</v>
      </c>
      <c r="G9" s="260"/>
    </row>
    <row r="10" spans="1:9" s="3" customFormat="1" ht="15" x14ac:dyDescent="0.2">
      <c r="A10" s="704" t="s">
        <v>424</v>
      </c>
      <c r="C10" s="72" t="s">
        <v>111</v>
      </c>
      <c r="D10" s="458">
        <v>2000</v>
      </c>
      <c r="E10" s="433">
        <f t="shared" si="0"/>
        <v>166.66666666666666</v>
      </c>
      <c r="F10" s="434">
        <f>IF('Rents and Income'!$E$31=0,0,IF(D10=0,"",D10/'Rents and Income'!$E$31))</f>
        <v>100</v>
      </c>
      <c r="G10" s="260"/>
    </row>
    <row r="11" spans="1:9" s="3" customFormat="1" ht="15" x14ac:dyDescent="0.2">
      <c r="A11" s="704"/>
      <c r="C11" s="72" t="s">
        <v>112</v>
      </c>
      <c r="D11" s="458">
        <v>2000</v>
      </c>
      <c r="E11" s="433">
        <f t="shared" si="0"/>
        <v>166.66666666666666</v>
      </c>
      <c r="F11" s="434">
        <f>IF('Rents and Income'!$E$31=0,0,IF(D11=0,"",D11/'Rents and Income'!$E$31))</f>
        <v>100</v>
      </c>
      <c r="G11" s="260"/>
    </row>
    <row r="12" spans="1:9" s="3" customFormat="1" ht="15" x14ac:dyDescent="0.2">
      <c r="A12" s="559" t="s">
        <v>424</v>
      </c>
      <c r="C12" s="558" t="s">
        <v>590</v>
      </c>
      <c r="D12" s="458"/>
      <c r="E12" s="433">
        <f t="shared" ref="E12" si="1">D12/12</f>
        <v>0</v>
      </c>
      <c r="F12" s="434" t="str">
        <f>IF('Rents and Income'!$E$31=0,0,IF(D12=0,"",D12/'Rents and Income'!$E$31))</f>
        <v/>
      </c>
      <c r="G12" s="260"/>
    </row>
    <row r="13" spans="1:9" s="3" customFormat="1" ht="15" x14ac:dyDescent="0.2">
      <c r="A13" s="704" t="s">
        <v>424</v>
      </c>
      <c r="C13" s="78"/>
      <c r="D13" s="458"/>
      <c r="E13" s="433">
        <f t="shared" si="0"/>
        <v>0</v>
      </c>
      <c r="F13" s="434" t="str">
        <f>IF('Rents and Income'!$E$31=0,0,IF(D13=0,"",D13/'Rents and Income'!$E$31))</f>
        <v/>
      </c>
      <c r="G13" s="260"/>
    </row>
    <row r="14" spans="1:9" s="3" customFormat="1" ht="15" x14ac:dyDescent="0.2">
      <c r="A14" s="704"/>
      <c r="C14" s="78"/>
      <c r="D14" s="458"/>
      <c r="E14" s="433">
        <f t="shared" si="0"/>
        <v>0</v>
      </c>
      <c r="F14" s="434" t="str">
        <f>IF('Rents and Income'!$E$31=0,0,IF(D14=0,"",D14/'Rents and Income'!$E$31))</f>
        <v/>
      </c>
      <c r="G14" s="260"/>
    </row>
    <row r="15" spans="1:9" s="3" customFormat="1" ht="15" x14ac:dyDescent="0.2">
      <c r="A15"/>
      <c r="C15" s="71" t="s">
        <v>174</v>
      </c>
      <c r="D15" s="459"/>
      <c r="E15" s="435"/>
      <c r="F15" s="436"/>
      <c r="G15" s="478"/>
    </row>
    <row r="16" spans="1:9" s="3" customFormat="1" ht="15" x14ac:dyDescent="0.2">
      <c r="A16" s="476" t="s">
        <v>424</v>
      </c>
      <c r="C16" s="72" t="s">
        <v>114</v>
      </c>
      <c r="D16" s="458"/>
      <c r="E16" s="433">
        <f t="shared" ref="E16:E29" si="2">D16/12</f>
        <v>0</v>
      </c>
      <c r="F16" s="434" t="str">
        <f>IF('Rents and Income'!$E$31=0,0,IF(D16=0,"",D16/'Rents and Income'!$E$31))</f>
        <v/>
      </c>
      <c r="G16" s="260"/>
    </row>
    <row r="17" spans="1:7" s="3" customFormat="1" ht="15" x14ac:dyDescent="0.2">
      <c r="A17" s="476" t="s">
        <v>424</v>
      </c>
      <c r="C17" s="72" t="s">
        <v>303</v>
      </c>
      <c r="D17" s="458">
        <v>15000</v>
      </c>
      <c r="E17" s="433">
        <f t="shared" si="2"/>
        <v>1250</v>
      </c>
      <c r="F17" s="434">
        <f>IF('Rents and Income'!$E$31=0,0,IF(D17=0,"",D17/'Rents and Income'!$E$31))</f>
        <v>750</v>
      </c>
      <c r="G17" s="260"/>
    </row>
    <row r="18" spans="1:7" s="3" customFormat="1" ht="15" x14ac:dyDescent="0.2">
      <c r="A18" s="704" t="s">
        <v>424</v>
      </c>
      <c r="C18" s="72" t="s">
        <v>304</v>
      </c>
      <c r="D18" s="458">
        <v>5000</v>
      </c>
      <c r="E18" s="433">
        <f>D18/12</f>
        <v>416.66666666666669</v>
      </c>
      <c r="F18" s="434">
        <f>IF('Rents and Income'!$E$31=0,0,IF(D18=0,"",D18/'Rents and Income'!$E$31))</f>
        <v>250</v>
      </c>
      <c r="G18" s="260"/>
    </row>
    <row r="19" spans="1:7" s="3" customFormat="1" ht="15" x14ac:dyDescent="0.2">
      <c r="A19" s="704"/>
      <c r="C19" s="203" t="s">
        <v>305</v>
      </c>
      <c r="D19" s="458">
        <v>5000</v>
      </c>
      <c r="E19" s="433">
        <f>D19/12</f>
        <v>416.66666666666669</v>
      </c>
      <c r="F19" s="434">
        <f>IF('Rents and Income'!$E$31=0,0,IF(D19=0,"",D19/'Rents and Income'!$E$31))</f>
        <v>250</v>
      </c>
      <c r="G19" s="260"/>
    </row>
    <row r="20" spans="1:7" s="3" customFormat="1" ht="15" x14ac:dyDescent="0.2">
      <c r="A20" s="476" t="s">
        <v>424</v>
      </c>
      <c r="C20" s="72" t="s">
        <v>115</v>
      </c>
      <c r="D20" s="458"/>
      <c r="E20" s="433">
        <f t="shared" si="2"/>
        <v>0</v>
      </c>
      <c r="F20" s="434" t="str">
        <f>IF('Rents and Income'!$E$31=0,0,IF(D20=0,"",D20/'Rents and Income'!$E$31))</f>
        <v/>
      </c>
      <c r="G20" s="260"/>
    </row>
    <row r="21" spans="1:7" s="3" customFormat="1" ht="15" x14ac:dyDescent="0.2">
      <c r="A21" s="476" t="s">
        <v>424</v>
      </c>
      <c r="C21" s="72" t="s">
        <v>116</v>
      </c>
      <c r="D21" s="458"/>
      <c r="E21" s="433">
        <f t="shared" si="2"/>
        <v>0</v>
      </c>
      <c r="F21" s="434" t="str">
        <f>IF('Rents and Income'!$E$31=0,0,IF(D21=0,"",D21/'Rents and Income'!$E$31))</f>
        <v/>
      </c>
      <c r="G21" s="260"/>
    </row>
    <row r="22" spans="1:7" s="3" customFormat="1" ht="15" x14ac:dyDescent="0.2">
      <c r="A22" s="476" t="s">
        <v>424</v>
      </c>
      <c r="C22" s="72" t="s">
        <v>175</v>
      </c>
      <c r="D22" s="458">
        <v>5000</v>
      </c>
      <c r="E22" s="433">
        <f t="shared" si="2"/>
        <v>416.66666666666669</v>
      </c>
      <c r="F22" s="434">
        <f>IF('Rents and Income'!$E$31=0,0,IF(D22=0,"",D22/'Rents and Income'!$E$31))</f>
        <v>250</v>
      </c>
      <c r="G22" s="260"/>
    </row>
    <row r="23" spans="1:7" s="3" customFormat="1" ht="15" x14ac:dyDescent="0.2">
      <c r="A23" s="704" t="s">
        <v>424</v>
      </c>
      <c r="C23" s="72" t="s">
        <v>117</v>
      </c>
      <c r="D23" s="458">
        <v>2000</v>
      </c>
      <c r="E23" s="433">
        <f t="shared" si="2"/>
        <v>166.66666666666666</v>
      </c>
      <c r="F23" s="434">
        <f>IF('Rents and Income'!$E$31=0,0,IF(D23=0,"",D23/'Rents and Income'!$E$31))</f>
        <v>100</v>
      </c>
      <c r="G23" s="260"/>
    </row>
    <row r="24" spans="1:7" s="3" customFormat="1" ht="15" x14ac:dyDescent="0.2">
      <c r="A24" s="704"/>
      <c r="C24" s="72" t="s">
        <v>118</v>
      </c>
      <c r="D24" s="458"/>
      <c r="E24" s="433">
        <f t="shared" si="2"/>
        <v>0</v>
      </c>
      <c r="F24" s="434" t="str">
        <f>IF('Rents and Income'!$E$31=0,0,IF(D24=0,"",D24/'Rents and Income'!$E$31))</f>
        <v/>
      </c>
      <c r="G24" s="260"/>
    </row>
    <row r="25" spans="1:7" s="3" customFormat="1" ht="15" x14ac:dyDescent="0.2">
      <c r="A25" s="704"/>
      <c r="C25" s="72" t="s">
        <v>139</v>
      </c>
      <c r="D25" s="458">
        <v>3000</v>
      </c>
      <c r="E25" s="433">
        <f t="shared" si="2"/>
        <v>250</v>
      </c>
      <c r="F25" s="434">
        <f>IF('Rents and Income'!$E$31=0,0,IF(D25=0,"",D25/'Rents and Income'!$E$31))</f>
        <v>150</v>
      </c>
      <c r="G25" s="260"/>
    </row>
    <row r="26" spans="1:7" s="3" customFormat="1" ht="15" x14ac:dyDescent="0.2">
      <c r="A26" s="704"/>
      <c r="C26" s="72" t="s">
        <v>138</v>
      </c>
      <c r="D26" s="458"/>
      <c r="E26" s="433">
        <f t="shared" si="2"/>
        <v>0</v>
      </c>
      <c r="F26" s="434" t="str">
        <f>IF('Rents and Income'!$E$31=0,0,IF(D26=0,"",D26/'Rents and Income'!$E$31))</f>
        <v/>
      </c>
      <c r="G26" s="260"/>
    </row>
    <row r="27" spans="1:7" s="3" customFormat="1" ht="15" x14ac:dyDescent="0.2">
      <c r="A27" s="476" t="s">
        <v>424</v>
      </c>
      <c r="C27" s="72" t="s">
        <v>185</v>
      </c>
      <c r="D27" s="458">
        <v>2000</v>
      </c>
      <c r="E27" s="433">
        <f t="shared" si="2"/>
        <v>166.66666666666666</v>
      </c>
      <c r="F27" s="434">
        <f>IF('Rents and Income'!$E$31=0,0,IF(D27=0,"",D27/'Rents and Income'!$E$31))</f>
        <v>100</v>
      </c>
      <c r="G27" s="260"/>
    </row>
    <row r="28" spans="1:7" s="3" customFormat="1" ht="15" x14ac:dyDescent="0.2">
      <c r="A28" s="704" t="s">
        <v>424</v>
      </c>
      <c r="C28" s="78"/>
      <c r="D28" s="458"/>
      <c r="E28" s="433">
        <f t="shared" si="2"/>
        <v>0</v>
      </c>
      <c r="F28" s="434" t="str">
        <f>IF('Rents and Income'!$E$31=0,0,IF(D28=0,"",D28/'Rents and Income'!$E$31))</f>
        <v/>
      </c>
      <c r="G28" s="260"/>
    </row>
    <row r="29" spans="1:7" s="3" customFormat="1" ht="15" x14ac:dyDescent="0.2">
      <c r="A29" s="704"/>
      <c r="C29" s="78"/>
      <c r="D29" s="458"/>
      <c r="E29" s="433">
        <f t="shared" si="2"/>
        <v>0</v>
      </c>
      <c r="F29" s="434" t="str">
        <f>IF('Rents and Income'!$E$31=0,0,IF(D29=0,"",D29/'Rents and Income'!$E$31))</f>
        <v/>
      </c>
      <c r="G29" s="260"/>
    </row>
    <row r="30" spans="1:7" s="3" customFormat="1" ht="15" x14ac:dyDescent="0.2">
      <c r="A30"/>
      <c r="C30" s="71" t="s">
        <v>119</v>
      </c>
      <c r="D30" s="460"/>
      <c r="E30" s="435"/>
      <c r="F30" s="436"/>
      <c r="G30" s="478"/>
    </row>
    <row r="31" spans="1:7" s="3" customFormat="1" ht="15" x14ac:dyDescent="0.2">
      <c r="A31" s="704" t="s">
        <v>424</v>
      </c>
      <c r="C31" s="72" t="s">
        <v>120</v>
      </c>
      <c r="D31" s="458">
        <v>1000</v>
      </c>
      <c r="E31" s="433">
        <f>D31/12</f>
        <v>83.333333333333329</v>
      </c>
      <c r="F31" s="434">
        <f>IF('Rents and Income'!$E$31=0,0,IF(D31=0,"",D31/'Rents and Income'!$E$31))</f>
        <v>50</v>
      </c>
      <c r="G31" s="260"/>
    </row>
    <row r="32" spans="1:7" s="3" customFormat="1" ht="15" x14ac:dyDescent="0.2">
      <c r="A32" s="704"/>
      <c r="C32" s="72" t="s">
        <v>176</v>
      </c>
      <c r="D32" s="458">
        <v>1000</v>
      </c>
      <c r="E32" s="433">
        <f>D32/12</f>
        <v>83.333333333333329</v>
      </c>
      <c r="F32" s="434">
        <f>IF('Rents and Income'!$E$31=0,0,IF(D32=0,"",D32/'Rents and Income'!$E$31))</f>
        <v>50</v>
      </c>
      <c r="G32" s="260"/>
    </row>
    <row r="33" spans="1:7" s="3" customFormat="1" ht="15" x14ac:dyDescent="0.2">
      <c r="A33" s="704"/>
      <c r="C33" s="72" t="s">
        <v>121</v>
      </c>
      <c r="D33" s="458">
        <v>10000</v>
      </c>
      <c r="E33" s="433">
        <f>D33/12</f>
        <v>833.33333333333337</v>
      </c>
      <c r="F33" s="434">
        <f>IF('Rents and Income'!$E$31=0,0,IF(D33=0,"",D33/'Rents and Income'!$E$31))</f>
        <v>500</v>
      </c>
      <c r="G33" s="260"/>
    </row>
    <row r="34" spans="1:7" s="3" customFormat="1" ht="15" x14ac:dyDescent="0.2">
      <c r="A34" s="476" t="s">
        <v>424</v>
      </c>
      <c r="C34" s="78"/>
      <c r="D34" s="458"/>
      <c r="E34" s="433">
        <f>D34/12</f>
        <v>0</v>
      </c>
      <c r="F34" s="434" t="str">
        <f>IF('Rents and Income'!$E$31=0,0,IF(D34=0,"",D34/'Rents and Income'!$E$31))</f>
        <v/>
      </c>
      <c r="G34" s="260"/>
    </row>
    <row r="35" spans="1:7" s="3" customFormat="1" ht="15" x14ac:dyDescent="0.2">
      <c r="A35"/>
      <c r="C35" s="71" t="s">
        <v>463</v>
      </c>
      <c r="D35" s="460"/>
      <c r="E35" s="435"/>
      <c r="F35" s="436"/>
      <c r="G35" s="479"/>
    </row>
    <row r="36" spans="1:7" s="3" customFormat="1" ht="15" x14ac:dyDescent="0.2">
      <c r="A36" s="704" t="s">
        <v>424</v>
      </c>
      <c r="C36" s="72" t="s">
        <v>177</v>
      </c>
      <c r="D36" s="458">
        <v>0</v>
      </c>
      <c r="E36" s="433">
        <f>D36/12</f>
        <v>0</v>
      </c>
      <c r="F36" s="434" t="str">
        <f>IF('Rents and Income'!$E$31=0,0,IF(D36=0,"",D36/'Rents and Income'!$E$31))</f>
        <v/>
      </c>
      <c r="G36" s="260"/>
    </row>
    <row r="37" spans="1:7" s="3" customFormat="1" ht="15" x14ac:dyDescent="0.2">
      <c r="A37" s="704"/>
      <c r="C37" s="203" t="s">
        <v>306</v>
      </c>
      <c r="D37" s="458">
        <v>1500</v>
      </c>
      <c r="E37" s="433"/>
      <c r="F37" s="434">
        <f>IF('Rents and Income'!$E$31=0,0,IF(D37=0,"",D37/'Rents and Income'!$E$31))</f>
        <v>75</v>
      </c>
      <c r="G37" s="260"/>
    </row>
    <row r="38" spans="1:7" s="3" customFormat="1" ht="15" x14ac:dyDescent="0.2">
      <c r="A38" s="704"/>
      <c r="C38" s="72" t="s">
        <v>178</v>
      </c>
      <c r="D38" s="458"/>
      <c r="E38" s="433">
        <f>D38/12</f>
        <v>0</v>
      </c>
      <c r="F38" s="434" t="str">
        <f>IF('Rents and Income'!$E$31=0,0,IF(D38=0,"",D38/'Rents and Income'!$E$31))</f>
        <v/>
      </c>
      <c r="G38" s="260"/>
    </row>
    <row r="39" spans="1:7" s="3" customFormat="1" ht="15" x14ac:dyDescent="0.2">
      <c r="A39" s="476" t="s">
        <v>424</v>
      </c>
      <c r="C39" s="72" t="s">
        <v>122</v>
      </c>
      <c r="D39" s="458">
        <v>8000</v>
      </c>
      <c r="E39" s="433">
        <f>D39/12</f>
        <v>666.66666666666663</v>
      </c>
      <c r="F39" s="434">
        <f>IF('Rents and Income'!$E$31=0,0,IF(D39=0,"",D39/'Rents and Income'!$E$31))</f>
        <v>400</v>
      </c>
      <c r="G39" s="260"/>
    </row>
    <row r="40" spans="1:7" s="3" customFormat="1" ht="15" x14ac:dyDescent="0.2">
      <c r="A40" s="704" t="s">
        <v>424</v>
      </c>
      <c r="C40" s="203" t="s">
        <v>307</v>
      </c>
      <c r="D40" s="458">
        <v>1000</v>
      </c>
      <c r="E40" s="433"/>
      <c r="F40" s="434">
        <f>IF('Rents and Income'!$E$31=0,0,IF(D40=0,"",D40/'Rents and Income'!$E$31))</f>
        <v>50</v>
      </c>
      <c r="G40" s="260"/>
    </row>
    <row r="41" spans="1:7" s="3" customFormat="1" ht="15" x14ac:dyDescent="0.2">
      <c r="A41" s="704"/>
      <c r="C41" s="203" t="s">
        <v>308</v>
      </c>
      <c r="D41" s="458">
        <v>4000</v>
      </c>
      <c r="E41" s="433"/>
      <c r="F41" s="434">
        <f>IF('Rents and Income'!$E$31=0,0,IF(D41=0,"",D41/'Rents and Income'!$E$31))</f>
        <v>200</v>
      </c>
      <c r="G41" s="260"/>
    </row>
    <row r="42" spans="1:7" s="3" customFormat="1" ht="15" x14ac:dyDescent="0.2">
      <c r="A42" s="704" t="s">
        <v>424</v>
      </c>
      <c r="C42" s="78"/>
      <c r="D42" s="458"/>
      <c r="E42" s="433">
        <f>D42/12</f>
        <v>0</v>
      </c>
      <c r="F42" s="434" t="str">
        <f>IF('Rents and Income'!$E$31=0,0,IF(D42=0,"",D42/'Rents and Income'!$E$31))</f>
        <v/>
      </c>
      <c r="G42" s="260"/>
    </row>
    <row r="43" spans="1:7" s="3" customFormat="1" ht="15" x14ac:dyDescent="0.2">
      <c r="A43" s="704"/>
      <c r="C43" s="78"/>
      <c r="D43" s="458"/>
      <c r="E43" s="433">
        <f>D43/12</f>
        <v>0</v>
      </c>
      <c r="F43" s="434" t="str">
        <f>IF('Rents and Income'!$E$31=0,0,IF(D43=0,"",D43/'Rents and Income'!$E$31))</f>
        <v/>
      </c>
      <c r="G43" s="260"/>
    </row>
    <row r="44" spans="1:7" ht="15" x14ac:dyDescent="0.2">
      <c r="C44" s="44"/>
      <c r="D44" s="461"/>
      <c r="E44" s="437"/>
      <c r="F44" s="437"/>
    </row>
    <row r="45" spans="1:7" s="3" customFormat="1" ht="15" x14ac:dyDescent="0.2">
      <c r="C45" s="71" t="s">
        <v>310</v>
      </c>
      <c r="D45" s="433">
        <f>SUM(D4:D44)</f>
        <v>100000</v>
      </c>
      <c r="E45" s="433">
        <f>D45/12</f>
        <v>8333.3333333333339</v>
      </c>
      <c r="F45" s="433">
        <f>IF('Rents and Income'!$E$31=0,0,IF(D45=0,"",D45/'Rents and Income'!$E$31))</f>
        <v>5000</v>
      </c>
    </row>
    <row r="46" spans="1:7" ht="15" x14ac:dyDescent="0.2">
      <c r="C46" s="44"/>
      <c r="D46" s="461"/>
      <c r="E46" s="437"/>
      <c r="F46" s="437"/>
    </row>
    <row r="47" spans="1:7" s="3" customFormat="1" ht="15" x14ac:dyDescent="0.2">
      <c r="A47" s="402" t="s">
        <v>424</v>
      </c>
      <c r="C47" s="72" t="s">
        <v>311</v>
      </c>
      <c r="D47" s="458">
        <v>20500</v>
      </c>
      <c r="E47" s="433">
        <f>D47/12</f>
        <v>1708.3333333333333</v>
      </c>
      <c r="F47" s="433">
        <f>IF('Rents and Income'!$E$31=0,0,IF(D47=0,"",D47/'Rents and Income'!$E$31))</f>
        <v>1025</v>
      </c>
      <c r="G47" s="260"/>
    </row>
    <row r="48" spans="1:7" ht="15" x14ac:dyDescent="0.2">
      <c r="C48" s="44"/>
      <c r="D48" s="461"/>
      <c r="E48" s="437"/>
      <c r="F48" s="437"/>
    </row>
    <row r="49" spans="3:9" s="3" customFormat="1" ht="15" x14ac:dyDescent="0.2">
      <c r="C49" s="71" t="s">
        <v>312</v>
      </c>
      <c r="D49" s="433">
        <f>+D45+D47</f>
        <v>120500</v>
      </c>
      <c r="E49" s="433">
        <f>D49/12</f>
        <v>10041.666666666666</v>
      </c>
      <c r="F49" s="433">
        <f>IF('Rents and Income'!$E$31=0,0,IF(D49=0,"",D49/'Rents and Income'!$E$31))</f>
        <v>6025</v>
      </c>
    </row>
    <row r="50" spans="3:9" x14ac:dyDescent="0.2">
      <c r="C50" s="44"/>
      <c r="D50" s="44"/>
      <c r="E50" s="91"/>
      <c r="F50" s="91"/>
    </row>
    <row r="51" spans="3:9" ht="15" x14ac:dyDescent="0.2">
      <c r="C51" s="71" t="s">
        <v>604</v>
      </c>
      <c r="D51" s="433">
        <f>SUM(D4:D15)</f>
        <v>36500</v>
      </c>
      <c r="E51" s="433">
        <f>SUM(E4:E15)</f>
        <v>3041.6666666666661</v>
      </c>
      <c r="F51" s="433">
        <f>SUM(F4:F15)</f>
        <v>1825</v>
      </c>
    </row>
    <row r="52" spans="3:9" ht="15" x14ac:dyDescent="0.2">
      <c r="C52" s="71" t="s">
        <v>605</v>
      </c>
      <c r="D52" s="433">
        <f>SUM(D15:D30)</f>
        <v>37000</v>
      </c>
      <c r="E52" s="433">
        <f>SUM(E15:E30)</f>
        <v>3083.333333333333</v>
      </c>
      <c r="F52" s="433">
        <f>SUM(F15:F30)</f>
        <v>1850</v>
      </c>
    </row>
    <row r="53" spans="3:9" ht="15" x14ac:dyDescent="0.2">
      <c r="C53" s="71" t="s">
        <v>606</v>
      </c>
      <c r="D53" s="433">
        <f>SUM(D30:D35)</f>
        <v>12000</v>
      </c>
      <c r="E53" s="433">
        <f>SUM(E30:E35)</f>
        <v>1000</v>
      </c>
      <c r="F53" s="433">
        <f>SUM(F30:F35)</f>
        <v>600</v>
      </c>
    </row>
    <row r="54" spans="3:9" ht="15" x14ac:dyDescent="0.2">
      <c r="C54" s="71" t="s">
        <v>607</v>
      </c>
      <c r="D54" s="433">
        <f>SUM(D35:D44)</f>
        <v>14500</v>
      </c>
      <c r="E54" s="433">
        <f>SUM(E35:E44)</f>
        <v>666.66666666666663</v>
      </c>
      <c r="F54" s="433">
        <f>SUM(F35:F44)</f>
        <v>725</v>
      </c>
    </row>
    <row r="55" spans="3:9" ht="15" x14ac:dyDescent="0.2">
      <c r="C55" s="580" t="s">
        <v>310</v>
      </c>
      <c r="D55" s="433">
        <f>SUM(D50:D54)</f>
        <v>100000</v>
      </c>
      <c r="E55" s="433">
        <f>SUM(E50:E54)</f>
        <v>7791.6666666666661</v>
      </c>
      <c r="F55" s="433">
        <f>SUM(F50:F54)</f>
        <v>5000</v>
      </c>
    </row>
    <row r="56" spans="3:9" x14ac:dyDescent="0.2">
      <c r="C56" s="44"/>
      <c r="D56" s="44"/>
      <c r="E56" s="91"/>
      <c r="F56" s="91"/>
    </row>
    <row r="57" spans="3:9" ht="26.25" customHeight="1" x14ac:dyDescent="0.2">
      <c r="C57" s="669"/>
      <c r="D57" s="670"/>
      <c r="E57" s="670"/>
      <c r="F57" s="670"/>
      <c r="G57" s="671"/>
    </row>
    <row r="58" spans="3:9" x14ac:dyDescent="0.2">
      <c r="C58" s="44"/>
      <c r="D58" s="44"/>
      <c r="E58" s="91"/>
      <c r="F58" s="91"/>
    </row>
    <row r="59" spans="3:9" x14ac:dyDescent="0.2">
      <c r="C59" s="44" t="s">
        <v>532</v>
      </c>
      <c r="E59" s="91"/>
      <c r="F59" s="175"/>
      <c r="I59" s="513"/>
    </row>
    <row r="60" spans="3:9" x14ac:dyDescent="0.2">
      <c r="C60" s="44"/>
      <c r="D60" s="44"/>
      <c r="E60" s="91"/>
      <c r="F60" s="91"/>
    </row>
    <row r="61" spans="3:9" x14ac:dyDescent="0.2">
      <c r="C61" s="44"/>
      <c r="D61" s="44"/>
      <c r="E61" s="44"/>
      <c r="F61" s="44"/>
    </row>
    <row r="62" spans="3:9" x14ac:dyDescent="0.2">
      <c r="C62" s="44"/>
      <c r="D62" s="44"/>
      <c r="E62" s="44"/>
      <c r="F62" s="44"/>
    </row>
    <row r="63" spans="3:9" x14ac:dyDescent="0.2">
      <c r="C63" s="3"/>
      <c r="D63" s="3"/>
    </row>
    <row r="64" spans="3:9" hidden="1" x14ac:dyDescent="0.2">
      <c r="C64" s="3"/>
      <c r="D64" s="3"/>
    </row>
    <row r="65" spans="3:4" hidden="1" x14ac:dyDescent="0.2">
      <c r="C65" s="3"/>
      <c r="D65" s="3"/>
    </row>
    <row r="66" spans="3:4" hidden="1" x14ac:dyDescent="0.2">
      <c r="C66" s="3"/>
      <c r="D66" s="3"/>
    </row>
    <row r="67" spans="3:4" hidden="1" x14ac:dyDescent="0.2">
      <c r="C67" s="3"/>
      <c r="D67" s="3"/>
    </row>
    <row r="68" spans="3:4" hidden="1" x14ac:dyDescent="0.2">
      <c r="C68" s="3"/>
      <c r="D68" s="3"/>
    </row>
    <row r="69" spans="3:4" hidden="1" x14ac:dyDescent="0.2">
      <c r="C69" s="3"/>
      <c r="D69" s="3"/>
    </row>
    <row r="70" spans="3:4" hidden="1" x14ac:dyDescent="0.2">
      <c r="C70" s="3"/>
      <c r="D70" s="3"/>
    </row>
    <row r="71" spans="3:4" hidden="1" x14ac:dyDescent="0.2">
      <c r="C71" s="3"/>
      <c r="D71" s="3"/>
    </row>
    <row r="72" spans="3:4" hidden="1" x14ac:dyDescent="0.2">
      <c r="C72" s="3"/>
      <c r="D72" s="3"/>
    </row>
    <row r="73" spans="3:4" hidden="1" x14ac:dyDescent="0.2">
      <c r="C73" s="3"/>
      <c r="D73" s="3"/>
    </row>
    <row r="74" spans="3:4" hidden="1" x14ac:dyDescent="0.2">
      <c r="C74" s="3"/>
      <c r="D74" s="3"/>
    </row>
    <row r="75" spans="3:4" hidden="1" x14ac:dyDescent="0.2">
      <c r="C75" s="3"/>
      <c r="D75" s="3"/>
    </row>
    <row r="76" spans="3:4" hidden="1" x14ac:dyDescent="0.2">
      <c r="C76" s="3"/>
      <c r="D76" s="3"/>
    </row>
    <row r="77" spans="3:4" hidden="1" x14ac:dyDescent="0.2">
      <c r="C77" s="3"/>
      <c r="D77" s="3"/>
    </row>
    <row r="78" spans="3:4" hidden="1" x14ac:dyDescent="0.2">
      <c r="C78" s="3"/>
      <c r="D78" s="3"/>
    </row>
    <row r="79" spans="3:4" hidden="1" x14ac:dyDescent="0.2">
      <c r="C79" s="3"/>
      <c r="D79" s="3"/>
    </row>
    <row r="80" spans="3:4" hidden="1" x14ac:dyDescent="0.2">
      <c r="C80" s="3"/>
      <c r="D80" s="3"/>
    </row>
    <row r="81" spans="3:4" hidden="1" x14ac:dyDescent="0.2">
      <c r="C81" s="3"/>
      <c r="D81" s="3"/>
    </row>
    <row r="82" spans="3:4" hidden="1" x14ac:dyDescent="0.2">
      <c r="C82" s="3"/>
      <c r="D82" s="3"/>
    </row>
    <row r="83" spans="3:4" hidden="1" x14ac:dyDescent="0.2">
      <c r="C83" s="3"/>
      <c r="D83" s="3"/>
    </row>
    <row r="84" spans="3:4" hidden="1" x14ac:dyDescent="0.2">
      <c r="C84" s="3"/>
      <c r="D84" s="3"/>
    </row>
    <row r="85" spans="3:4" hidden="1" x14ac:dyDescent="0.2">
      <c r="C85" s="3"/>
      <c r="D85" s="3"/>
    </row>
    <row r="86" spans="3:4" hidden="1" x14ac:dyDescent="0.2">
      <c r="C86" s="3"/>
      <c r="D86" s="3"/>
    </row>
    <row r="87" spans="3:4" hidden="1" x14ac:dyDescent="0.2">
      <c r="C87" s="3"/>
      <c r="D87" s="3"/>
    </row>
    <row r="88" spans="3:4" hidden="1" x14ac:dyDescent="0.2">
      <c r="C88" s="3"/>
      <c r="D88" s="3"/>
    </row>
    <row r="89" spans="3:4" hidden="1" x14ac:dyDescent="0.2">
      <c r="C89" s="3"/>
      <c r="D89" s="3"/>
    </row>
    <row r="90" spans="3:4" hidden="1" x14ac:dyDescent="0.2">
      <c r="C90" s="3"/>
      <c r="D90" s="3"/>
    </row>
    <row r="91" spans="3:4" hidden="1" x14ac:dyDescent="0.2">
      <c r="C91" s="3"/>
      <c r="D91" s="3"/>
    </row>
    <row r="92" spans="3:4" hidden="1" x14ac:dyDescent="0.2">
      <c r="C92" s="3"/>
      <c r="D92" s="3"/>
    </row>
    <row r="93" spans="3:4" hidden="1" x14ac:dyDescent="0.2">
      <c r="C93" s="3"/>
      <c r="D93" s="3"/>
    </row>
    <row r="94" spans="3:4" hidden="1" x14ac:dyDescent="0.2">
      <c r="C94" s="3"/>
      <c r="D94" s="3"/>
    </row>
    <row r="95" spans="3:4" hidden="1" x14ac:dyDescent="0.2">
      <c r="C95" s="3"/>
      <c r="D95" s="3"/>
    </row>
    <row r="96" spans="3:4" hidden="1" x14ac:dyDescent="0.2">
      <c r="C96" s="3"/>
      <c r="D96" s="3"/>
    </row>
    <row r="97" spans="3:4" hidden="1" x14ac:dyDescent="0.2">
      <c r="C97" s="3"/>
      <c r="D97" s="3"/>
    </row>
    <row r="98" spans="3:4" hidden="1" x14ac:dyDescent="0.2">
      <c r="C98" s="3"/>
      <c r="D98" s="3"/>
    </row>
    <row r="99" spans="3:4" hidden="1" x14ac:dyDescent="0.2">
      <c r="C99" s="3"/>
      <c r="D99" s="3"/>
    </row>
    <row r="100" spans="3:4" hidden="1" x14ac:dyDescent="0.2">
      <c r="C100" s="3"/>
      <c r="D100" s="3"/>
    </row>
    <row r="101" spans="3:4" hidden="1" x14ac:dyDescent="0.2">
      <c r="C101" s="3"/>
      <c r="D101" s="3"/>
    </row>
    <row r="102" spans="3:4" hidden="1" x14ac:dyDescent="0.2">
      <c r="C102" s="3"/>
      <c r="D102" s="3"/>
    </row>
    <row r="103" spans="3:4" hidden="1" x14ac:dyDescent="0.2">
      <c r="C103" s="3"/>
      <c r="D103" s="3"/>
    </row>
    <row r="104" spans="3:4" hidden="1" x14ac:dyDescent="0.2">
      <c r="C104" s="3"/>
      <c r="D104" s="3"/>
    </row>
    <row r="105" spans="3:4" hidden="1" x14ac:dyDescent="0.2">
      <c r="C105" s="3"/>
      <c r="D105" s="3"/>
    </row>
    <row r="106" spans="3:4" hidden="1" x14ac:dyDescent="0.2">
      <c r="C106" s="3"/>
      <c r="D106" s="3"/>
    </row>
    <row r="107" spans="3:4" hidden="1" x14ac:dyDescent="0.2">
      <c r="C107" s="3"/>
      <c r="D107" s="3"/>
    </row>
    <row r="108" spans="3:4" hidden="1" x14ac:dyDescent="0.2">
      <c r="C108" s="3"/>
      <c r="D108" s="3"/>
    </row>
    <row r="109" spans="3:4" hidden="1" x14ac:dyDescent="0.2">
      <c r="C109" s="3"/>
      <c r="D109" s="3"/>
    </row>
    <row r="110" spans="3:4" hidden="1" x14ac:dyDescent="0.2">
      <c r="C110" s="3"/>
      <c r="D110" s="3"/>
    </row>
    <row r="111" spans="3:4" hidden="1" x14ac:dyDescent="0.2">
      <c r="C111" s="3"/>
      <c r="D111" s="3"/>
    </row>
    <row r="112" spans="3:4" hidden="1" x14ac:dyDescent="0.2">
      <c r="C112" s="3"/>
      <c r="D112" s="3"/>
    </row>
    <row r="113" spans="3:4" hidden="1" x14ac:dyDescent="0.2">
      <c r="C113" s="3"/>
      <c r="D113" s="3"/>
    </row>
    <row r="114" spans="3:4" hidden="1" x14ac:dyDescent="0.2">
      <c r="C114" s="3"/>
      <c r="D114" s="3"/>
    </row>
    <row r="115" spans="3:4" hidden="1" x14ac:dyDescent="0.2">
      <c r="C115" s="3"/>
      <c r="D115" s="3"/>
    </row>
    <row r="116" spans="3:4" hidden="1" x14ac:dyDescent="0.2">
      <c r="C116" s="3"/>
      <c r="D116" s="3"/>
    </row>
    <row r="117" spans="3:4" hidden="1" x14ac:dyDescent="0.2">
      <c r="C117" s="3"/>
      <c r="D117" s="3"/>
    </row>
    <row r="118" spans="3:4" hidden="1" x14ac:dyDescent="0.2">
      <c r="C118" s="3"/>
      <c r="D118" s="3"/>
    </row>
    <row r="119" spans="3:4" hidden="1" x14ac:dyDescent="0.2">
      <c r="C119" s="3"/>
      <c r="D119" s="3"/>
    </row>
    <row r="120" spans="3:4" hidden="1" x14ac:dyDescent="0.2">
      <c r="C120" s="3"/>
      <c r="D120" s="3"/>
    </row>
    <row r="121" spans="3:4" hidden="1" x14ac:dyDescent="0.2">
      <c r="C121" s="3"/>
      <c r="D121" s="3"/>
    </row>
    <row r="122" spans="3:4" hidden="1" x14ac:dyDescent="0.2">
      <c r="C122" s="3"/>
      <c r="D122" s="3"/>
    </row>
    <row r="123" spans="3:4" hidden="1" x14ac:dyDescent="0.2">
      <c r="C123" s="3"/>
      <c r="D123" s="3"/>
    </row>
    <row r="124" spans="3:4" hidden="1" x14ac:dyDescent="0.2">
      <c r="C124" s="3"/>
      <c r="D124" s="3"/>
    </row>
    <row r="125" spans="3:4" hidden="1" x14ac:dyDescent="0.2">
      <c r="C125" s="3"/>
      <c r="D125" s="3"/>
    </row>
    <row r="126" spans="3:4" hidden="1" x14ac:dyDescent="0.2">
      <c r="C126" s="3"/>
      <c r="D126" s="3"/>
    </row>
    <row r="127" spans="3:4" hidden="1" x14ac:dyDescent="0.2">
      <c r="C127" s="3"/>
      <c r="D127" s="3"/>
    </row>
    <row r="128" spans="3:4" hidden="1" x14ac:dyDescent="0.2">
      <c r="C128" s="3"/>
      <c r="D128" s="3"/>
    </row>
    <row r="129" spans="3:4" hidden="1" x14ac:dyDescent="0.2">
      <c r="C129" s="3"/>
      <c r="D129" s="3"/>
    </row>
    <row r="130" spans="3:4" hidden="1" x14ac:dyDescent="0.2">
      <c r="C130" s="3"/>
      <c r="D130" s="3"/>
    </row>
    <row r="131" spans="3:4" hidden="1" x14ac:dyDescent="0.2">
      <c r="C131" s="3"/>
      <c r="D131" s="3"/>
    </row>
    <row r="132" spans="3:4" hidden="1" x14ac:dyDescent="0.2">
      <c r="C132" s="3"/>
      <c r="D132" s="3"/>
    </row>
    <row r="133" spans="3:4" hidden="1" x14ac:dyDescent="0.2">
      <c r="C133" s="3"/>
      <c r="D133" s="3"/>
    </row>
    <row r="134" spans="3:4" hidden="1" x14ac:dyDescent="0.2">
      <c r="C134" s="3"/>
      <c r="D134" s="3"/>
    </row>
    <row r="135" spans="3:4" hidden="1" x14ac:dyDescent="0.2">
      <c r="C135" s="3"/>
      <c r="D135" s="3"/>
    </row>
    <row r="136" spans="3:4" hidden="1" x14ac:dyDescent="0.2">
      <c r="C136" s="3"/>
      <c r="D136" s="3"/>
    </row>
    <row r="137" spans="3:4" hidden="1" x14ac:dyDescent="0.2">
      <c r="C137" s="3"/>
      <c r="D137" s="3"/>
    </row>
    <row r="138" spans="3:4" hidden="1" x14ac:dyDescent="0.2">
      <c r="C138" s="3"/>
      <c r="D138" s="3"/>
    </row>
    <row r="139" spans="3:4" hidden="1" x14ac:dyDescent="0.2">
      <c r="C139" s="3"/>
      <c r="D139" s="3"/>
    </row>
    <row r="140" spans="3:4" hidden="1" x14ac:dyDescent="0.2">
      <c r="C140" s="3"/>
      <c r="D140" s="3"/>
    </row>
    <row r="141" spans="3:4" hidden="1" x14ac:dyDescent="0.2">
      <c r="C141" s="3"/>
      <c r="D141" s="3"/>
    </row>
    <row r="142" spans="3:4" hidden="1" x14ac:dyDescent="0.2">
      <c r="C142" s="3"/>
      <c r="D142" s="3"/>
    </row>
    <row r="143" spans="3:4" hidden="1" x14ac:dyDescent="0.2">
      <c r="C143" s="3"/>
      <c r="D143" s="3"/>
    </row>
    <row r="144" spans="3:4" hidden="1" x14ac:dyDescent="0.2">
      <c r="C144" s="3"/>
      <c r="D144" s="3"/>
    </row>
    <row r="145" spans="3:4" hidden="1" x14ac:dyDescent="0.2">
      <c r="C145" s="3"/>
      <c r="D145" s="3"/>
    </row>
    <row r="146" spans="3:4" hidden="1" x14ac:dyDescent="0.2">
      <c r="C146" s="3"/>
      <c r="D146" s="3"/>
    </row>
    <row r="147" spans="3:4" hidden="1" x14ac:dyDescent="0.2">
      <c r="C147" s="3"/>
      <c r="D147" s="3"/>
    </row>
    <row r="148" spans="3:4" hidden="1" x14ac:dyDescent="0.2">
      <c r="C148" s="3"/>
      <c r="D148" s="3"/>
    </row>
    <row r="149" spans="3:4" hidden="1" x14ac:dyDescent="0.2">
      <c r="C149" s="3"/>
      <c r="D149" s="3"/>
    </row>
    <row r="150" spans="3:4" hidden="1" x14ac:dyDescent="0.2">
      <c r="C150" s="3"/>
      <c r="D150" s="3"/>
    </row>
    <row r="151" spans="3:4" hidden="1" x14ac:dyDescent="0.2">
      <c r="C151" s="3"/>
      <c r="D151" s="3"/>
    </row>
    <row r="152" spans="3:4" hidden="1" x14ac:dyDescent="0.2">
      <c r="C152" s="3"/>
      <c r="D152" s="3"/>
    </row>
    <row r="153" spans="3:4" hidden="1" x14ac:dyDescent="0.2">
      <c r="C153" s="3"/>
      <c r="D153" s="3"/>
    </row>
    <row r="154" spans="3:4" hidden="1" x14ac:dyDescent="0.2">
      <c r="C154" s="3"/>
      <c r="D154" s="3"/>
    </row>
    <row r="155" spans="3:4" hidden="1" x14ac:dyDescent="0.2">
      <c r="C155" s="3"/>
      <c r="D155" s="3"/>
    </row>
    <row r="156" spans="3:4" hidden="1" x14ac:dyDescent="0.2">
      <c r="C156" s="3"/>
      <c r="D156" s="3"/>
    </row>
    <row r="157" spans="3:4" hidden="1" x14ac:dyDescent="0.2">
      <c r="C157" s="3"/>
      <c r="D157" s="3"/>
    </row>
    <row r="158" spans="3:4" hidden="1" x14ac:dyDescent="0.2">
      <c r="C158" s="3"/>
      <c r="D158" s="3"/>
    </row>
    <row r="159" spans="3:4" hidden="1" x14ac:dyDescent="0.2">
      <c r="C159" s="3"/>
      <c r="D159" s="3"/>
    </row>
    <row r="160" spans="3:4" hidden="1" x14ac:dyDescent="0.2">
      <c r="C160" s="3"/>
      <c r="D160" s="3"/>
    </row>
    <row r="161" spans="3:4" hidden="1" x14ac:dyDescent="0.2">
      <c r="C161" s="3"/>
      <c r="D161" s="3"/>
    </row>
    <row r="162" spans="3:4" hidden="1" x14ac:dyDescent="0.2">
      <c r="C162" s="3"/>
      <c r="D162" s="3"/>
    </row>
    <row r="163" spans="3:4" hidden="1" x14ac:dyDescent="0.2">
      <c r="C163" s="3"/>
      <c r="D163" s="3"/>
    </row>
    <row r="164" spans="3:4" hidden="1" x14ac:dyDescent="0.2">
      <c r="C164" s="3"/>
      <c r="D164" s="3"/>
    </row>
    <row r="165" spans="3:4" hidden="1" x14ac:dyDescent="0.2">
      <c r="C165" s="3"/>
      <c r="D165" s="3"/>
    </row>
    <row r="166" spans="3:4" hidden="1" x14ac:dyDescent="0.2">
      <c r="C166" s="3"/>
      <c r="D166" s="3"/>
    </row>
    <row r="167" spans="3:4" hidden="1" x14ac:dyDescent="0.2">
      <c r="C167" s="3"/>
      <c r="D167" s="3"/>
    </row>
    <row r="168" spans="3:4" hidden="1" x14ac:dyDescent="0.2">
      <c r="C168" s="3"/>
      <c r="D168" s="3"/>
    </row>
    <row r="169" spans="3:4" hidden="1" x14ac:dyDescent="0.2">
      <c r="C169" s="3"/>
      <c r="D169" s="3"/>
    </row>
    <row r="170" spans="3:4" hidden="1" x14ac:dyDescent="0.2">
      <c r="C170" s="3"/>
      <c r="D170" s="3"/>
    </row>
    <row r="171" spans="3:4" hidden="1" x14ac:dyDescent="0.2">
      <c r="C171" s="3"/>
      <c r="D171" s="3"/>
    </row>
    <row r="172" spans="3:4" hidden="1" x14ac:dyDescent="0.2">
      <c r="C172" s="3"/>
      <c r="D172" s="3"/>
    </row>
    <row r="173" spans="3:4" hidden="1" x14ac:dyDescent="0.2">
      <c r="C173" s="3"/>
      <c r="D173" s="3"/>
    </row>
    <row r="174" spans="3:4" hidden="1" x14ac:dyDescent="0.2">
      <c r="C174" s="3"/>
      <c r="D174" s="3"/>
    </row>
    <row r="175" spans="3:4" hidden="1" x14ac:dyDescent="0.2">
      <c r="C175" s="3"/>
      <c r="D175" s="3"/>
    </row>
    <row r="176" spans="3:4" hidden="1" x14ac:dyDescent="0.2">
      <c r="C176" s="3"/>
      <c r="D176" s="3"/>
    </row>
    <row r="177" spans="3:4" hidden="1" x14ac:dyDescent="0.2">
      <c r="C177" s="3"/>
      <c r="D177" s="3"/>
    </row>
    <row r="178" spans="3:4" hidden="1" x14ac:dyDescent="0.2">
      <c r="C178" s="3"/>
      <c r="D178" s="3"/>
    </row>
    <row r="179" spans="3:4" hidden="1" x14ac:dyDescent="0.2">
      <c r="C179" s="3"/>
      <c r="D179" s="3"/>
    </row>
    <row r="180" spans="3:4" hidden="1" x14ac:dyDescent="0.2">
      <c r="C180" s="3"/>
      <c r="D180" s="3"/>
    </row>
    <row r="181" spans="3:4" hidden="1" x14ac:dyDescent="0.2">
      <c r="C181" s="3"/>
      <c r="D181" s="3"/>
    </row>
    <row r="182" spans="3:4" hidden="1" x14ac:dyDescent="0.2">
      <c r="C182" s="3"/>
      <c r="D182" s="3"/>
    </row>
    <row r="183" spans="3:4" hidden="1" x14ac:dyDescent="0.2">
      <c r="C183" s="3"/>
      <c r="D183" s="3"/>
    </row>
    <row r="184" spans="3:4" hidden="1" x14ac:dyDescent="0.2">
      <c r="C184" s="3"/>
      <c r="D184" s="3"/>
    </row>
    <row r="185" spans="3:4" hidden="1" x14ac:dyDescent="0.2">
      <c r="C185" s="3"/>
      <c r="D185" s="3"/>
    </row>
    <row r="186" spans="3:4" hidden="1" x14ac:dyDescent="0.2">
      <c r="C186" s="3"/>
      <c r="D186" s="3"/>
    </row>
    <row r="187" spans="3:4" hidden="1" x14ac:dyDescent="0.2">
      <c r="C187" s="3"/>
      <c r="D187" s="3"/>
    </row>
    <row r="188" spans="3:4" hidden="1" x14ac:dyDescent="0.2">
      <c r="C188" s="3"/>
      <c r="D188" s="3"/>
    </row>
    <row r="189" spans="3:4" hidden="1" x14ac:dyDescent="0.2">
      <c r="C189" s="3"/>
      <c r="D189" s="3"/>
    </row>
    <row r="190" spans="3:4" hidden="1" x14ac:dyDescent="0.2">
      <c r="C190" s="3"/>
      <c r="D190" s="3"/>
    </row>
    <row r="191" spans="3:4" hidden="1" x14ac:dyDescent="0.2">
      <c r="C191" s="3"/>
      <c r="D191" s="3"/>
    </row>
    <row r="192" spans="3:4" hidden="1" x14ac:dyDescent="0.2">
      <c r="C192" s="3"/>
      <c r="D192" s="3"/>
    </row>
    <row r="193" spans="3:4" hidden="1" x14ac:dyDescent="0.2">
      <c r="C193" s="3"/>
      <c r="D193" s="3"/>
    </row>
    <row r="194" spans="3:4" hidden="1" x14ac:dyDescent="0.2">
      <c r="C194" s="3"/>
      <c r="D194" s="3"/>
    </row>
    <row r="195" spans="3:4" hidden="1" x14ac:dyDescent="0.2">
      <c r="C195" s="3"/>
      <c r="D195" s="3"/>
    </row>
    <row r="196" spans="3:4" hidden="1" x14ac:dyDescent="0.2">
      <c r="C196" s="3"/>
      <c r="D196" s="3"/>
    </row>
    <row r="197" spans="3:4" hidden="1" x14ac:dyDescent="0.2">
      <c r="C197" s="3"/>
      <c r="D197" s="3"/>
    </row>
    <row r="198" spans="3:4" hidden="1" x14ac:dyDescent="0.2">
      <c r="C198" s="3"/>
      <c r="D198" s="3"/>
    </row>
    <row r="199" spans="3:4" hidden="1" x14ac:dyDescent="0.2">
      <c r="C199" s="3"/>
      <c r="D199" s="3"/>
    </row>
    <row r="200" spans="3:4" hidden="1" x14ac:dyDescent="0.2">
      <c r="C200" s="3"/>
      <c r="D200" s="3"/>
    </row>
    <row r="201" spans="3:4" hidden="1" x14ac:dyDescent="0.2">
      <c r="C201" s="3"/>
      <c r="D201" s="3"/>
    </row>
    <row r="202" spans="3:4" hidden="1" x14ac:dyDescent="0.2">
      <c r="C202" s="3"/>
      <c r="D202" s="3"/>
    </row>
    <row r="203" spans="3:4" hidden="1" x14ac:dyDescent="0.2">
      <c r="C203" s="3"/>
      <c r="D203" s="3"/>
    </row>
    <row r="204" spans="3:4" hidden="1" x14ac:dyDescent="0.2">
      <c r="C204" s="3"/>
      <c r="D204" s="3"/>
    </row>
    <row r="205" spans="3:4" hidden="1" x14ac:dyDescent="0.2">
      <c r="C205" s="3"/>
      <c r="D205" s="3"/>
    </row>
    <row r="206" spans="3:4" hidden="1" x14ac:dyDescent="0.2">
      <c r="C206" s="3"/>
      <c r="D206" s="3"/>
    </row>
    <row r="207" spans="3:4" hidden="1" x14ac:dyDescent="0.2">
      <c r="C207" s="3"/>
      <c r="D207" s="3"/>
    </row>
    <row r="208" spans="3:4" hidden="1" x14ac:dyDescent="0.2">
      <c r="C208" s="3"/>
      <c r="D208" s="3"/>
    </row>
    <row r="209" spans="3:4" hidden="1" x14ac:dyDescent="0.2">
      <c r="C209" s="3"/>
      <c r="D209" s="3"/>
    </row>
    <row r="210" spans="3:4" hidden="1" x14ac:dyDescent="0.2">
      <c r="C210" s="3"/>
      <c r="D210" s="3"/>
    </row>
    <row r="211" spans="3:4" hidden="1" x14ac:dyDescent="0.2">
      <c r="C211" s="3"/>
      <c r="D211" s="3"/>
    </row>
    <row r="212" spans="3:4" hidden="1" x14ac:dyDescent="0.2">
      <c r="C212" s="3"/>
      <c r="D212" s="3"/>
    </row>
    <row r="213" spans="3:4" hidden="1" x14ac:dyDescent="0.2">
      <c r="C213" s="3"/>
      <c r="D213" s="3"/>
    </row>
    <row r="214" spans="3:4" hidden="1" x14ac:dyDescent="0.2">
      <c r="C214" s="3"/>
      <c r="D214" s="3"/>
    </row>
    <row r="215" spans="3:4" hidden="1" x14ac:dyDescent="0.2">
      <c r="C215" s="3"/>
      <c r="D215" s="3"/>
    </row>
    <row r="216" spans="3:4" hidden="1" x14ac:dyDescent="0.2">
      <c r="C216" s="3"/>
      <c r="D216" s="3"/>
    </row>
    <row r="217" spans="3:4" hidden="1" x14ac:dyDescent="0.2">
      <c r="C217" s="3"/>
      <c r="D217" s="3"/>
    </row>
    <row r="218" spans="3:4" hidden="1" x14ac:dyDescent="0.2">
      <c r="C218" s="3"/>
      <c r="D218" s="3"/>
    </row>
    <row r="219" spans="3:4" hidden="1" x14ac:dyDescent="0.2">
      <c r="C219" s="3"/>
      <c r="D219" s="3"/>
    </row>
    <row r="220" spans="3:4" hidden="1" x14ac:dyDescent="0.2">
      <c r="C220" s="3"/>
      <c r="D220" s="3"/>
    </row>
    <row r="221" spans="3:4" hidden="1" x14ac:dyDescent="0.2">
      <c r="C221" s="3"/>
      <c r="D221" s="3"/>
    </row>
    <row r="222" spans="3:4" hidden="1" x14ac:dyDescent="0.2">
      <c r="C222" s="3"/>
      <c r="D222" s="3"/>
    </row>
    <row r="223" spans="3:4" hidden="1" x14ac:dyDescent="0.2">
      <c r="C223" s="3"/>
      <c r="D223" s="3"/>
    </row>
    <row r="224" spans="3:4" hidden="1" x14ac:dyDescent="0.2">
      <c r="C224" s="3"/>
      <c r="D224" s="3"/>
    </row>
    <row r="225" spans="3:4" hidden="1" x14ac:dyDescent="0.2">
      <c r="C225" s="3"/>
      <c r="D225" s="3"/>
    </row>
    <row r="226" spans="3:4" hidden="1" x14ac:dyDescent="0.2">
      <c r="C226" s="3"/>
      <c r="D226" s="3"/>
    </row>
    <row r="227" spans="3:4" hidden="1" x14ac:dyDescent="0.2">
      <c r="C227" s="3"/>
      <c r="D227" s="3"/>
    </row>
    <row r="228" spans="3:4" hidden="1" x14ac:dyDescent="0.2">
      <c r="C228" s="3"/>
      <c r="D228" s="3"/>
    </row>
    <row r="229" spans="3:4" hidden="1" x14ac:dyDescent="0.2">
      <c r="C229" s="3"/>
      <c r="D229" s="3"/>
    </row>
    <row r="230" spans="3:4" hidden="1" x14ac:dyDescent="0.2">
      <c r="C230" s="3"/>
      <c r="D230" s="3"/>
    </row>
    <row r="231" spans="3:4" hidden="1" x14ac:dyDescent="0.2">
      <c r="C231" s="3"/>
      <c r="D231" s="3"/>
    </row>
    <row r="232" spans="3:4" hidden="1" x14ac:dyDescent="0.2">
      <c r="C232" s="3"/>
      <c r="D232" s="3"/>
    </row>
    <row r="233" spans="3:4" hidden="1" x14ac:dyDescent="0.2">
      <c r="C233" s="3"/>
      <c r="D233" s="3"/>
    </row>
    <row r="234" spans="3:4" hidden="1" x14ac:dyDescent="0.2">
      <c r="C234" s="3"/>
      <c r="D234" s="3"/>
    </row>
    <row r="235" spans="3:4" hidden="1" x14ac:dyDescent="0.2">
      <c r="C235" s="3"/>
      <c r="D235" s="3"/>
    </row>
    <row r="236" spans="3:4" hidden="1" x14ac:dyDescent="0.2">
      <c r="C236" s="3"/>
      <c r="D236" s="3"/>
    </row>
    <row r="237" spans="3:4" hidden="1" x14ac:dyDescent="0.2">
      <c r="C237" s="3"/>
      <c r="D237" s="3"/>
    </row>
    <row r="238" spans="3:4" hidden="1" x14ac:dyDescent="0.2">
      <c r="C238" s="3"/>
      <c r="D238" s="3"/>
    </row>
    <row r="239" spans="3:4" hidden="1" x14ac:dyDescent="0.2">
      <c r="C239" s="3"/>
      <c r="D239" s="3"/>
    </row>
    <row r="240" spans="3:4" hidden="1" x14ac:dyDescent="0.2">
      <c r="C240" s="3"/>
      <c r="D240" s="3"/>
    </row>
    <row r="241" spans="3:4" hidden="1" x14ac:dyDescent="0.2">
      <c r="C241" s="3"/>
      <c r="D241" s="3"/>
    </row>
    <row r="242" spans="3:4" hidden="1" x14ac:dyDescent="0.2">
      <c r="C242" s="3"/>
      <c r="D242" s="3"/>
    </row>
    <row r="243" spans="3:4" hidden="1" x14ac:dyDescent="0.2">
      <c r="C243" s="3"/>
      <c r="D243" s="3"/>
    </row>
    <row r="244" spans="3:4" hidden="1" x14ac:dyDescent="0.2">
      <c r="C244" s="3"/>
      <c r="D244" s="3"/>
    </row>
    <row r="245" spans="3:4" hidden="1" x14ac:dyDescent="0.2">
      <c r="C245" s="3"/>
      <c r="D245" s="3"/>
    </row>
    <row r="246" spans="3:4" hidden="1" x14ac:dyDescent="0.2">
      <c r="C246" s="3"/>
      <c r="D246" s="3"/>
    </row>
    <row r="247" spans="3:4" hidden="1" x14ac:dyDescent="0.2">
      <c r="C247" s="3"/>
      <c r="D247" s="3"/>
    </row>
    <row r="248" spans="3:4" hidden="1" x14ac:dyDescent="0.2">
      <c r="C248" s="3"/>
      <c r="D248" s="3"/>
    </row>
    <row r="249" spans="3:4" hidden="1" x14ac:dyDescent="0.2">
      <c r="C249" s="3"/>
      <c r="D249" s="3"/>
    </row>
    <row r="250" spans="3:4" hidden="1" x14ac:dyDescent="0.2">
      <c r="C250" s="3"/>
      <c r="D250" s="3"/>
    </row>
    <row r="251" spans="3:4" hidden="1" x14ac:dyDescent="0.2">
      <c r="C251" s="3"/>
      <c r="D251" s="3"/>
    </row>
    <row r="252" spans="3:4" hidden="1" x14ac:dyDescent="0.2">
      <c r="C252" s="3"/>
      <c r="D252" s="3"/>
    </row>
    <row r="253" spans="3:4" hidden="1" x14ac:dyDescent="0.2">
      <c r="C253" s="3"/>
      <c r="D253" s="3"/>
    </row>
    <row r="254" spans="3:4" hidden="1" x14ac:dyDescent="0.2">
      <c r="C254" s="3"/>
      <c r="D254" s="3"/>
    </row>
    <row r="255" spans="3:4" hidden="1" x14ac:dyDescent="0.2">
      <c r="C255" s="3"/>
      <c r="D255" s="3"/>
    </row>
    <row r="256" spans="3:4" hidden="1" x14ac:dyDescent="0.2">
      <c r="C256" s="3"/>
      <c r="D256" s="3"/>
    </row>
    <row r="257" spans="3:4" hidden="1" x14ac:dyDescent="0.2">
      <c r="C257" s="3"/>
      <c r="D257" s="3"/>
    </row>
    <row r="258" spans="3:4" hidden="1" x14ac:dyDescent="0.2">
      <c r="C258" s="3"/>
      <c r="D258" s="3"/>
    </row>
    <row r="259" spans="3:4" hidden="1" x14ac:dyDescent="0.2">
      <c r="C259" s="3"/>
      <c r="D259" s="3"/>
    </row>
    <row r="260" spans="3:4" hidden="1" x14ac:dyDescent="0.2">
      <c r="C260" s="3"/>
      <c r="D260" s="3"/>
    </row>
    <row r="261" spans="3:4" hidden="1" x14ac:dyDescent="0.2">
      <c r="C261" s="3"/>
      <c r="D261" s="3"/>
    </row>
    <row r="262" spans="3:4" hidden="1" x14ac:dyDescent="0.2">
      <c r="C262" s="3"/>
      <c r="D262" s="3"/>
    </row>
    <row r="263" spans="3:4" hidden="1" x14ac:dyDescent="0.2">
      <c r="C263" s="3"/>
      <c r="D263" s="3"/>
    </row>
    <row r="264" spans="3:4" hidden="1" x14ac:dyDescent="0.2">
      <c r="C264" s="3"/>
      <c r="D264" s="3"/>
    </row>
    <row r="265" spans="3:4" hidden="1" x14ac:dyDescent="0.2">
      <c r="C265" s="3"/>
      <c r="D265" s="3"/>
    </row>
    <row r="266" spans="3:4" hidden="1" x14ac:dyDescent="0.2">
      <c r="C266" s="3"/>
      <c r="D266" s="3"/>
    </row>
    <row r="267" spans="3:4" hidden="1" x14ac:dyDescent="0.2">
      <c r="C267" s="3"/>
      <c r="D267" s="3"/>
    </row>
    <row r="268" spans="3:4" hidden="1" x14ac:dyDescent="0.2">
      <c r="C268" s="3"/>
      <c r="D268" s="3"/>
    </row>
    <row r="269" spans="3:4" hidden="1" x14ac:dyDescent="0.2">
      <c r="C269" s="3"/>
      <c r="D269" s="3"/>
    </row>
    <row r="270" spans="3:4" hidden="1" x14ac:dyDescent="0.2">
      <c r="C270" s="3"/>
      <c r="D270" s="3"/>
    </row>
    <row r="271" spans="3:4" hidden="1" x14ac:dyDescent="0.2">
      <c r="C271" s="3"/>
      <c r="D271" s="3"/>
    </row>
    <row r="272" spans="3:4" hidden="1" x14ac:dyDescent="0.2">
      <c r="C272" s="3"/>
      <c r="D272" s="3"/>
    </row>
    <row r="273" spans="3:4" hidden="1" x14ac:dyDescent="0.2">
      <c r="C273" s="3"/>
      <c r="D273" s="3"/>
    </row>
    <row r="274" spans="3:4" hidden="1" x14ac:dyDescent="0.2">
      <c r="C274" s="3"/>
      <c r="D274" s="3"/>
    </row>
    <row r="275" spans="3:4" hidden="1" x14ac:dyDescent="0.2">
      <c r="C275" s="3"/>
      <c r="D275" s="3"/>
    </row>
    <row r="276" spans="3:4" hidden="1" x14ac:dyDescent="0.2">
      <c r="C276" s="3"/>
      <c r="D276" s="3"/>
    </row>
    <row r="277" spans="3:4" hidden="1" x14ac:dyDescent="0.2">
      <c r="C277" s="3"/>
      <c r="D277" s="3"/>
    </row>
    <row r="278" spans="3:4" hidden="1" x14ac:dyDescent="0.2">
      <c r="C278" s="3"/>
      <c r="D278" s="3"/>
    </row>
    <row r="279" spans="3:4" hidden="1" x14ac:dyDescent="0.2">
      <c r="C279" s="3"/>
      <c r="D279" s="3"/>
    </row>
    <row r="280" spans="3:4" hidden="1" x14ac:dyDescent="0.2">
      <c r="C280" s="3"/>
      <c r="D280" s="3"/>
    </row>
    <row r="281" spans="3:4" hidden="1" x14ac:dyDescent="0.2">
      <c r="C281" s="3"/>
      <c r="D281" s="3"/>
    </row>
    <row r="282" spans="3:4" hidden="1" x14ac:dyDescent="0.2">
      <c r="C282" s="3"/>
      <c r="D282" s="3"/>
    </row>
    <row r="283" spans="3:4" hidden="1" x14ac:dyDescent="0.2">
      <c r="C283" s="3"/>
      <c r="D283" s="3"/>
    </row>
    <row r="284" spans="3:4" hidden="1" x14ac:dyDescent="0.2">
      <c r="C284" s="3"/>
      <c r="D284" s="3"/>
    </row>
    <row r="285" spans="3:4" hidden="1" x14ac:dyDescent="0.2">
      <c r="C285" s="3"/>
      <c r="D285" s="3"/>
    </row>
    <row r="286" spans="3:4" hidden="1" x14ac:dyDescent="0.2">
      <c r="C286" s="3"/>
      <c r="D286" s="3"/>
    </row>
    <row r="287" spans="3:4" hidden="1" x14ac:dyDescent="0.2">
      <c r="C287" s="3"/>
      <c r="D287" s="3"/>
    </row>
    <row r="288" spans="3:4" hidden="1" x14ac:dyDescent="0.2">
      <c r="C288" s="3"/>
      <c r="D288" s="3"/>
    </row>
    <row r="289" spans="3:4" hidden="1" x14ac:dyDescent="0.2">
      <c r="C289" s="3"/>
      <c r="D289" s="3"/>
    </row>
    <row r="290" spans="3:4" hidden="1" x14ac:dyDescent="0.2">
      <c r="C290" s="3"/>
      <c r="D290" s="3"/>
    </row>
    <row r="291" spans="3:4" hidden="1" x14ac:dyDescent="0.2">
      <c r="C291" s="3"/>
      <c r="D291" s="3"/>
    </row>
    <row r="292" spans="3:4" hidden="1" x14ac:dyDescent="0.2">
      <c r="C292" s="3"/>
      <c r="D292" s="3"/>
    </row>
    <row r="293" spans="3:4" hidden="1" x14ac:dyDescent="0.2">
      <c r="C293" s="3"/>
      <c r="D293" s="3"/>
    </row>
    <row r="294" spans="3:4" hidden="1" x14ac:dyDescent="0.2">
      <c r="C294" s="3"/>
      <c r="D294" s="3"/>
    </row>
    <row r="295" spans="3:4" hidden="1" x14ac:dyDescent="0.2">
      <c r="C295" s="3"/>
      <c r="D295" s="3"/>
    </row>
    <row r="296" spans="3:4" hidden="1" x14ac:dyDescent="0.2">
      <c r="C296" s="3"/>
      <c r="D296" s="3"/>
    </row>
    <row r="297" spans="3:4" hidden="1" x14ac:dyDescent="0.2">
      <c r="C297" s="3"/>
      <c r="D297" s="3"/>
    </row>
    <row r="298" spans="3:4" hidden="1" x14ac:dyDescent="0.2">
      <c r="C298" s="3"/>
      <c r="D298" s="3"/>
    </row>
    <row r="299" spans="3:4" hidden="1" x14ac:dyDescent="0.2">
      <c r="C299" s="3"/>
      <c r="D299" s="3"/>
    </row>
    <row r="300" spans="3:4" hidden="1" x14ac:dyDescent="0.2">
      <c r="C300" s="3"/>
      <c r="D300" s="3"/>
    </row>
    <row r="301" spans="3:4" hidden="1" x14ac:dyDescent="0.2">
      <c r="C301" s="3"/>
      <c r="D301" s="3"/>
    </row>
    <row r="302" spans="3:4" hidden="1" x14ac:dyDescent="0.2">
      <c r="C302" s="3"/>
      <c r="D302" s="3"/>
    </row>
    <row r="303" spans="3:4" hidden="1" x14ac:dyDescent="0.2">
      <c r="C303" s="3"/>
      <c r="D303" s="3"/>
    </row>
    <row r="304" spans="3:4" hidden="1" x14ac:dyDescent="0.2">
      <c r="C304" s="3"/>
      <c r="D304" s="3"/>
    </row>
    <row r="305" spans="3:4" hidden="1" x14ac:dyDescent="0.2">
      <c r="C305" s="3"/>
      <c r="D305" s="3"/>
    </row>
    <row r="306" spans="3:4" hidden="1" x14ac:dyDescent="0.2">
      <c r="C306" s="3"/>
      <c r="D306" s="3"/>
    </row>
    <row r="307" spans="3:4" hidden="1" x14ac:dyDescent="0.2">
      <c r="C307" s="3"/>
      <c r="D307" s="3"/>
    </row>
    <row r="308" spans="3:4" hidden="1" x14ac:dyDescent="0.2">
      <c r="C308" s="3"/>
      <c r="D308" s="3"/>
    </row>
    <row r="309" spans="3:4" hidden="1" x14ac:dyDescent="0.2">
      <c r="C309" s="3"/>
      <c r="D309" s="3"/>
    </row>
    <row r="310" spans="3:4" hidden="1" x14ac:dyDescent="0.2">
      <c r="C310" s="3"/>
      <c r="D310" s="3"/>
    </row>
    <row r="311" spans="3:4" hidden="1" x14ac:dyDescent="0.2">
      <c r="C311" s="3"/>
      <c r="D311" s="3"/>
    </row>
    <row r="312" spans="3:4" hidden="1" x14ac:dyDescent="0.2">
      <c r="C312" s="3"/>
      <c r="D312" s="3"/>
    </row>
    <row r="313" spans="3:4" hidden="1" x14ac:dyDescent="0.2">
      <c r="C313" s="3"/>
      <c r="D313" s="3"/>
    </row>
    <row r="314" spans="3:4" hidden="1" x14ac:dyDescent="0.2">
      <c r="C314" s="3"/>
      <c r="D314" s="3"/>
    </row>
    <row r="315" spans="3:4" hidden="1" x14ac:dyDescent="0.2">
      <c r="C315" s="3"/>
      <c r="D315" s="3"/>
    </row>
    <row r="316" spans="3:4" hidden="1" x14ac:dyDescent="0.2">
      <c r="C316" s="3"/>
      <c r="D316" s="3"/>
    </row>
    <row r="317" spans="3:4" hidden="1" x14ac:dyDescent="0.2">
      <c r="C317" s="3"/>
      <c r="D317" s="3"/>
    </row>
    <row r="318" spans="3:4" hidden="1" x14ac:dyDescent="0.2">
      <c r="C318" s="3"/>
      <c r="D318" s="3"/>
    </row>
    <row r="319" spans="3:4" hidden="1" x14ac:dyDescent="0.2">
      <c r="C319" s="3"/>
      <c r="D319" s="3"/>
    </row>
    <row r="320" spans="3:4" hidden="1" x14ac:dyDescent="0.2">
      <c r="C320" s="3"/>
      <c r="D320" s="3"/>
    </row>
    <row r="321" spans="3:4" hidden="1" x14ac:dyDescent="0.2">
      <c r="C321" s="3"/>
      <c r="D321" s="3"/>
    </row>
    <row r="322" spans="3:4" hidden="1" x14ac:dyDescent="0.2">
      <c r="C322" s="3"/>
      <c r="D322" s="3"/>
    </row>
    <row r="323" spans="3:4" hidden="1" x14ac:dyDescent="0.2">
      <c r="C323" s="3"/>
      <c r="D323" s="3"/>
    </row>
    <row r="324" spans="3:4" hidden="1" x14ac:dyDescent="0.2">
      <c r="C324" s="3"/>
      <c r="D324" s="3"/>
    </row>
    <row r="325" spans="3:4" hidden="1" x14ac:dyDescent="0.2">
      <c r="C325" s="3"/>
      <c r="D325" s="3"/>
    </row>
    <row r="326" spans="3:4" hidden="1" x14ac:dyDescent="0.2">
      <c r="C326" s="3"/>
      <c r="D326" s="3"/>
    </row>
    <row r="327" spans="3:4" hidden="1" x14ac:dyDescent="0.2">
      <c r="C327" s="3"/>
      <c r="D327" s="3"/>
    </row>
    <row r="328" spans="3:4" hidden="1" x14ac:dyDescent="0.2">
      <c r="C328" s="3"/>
      <c r="D328" s="3"/>
    </row>
    <row r="329" spans="3:4" hidden="1" x14ac:dyDescent="0.2">
      <c r="C329" s="3"/>
      <c r="D329" s="3"/>
    </row>
    <row r="330" spans="3:4" hidden="1" x14ac:dyDescent="0.2">
      <c r="C330" s="3"/>
      <c r="D330" s="3"/>
    </row>
    <row r="331" spans="3:4" hidden="1" x14ac:dyDescent="0.2">
      <c r="C331" s="3"/>
      <c r="D331" s="3"/>
    </row>
    <row r="332" spans="3:4" hidden="1" x14ac:dyDescent="0.2">
      <c r="C332" s="3"/>
      <c r="D332" s="3"/>
    </row>
    <row r="333" spans="3:4" hidden="1" x14ac:dyDescent="0.2">
      <c r="C333" s="3"/>
      <c r="D333" s="3"/>
    </row>
    <row r="334" spans="3:4" hidden="1" x14ac:dyDescent="0.2">
      <c r="C334" s="3"/>
      <c r="D334" s="3"/>
    </row>
    <row r="335" spans="3:4" hidden="1" x14ac:dyDescent="0.2">
      <c r="C335" s="3"/>
      <c r="D335" s="3"/>
    </row>
    <row r="336" spans="3:4" hidden="1" x14ac:dyDescent="0.2">
      <c r="C336" s="3"/>
      <c r="D336" s="3"/>
    </row>
    <row r="337" spans="3:4" hidden="1" x14ac:dyDescent="0.2">
      <c r="C337" s="3"/>
      <c r="D337" s="3"/>
    </row>
    <row r="338" spans="3:4" hidden="1" x14ac:dyDescent="0.2">
      <c r="C338" s="3"/>
      <c r="D338" s="3"/>
    </row>
    <row r="339" spans="3:4" hidden="1" x14ac:dyDescent="0.2">
      <c r="C339" s="3"/>
      <c r="D339" s="3"/>
    </row>
    <row r="340" spans="3:4" hidden="1" x14ac:dyDescent="0.2">
      <c r="C340" s="3"/>
      <c r="D340" s="3"/>
    </row>
    <row r="341" spans="3:4" hidden="1" x14ac:dyDescent="0.2">
      <c r="C341" s="3"/>
      <c r="D341" s="3"/>
    </row>
    <row r="342" spans="3:4" hidden="1" x14ac:dyDescent="0.2">
      <c r="C342" s="3"/>
      <c r="D342" s="3"/>
    </row>
    <row r="343" spans="3:4" hidden="1" x14ac:dyDescent="0.2">
      <c r="C343" s="3"/>
      <c r="D343" s="3"/>
    </row>
    <row r="344" spans="3:4" hidden="1" x14ac:dyDescent="0.2">
      <c r="C344" s="3"/>
      <c r="D344" s="3"/>
    </row>
    <row r="345" spans="3:4" hidden="1" x14ac:dyDescent="0.2">
      <c r="C345" s="3"/>
      <c r="D345" s="3"/>
    </row>
    <row r="346" spans="3:4" hidden="1" x14ac:dyDescent="0.2">
      <c r="C346" s="3"/>
      <c r="D346" s="3"/>
    </row>
    <row r="347" spans="3:4" hidden="1" x14ac:dyDescent="0.2">
      <c r="C347" s="3"/>
      <c r="D347" s="3"/>
    </row>
    <row r="348" spans="3:4" hidden="1" x14ac:dyDescent="0.2">
      <c r="C348" s="3"/>
      <c r="D348" s="3"/>
    </row>
    <row r="349" spans="3:4" hidden="1" x14ac:dyDescent="0.2">
      <c r="C349" s="3"/>
      <c r="D349" s="3"/>
    </row>
    <row r="350" spans="3:4" hidden="1" x14ac:dyDescent="0.2">
      <c r="C350" s="3"/>
      <c r="D350" s="3"/>
    </row>
    <row r="351" spans="3:4" hidden="1" x14ac:dyDescent="0.2">
      <c r="C351" s="3"/>
      <c r="D351" s="3"/>
    </row>
    <row r="352" spans="3:4" hidden="1" x14ac:dyDescent="0.2">
      <c r="C352" s="3"/>
      <c r="D352" s="3"/>
    </row>
    <row r="353" spans="3:4" hidden="1" x14ac:dyDescent="0.2">
      <c r="C353" s="3"/>
      <c r="D353" s="3"/>
    </row>
    <row r="354" spans="3:4" hidden="1" x14ac:dyDescent="0.2">
      <c r="C354" s="3"/>
      <c r="D354" s="3"/>
    </row>
    <row r="355" spans="3:4" hidden="1" x14ac:dyDescent="0.2">
      <c r="C355" s="3"/>
      <c r="D355" s="3"/>
    </row>
    <row r="356" spans="3:4" hidden="1" x14ac:dyDescent="0.2">
      <c r="C356" s="3"/>
      <c r="D356" s="3"/>
    </row>
    <row r="357" spans="3:4" hidden="1" x14ac:dyDescent="0.2">
      <c r="C357" s="3"/>
      <c r="D357" s="3"/>
    </row>
    <row r="358" spans="3:4" hidden="1" x14ac:dyDescent="0.2">
      <c r="C358" s="3"/>
      <c r="D358" s="3"/>
    </row>
    <row r="359" spans="3:4" hidden="1" x14ac:dyDescent="0.2">
      <c r="C359" s="3"/>
      <c r="D359" s="3"/>
    </row>
    <row r="360" spans="3:4" hidden="1" x14ac:dyDescent="0.2">
      <c r="C360" s="3"/>
      <c r="D360" s="3"/>
    </row>
    <row r="361" spans="3:4" hidden="1" x14ac:dyDescent="0.2">
      <c r="C361" s="3"/>
      <c r="D361" s="3"/>
    </row>
    <row r="362" spans="3:4" hidden="1" x14ac:dyDescent="0.2">
      <c r="C362" s="3"/>
      <c r="D362" s="3"/>
    </row>
    <row r="363" spans="3:4" hidden="1" x14ac:dyDescent="0.2">
      <c r="C363" s="3"/>
      <c r="D363" s="3"/>
    </row>
    <row r="364" spans="3:4" hidden="1" x14ac:dyDescent="0.2">
      <c r="C364" s="3"/>
      <c r="D364" s="3"/>
    </row>
    <row r="365" spans="3:4" hidden="1" x14ac:dyDescent="0.2">
      <c r="C365" s="3"/>
      <c r="D365" s="3"/>
    </row>
    <row r="366" spans="3:4" hidden="1" x14ac:dyDescent="0.2">
      <c r="C366" s="3"/>
      <c r="D366" s="3"/>
    </row>
    <row r="367" spans="3:4" hidden="1" x14ac:dyDescent="0.2">
      <c r="C367" s="3"/>
      <c r="D367" s="3"/>
    </row>
    <row r="368" spans="3:4" hidden="1" x14ac:dyDescent="0.2">
      <c r="C368" s="3"/>
      <c r="D368" s="3"/>
    </row>
    <row r="369" spans="3:4" hidden="1" x14ac:dyDescent="0.2">
      <c r="C369" s="3"/>
      <c r="D369" s="3"/>
    </row>
    <row r="370" spans="3:4" hidden="1" x14ac:dyDescent="0.2">
      <c r="C370" s="3"/>
      <c r="D370" s="3"/>
    </row>
    <row r="371" spans="3:4" hidden="1" x14ac:dyDescent="0.2">
      <c r="C371" s="3"/>
      <c r="D371" s="3"/>
    </row>
    <row r="372" spans="3:4" hidden="1" x14ac:dyDescent="0.2">
      <c r="C372" s="3"/>
      <c r="D372" s="3"/>
    </row>
    <row r="373" spans="3:4" hidden="1" x14ac:dyDescent="0.2">
      <c r="C373" s="3"/>
      <c r="D373" s="3"/>
    </row>
    <row r="374" spans="3:4" hidden="1" x14ac:dyDescent="0.2">
      <c r="C374" s="3"/>
      <c r="D374" s="3"/>
    </row>
    <row r="375" spans="3:4" hidden="1" x14ac:dyDescent="0.2">
      <c r="C375" s="3"/>
      <c r="D375" s="3"/>
    </row>
    <row r="376" spans="3:4" hidden="1" x14ac:dyDescent="0.2">
      <c r="C376" s="3"/>
      <c r="D376" s="3"/>
    </row>
    <row r="377" spans="3:4" hidden="1" x14ac:dyDescent="0.2">
      <c r="C377" s="3"/>
      <c r="D377" s="3"/>
    </row>
    <row r="378" spans="3:4" hidden="1" x14ac:dyDescent="0.2">
      <c r="C378" s="3"/>
      <c r="D378" s="3"/>
    </row>
    <row r="379" spans="3:4" hidden="1" x14ac:dyDescent="0.2">
      <c r="C379" s="3"/>
      <c r="D379" s="3"/>
    </row>
    <row r="380" spans="3:4" hidden="1" x14ac:dyDescent="0.2">
      <c r="C380" s="3"/>
      <c r="D380" s="3"/>
    </row>
    <row r="381" spans="3:4" hidden="1" x14ac:dyDescent="0.2">
      <c r="C381" s="3"/>
      <c r="D381" s="3"/>
    </row>
    <row r="382" spans="3:4" hidden="1" x14ac:dyDescent="0.2">
      <c r="C382" s="3"/>
      <c r="D382" s="3"/>
    </row>
    <row r="383" spans="3:4" hidden="1" x14ac:dyDescent="0.2">
      <c r="C383" s="3"/>
      <c r="D383" s="3"/>
    </row>
    <row r="384" spans="3:4" hidden="1" x14ac:dyDescent="0.2">
      <c r="C384" s="3"/>
      <c r="D384" s="3"/>
    </row>
    <row r="385" spans="3:4" hidden="1" x14ac:dyDescent="0.2">
      <c r="C385" s="3"/>
      <c r="D385" s="3"/>
    </row>
    <row r="386" spans="3:4" hidden="1" x14ac:dyDescent="0.2">
      <c r="C386" s="3"/>
      <c r="D386" s="3"/>
    </row>
    <row r="387" spans="3:4" hidden="1" x14ac:dyDescent="0.2">
      <c r="C387" s="3"/>
      <c r="D387" s="3"/>
    </row>
    <row r="388" spans="3:4" hidden="1" x14ac:dyDescent="0.2">
      <c r="C388" s="3"/>
      <c r="D388" s="3"/>
    </row>
    <row r="389" spans="3:4" hidden="1" x14ac:dyDescent="0.2">
      <c r="C389" s="3"/>
      <c r="D389" s="3"/>
    </row>
    <row r="390" spans="3:4" hidden="1" x14ac:dyDescent="0.2">
      <c r="C390" s="3"/>
      <c r="D390" s="3"/>
    </row>
    <row r="391" spans="3:4" hidden="1" x14ac:dyDescent="0.2">
      <c r="C391" s="3"/>
      <c r="D391" s="3"/>
    </row>
    <row r="392" spans="3:4" hidden="1" x14ac:dyDescent="0.2">
      <c r="C392" s="3"/>
      <c r="D392" s="3"/>
    </row>
    <row r="393" spans="3:4" hidden="1" x14ac:dyDescent="0.2">
      <c r="C393" s="3"/>
      <c r="D393" s="3"/>
    </row>
    <row r="394" spans="3:4" hidden="1" x14ac:dyDescent="0.2">
      <c r="C394" s="3"/>
      <c r="D394" s="3"/>
    </row>
    <row r="395" spans="3:4" hidden="1" x14ac:dyDescent="0.2">
      <c r="C395" s="3"/>
      <c r="D395" s="3"/>
    </row>
    <row r="396" spans="3:4" hidden="1" x14ac:dyDescent="0.2">
      <c r="C396" s="3"/>
      <c r="D396" s="3"/>
    </row>
    <row r="397" spans="3:4" hidden="1" x14ac:dyDescent="0.2">
      <c r="C397" s="3"/>
      <c r="D397" s="3"/>
    </row>
    <row r="398" spans="3:4" hidden="1" x14ac:dyDescent="0.2">
      <c r="C398" s="3"/>
      <c r="D398" s="3"/>
    </row>
    <row r="399" spans="3:4" hidden="1" x14ac:dyDescent="0.2">
      <c r="C399" s="3"/>
      <c r="D399" s="3"/>
    </row>
    <row r="400" spans="3:4" hidden="1" x14ac:dyDescent="0.2">
      <c r="C400" s="3"/>
      <c r="D400" s="3"/>
    </row>
    <row r="401" spans="3:4" hidden="1" x14ac:dyDescent="0.2">
      <c r="C401" s="3"/>
      <c r="D401" s="3"/>
    </row>
    <row r="402" spans="3:4" hidden="1" x14ac:dyDescent="0.2">
      <c r="C402" s="3"/>
      <c r="D402" s="3"/>
    </row>
    <row r="403" spans="3:4" hidden="1" x14ac:dyDescent="0.2">
      <c r="C403" s="3"/>
      <c r="D403" s="3"/>
    </row>
    <row r="404" spans="3:4" hidden="1" x14ac:dyDescent="0.2">
      <c r="C404" s="3"/>
      <c r="D404" s="3"/>
    </row>
    <row r="405" spans="3:4" hidden="1" x14ac:dyDescent="0.2">
      <c r="C405" s="3"/>
      <c r="D405" s="3"/>
    </row>
    <row r="406" spans="3:4" hidden="1" x14ac:dyDescent="0.2">
      <c r="C406" s="3"/>
      <c r="D406" s="3"/>
    </row>
    <row r="407" spans="3:4" hidden="1" x14ac:dyDescent="0.2">
      <c r="C407" s="3"/>
      <c r="D407" s="3"/>
    </row>
    <row r="408" spans="3:4" hidden="1" x14ac:dyDescent="0.2">
      <c r="C408" s="3"/>
      <c r="D408" s="3"/>
    </row>
    <row r="409" spans="3:4" hidden="1" x14ac:dyDescent="0.2">
      <c r="C409" s="3"/>
      <c r="D409" s="3"/>
    </row>
    <row r="410" spans="3:4" hidden="1" x14ac:dyDescent="0.2">
      <c r="C410" s="3"/>
      <c r="D410" s="3"/>
    </row>
    <row r="411" spans="3:4" hidden="1" x14ac:dyDescent="0.2">
      <c r="C411" s="3"/>
      <c r="D411" s="3"/>
    </row>
    <row r="412" spans="3:4" hidden="1" x14ac:dyDescent="0.2">
      <c r="C412" s="3"/>
      <c r="D412" s="3"/>
    </row>
    <row r="413" spans="3:4" hidden="1" x14ac:dyDescent="0.2">
      <c r="C413" s="3"/>
      <c r="D413" s="3"/>
    </row>
    <row r="414" spans="3:4" hidden="1" x14ac:dyDescent="0.2">
      <c r="C414" s="3"/>
      <c r="D414" s="3"/>
    </row>
    <row r="415" spans="3:4" hidden="1" x14ac:dyDescent="0.2">
      <c r="C415" s="3"/>
      <c r="D415" s="3"/>
    </row>
    <row r="416" spans="3:4" hidden="1" x14ac:dyDescent="0.2">
      <c r="C416" s="3"/>
      <c r="D416" s="3"/>
    </row>
    <row r="417" spans="3:4" hidden="1" x14ac:dyDescent="0.2">
      <c r="C417" s="3"/>
      <c r="D417" s="3"/>
    </row>
    <row r="418" spans="3:4" hidden="1" x14ac:dyDescent="0.2">
      <c r="C418" s="3"/>
      <c r="D418" s="3"/>
    </row>
    <row r="419" spans="3:4" hidden="1" x14ac:dyDescent="0.2">
      <c r="C419" s="3"/>
      <c r="D419" s="3"/>
    </row>
    <row r="420" spans="3:4" hidden="1" x14ac:dyDescent="0.2">
      <c r="C420" s="3"/>
      <c r="D420" s="3"/>
    </row>
    <row r="421" spans="3:4" hidden="1" x14ac:dyDescent="0.2">
      <c r="C421" s="3"/>
      <c r="D421" s="3"/>
    </row>
    <row r="422" spans="3:4" hidden="1" x14ac:dyDescent="0.2">
      <c r="C422" s="3"/>
      <c r="D422" s="3"/>
    </row>
    <row r="423" spans="3:4" hidden="1" x14ac:dyDescent="0.2">
      <c r="C423" s="3"/>
      <c r="D423" s="3"/>
    </row>
    <row r="424" spans="3:4" hidden="1" x14ac:dyDescent="0.2">
      <c r="C424" s="3"/>
      <c r="D424" s="3"/>
    </row>
    <row r="425" spans="3:4" hidden="1" x14ac:dyDescent="0.2">
      <c r="C425" s="3"/>
      <c r="D425" s="3"/>
    </row>
    <row r="426" spans="3:4" hidden="1" x14ac:dyDescent="0.2">
      <c r="C426" s="3"/>
      <c r="D426" s="3"/>
    </row>
    <row r="427" spans="3:4" hidden="1" x14ac:dyDescent="0.2">
      <c r="C427" s="3"/>
      <c r="D427" s="3"/>
    </row>
    <row r="428" spans="3:4" hidden="1" x14ac:dyDescent="0.2">
      <c r="C428" s="3"/>
      <c r="D428" s="3"/>
    </row>
    <row r="429" spans="3:4" hidden="1" x14ac:dyDescent="0.2">
      <c r="C429" s="3"/>
      <c r="D429" s="3"/>
    </row>
    <row r="430" spans="3:4" hidden="1" x14ac:dyDescent="0.2">
      <c r="C430" s="3"/>
      <c r="D430" s="3"/>
    </row>
    <row r="431" spans="3:4" hidden="1" x14ac:dyDescent="0.2">
      <c r="C431" s="3"/>
      <c r="D431" s="3"/>
    </row>
    <row r="432" spans="3:4" hidden="1" x14ac:dyDescent="0.2">
      <c r="C432" s="3"/>
      <c r="D432" s="3"/>
    </row>
    <row r="433" spans="3:4" hidden="1" x14ac:dyDescent="0.2">
      <c r="C433" s="3"/>
      <c r="D433" s="3"/>
    </row>
    <row r="434" spans="3:4" hidden="1" x14ac:dyDescent="0.2">
      <c r="C434" s="3"/>
      <c r="D434" s="3"/>
    </row>
    <row r="435" spans="3:4" hidden="1" x14ac:dyDescent="0.2">
      <c r="C435" s="3"/>
      <c r="D435" s="3"/>
    </row>
    <row r="436" spans="3:4" hidden="1" x14ac:dyDescent="0.2">
      <c r="C436" s="3"/>
      <c r="D436" s="3"/>
    </row>
    <row r="437" spans="3:4" hidden="1" x14ac:dyDescent="0.2">
      <c r="C437" s="3"/>
      <c r="D437" s="3"/>
    </row>
    <row r="438" spans="3:4" hidden="1" x14ac:dyDescent="0.2">
      <c r="C438" s="3"/>
      <c r="D438" s="3"/>
    </row>
    <row r="439" spans="3:4" hidden="1" x14ac:dyDescent="0.2">
      <c r="C439" s="3"/>
      <c r="D439" s="3"/>
    </row>
    <row r="440" spans="3:4" hidden="1" x14ac:dyDescent="0.2">
      <c r="C440" s="3"/>
      <c r="D440" s="3"/>
    </row>
    <row r="441" spans="3:4" hidden="1" x14ac:dyDescent="0.2">
      <c r="C441" s="3"/>
      <c r="D441" s="3"/>
    </row>
    <row r="442" spans="3:4" hidden="1" x14ac:dyDescent="0.2">
      <c r="C442" s="3"/>
      <c r="D442" s="3"/>
    </row>
    <row r="443" spans="3:4" hidden="1" x14ac:dyDescent="0.2">
      <c r="C443" s="3"/>
      <c r="D443" s="3"/>
    </row>
    <row r="444" spans="3:4" hidden="1" x14ac:dyDescent="0.2">
      <c r="C444" s="3"/>
      <c r="D444" s="3"/>
    </row>
    <row r="445" spans="3:4" hidden="1" x14ac:dyDescent="0.2">
      <c r="C445" s="3"/>
      <c r="D445" s="3"/>
    </row>
    <row r="446" spans="3:4" hidden="1" x14ac:dyDescent="0.2">
      <c r="C446" s="3"/>
      <c r="D446" s="3"/>
    </row>
    <row r="447" spans="3:4" hidden="1" x14ac:dyDescent="0.2">
      <c r="C447" s="3"/>
      <c r="D447" s="3"/>
    </row>
    <row r="448" spans="3:4" hidden="1" x14ac:dyDescent="0.2">
      <c r="C448" s="3"/>
      <c r="D448" s="3"/>
    </row>
    <row r="449" spans="3:4" hidden="1" x14ac:dyDescent="0.2">
      <c r="C449" s="3"/>
      <c r="D449" s="3"/>
    </row>
    <row r="450" spans="3:4" hidden="1" x14ac:dyDescent="0.2">
      <c r="C450" s="3"/>
      <c r="D450" s="3"/>
    </row>
    <row r="451" spans="3:4" hidden="1" x14ac:dyDescent="0.2">
      <c r="C451" s="3"/>
      <c r="D451" s="3"/>
    </row>
    <row r="452" spans="3:4" hidden="1" x14ac:dyDescent="0.2">
      <c r="C452" s="3"/>
      <c r="D452" s="3"/>
    </row>
    <row r="453" spans="3:4" hidden="1" x14ac:dyDescent="0.2">
      <c r="C453" s="3"/>
      <c r="D453" s="3"/>
    </row>
    <row r="454" spans="3:4" hidden="1" x14ac:dyDescent="0.2">
      <c r="C454" s="3"/>
      <c r="D454" s="3"/>
    </row>
    <row r="455" spans="3:4" hidden="1" x14ac:dyDescent="0.2">
      <c r="C455" s="3"/>
      <c r="D455" s="3"/>
    </row>
    <row r="456" spans="3:4" hidden="1" x14ac:dyDescent="0.2">
      <c r="C456" s="3"/>
      <c r="D456" s="3"/>
    </row>
    <row r="457" spans="3:4" hidden="1" x14ac:dyDescent="0.2">
      <c r="C457" s="3"/>
      <c r="D457" s="3"/>
    </row>
    <row r="458" spans="3:4" hidden="1" x14ac:dyDescent="0.2">
      <c r="C458" s="3"/>
      <c r="D458" s="3"/>
    </row>
    <row r="459" spans="3:4" hidden="1" x14ac:dyDescent="0.2">
      <c r="C459" s="3"/>
      <c r="D459" s="3"/>
    </row>
    <row r="460" spans="3:4" hidden="1" x14ac:dyDescent="0.2">
      <c r="C460" s="3"/>
      <c r="D460" s="3"/>
    </row>
    <row r="461" spans="3:4" hidden="1" x14ac:dyDescent="0.2">
      <c r="C461" s="3"/>
      <c r="D461" s="3"/>
    </row>
    <row r="462" spans="3:4" hidden="1" x14ac:dyDescent="0.2">
      <c r="C462" s="3"/>
      <c r="D462" s="3"/>
    </row>
    <row r="463" spans="3:4" hidden="1" x14ac:dyDescent="0.2">
      <c r="C463" s="3"/>
      <c r="D463" s="3"/>
    </row>
    <row r="464" spans="3:4" hidden="1" x14ac:dyDescent="0.2">
      <c r="C464" s="3"/>
      <c r="D464" s="3"/>
    </row>
    <row r="465" spans="3:4" hidden="1" x14ac:dyDescent="0.2">
      <c r="C465" s="3"/>
      <c r="D465" s="3"/>
    </row>
    <row r="466" spans="3:4" hidden="1" x14ac:dyDescent="0.2">
      <c r="C466" s="3"/>
      <c r="D466" s="3"/>
    </row>
    <row r="467" spans="3:4" hidden="1" x14ac:dyDescent="0.2">
      <c r="C467" s="3"/>
      <c r="D467" s="3"/>
    </row>
    <row r="468" spans="3:4" hidden="1" x14ac:dyDescent="0.2">
      <c r="C468" s="3"/>
      <c r="D468" s="3"/>
    </row>
    <row r="469" spans="3:4" hidden="1" x14ac:dyDescent="0.2">
      <c r="C469" s="3"/>
      <c r="D469" s="3"/>
    </row>
    <row r="470" spans="3:4" hidden="1" x14ac:dyDescent="0.2">
      <c r="C470" s="3"/>
      <c r="D470" s="3"/>
    </row>
    <row r="471" spans="3:4" hidden="1" x14ac:dyDescent="0.2">
      <c r="C471" s="3"/>
      <c r="D471" s="3"/>
    </row>
    <row r="472" spans="3:4" hidden="1" x14ac:dyDescent="0.2">
      <c r="C472" s="3"/>
      <c r="D472" s="3"/>
    </row>
    <row r="473" spans="3:4" hidden="1" x14ac:dyDescent="0.2">
      <c r="C473" s="3"/>
      <c r="D473" s="3"/>
    </row>
    <row r="474" spans="3:4" hidden="1" x14ac:dyDescent="0.2">
      <c r="C474" s="3"/>
      <c r="D474" s="3"/>
    </row>
    <row r="475" spans="3:4" hidden="1" x14ac:dyDescent="0.2">
      <c r="C475" s="3"/>
      <c r="D475" s="3"/>
    </row>
    <row r="476" spans="3:4" hidden="1" x14ac:dyDescent="0.2">
      <c r="C476" s="3"/>
      <c r="D476" s="3"/>
    </row>
    <row r="477" spans="3:4" hidden="1" x14ac:dyDescent="0.2">
      <c r="C477" s="3"/>
      <c r="D477" s="3"/>
    </row>
    <row r="478" spans="3:4" hidden="1" x14ac:dyDescent="0.2">
      <c r="C478" s="3"/>
      <c r="D478" s="3"/>
    </row>
    <row r="479" spans="3:4" hidden="1" x14ac:dyDescent="0.2">
      <c r="C479" s="3"/>
      <c r="D479" s="3"/>
    </row>
    <row r="480" spans="3:4" hidden="1" x14ac:dyDescent="0.2">
      <c r="C480" s="3"/>
      <c r="D480" s="3"/>
    </row>
    <row r="481" spans="3:4" hidden="1" x14ac:dyDescent="0.2">
      <c r="C481" s="3"/>
      <c r="D481" s="3"/>
    </row>
    <row r="482" spans="3:4" hidden="1" x14ac:dyDescent="0.2">
      <c r="C482" s="3"/>
      <c r="D482" s="3"/>
    </row>
    <row r="483" spans="3:4" hidden="1" x14ac:dyDescent="0.2">
      <c r="C483" s="3"/>
      <c r="D483" s="3"/>
    </row>
    <row r="484" spans="3:4" hidden="1" x14ac:dyDescent="0.2">
      <c r="C484" s="3"/>
      <c r="D484" s="3"/>
    </row>
    <row r="485" spans="3:4" hidden="1" x14ac:dyDescent="0.2">
      <c r="C485" s="3"/>
      <c r="D485" s="3"/>
    </row>
    <row r="486" spans="3:4" hidden="1" x14ac:dyDescent="0.2">
      <c r="C486" s="3"/>
      <c r="D486" s="3"/>
    </row>
    <row r="487" spans="3:4" hidden="1" x14ac:dyDescent="0.2">
      <c r="C487" s="3"/>
      <c r="D487" s="3"/>
    </row>
    <row r="488" spans="3:4" hidden="1" x14ac:dyDescent="0.2">
      <c r="C488" s="3"/>
      <c r="D488" s="3"/>
    </row>
    <row r="489" spans="3:4" hidden="1" x14ac:dyDescent="0.2">
      <c r="C489" s="3"/>
      <c r="D489" s="3"/>
    </row>
    <row r="490" spans="3:4" hidden="1" x14ac:dyDescent="0.2">
      <c r="C490" s="3"/>
      <c r="D490" s="3"/>
    </row>
    <row r="491" spans="3:4" hidden="1" x14ac:dyDescent="0.2">
      <c r="C491" s="3"/>
      <c r="D491" s="3"/>
    </row>
    <row r="492" spans="3:4" hidden="1" x14ac:dyDescent="0.2">
      <c r="C492" s="3"/>
      <c r="D492" s="3"/>
    </row>
    <row r="493" spans="3:4" hidden="1" x14ac:dyDescent="0.2">
      <c r="C493" s="3"/>
      <c r="D493" s="3"/>
    </row>
    <row r="494" spans="3:4" hidden="1" x14ac:dyDescent="0.2">
      <c r="C494" s="3"/>
      <c r="D494" s="3"/>
    </row>
    <row r="495" spans="3:4" hidden="1" x14ac:dyDescent="0.2">
      <c r="C495" s="3"/>
      <c r="D495" s="3"/>
    </row>
    <row r="496" spans="3:4" hidden="1" x14ac:dyDescent="0.2">
      <c r="C496" s="3"/>
      <c r="D496" s="3"/>
    </row>
    <row r="497" spans="3:4" hidden="1" x14ac:dyDescent="0.2">
      <c r="C497" s="3"/>
      <c r="D497" s="3"/>
    </row>
    <row r="498" spans="3:4" hidden="1" x14ac:dyDescent="0.2">
      <c r="C498" s="3"/>
      <c r="D498" s="3"/>
    </row>
    <row r="499" spans="3:4" hidden="1" x14ac:dyDescent="0.2">
      <c r="C499" s="3"/>
      <c r="D499" s="3"/>
    </row>
    <row r="500" spans="3:4" hidden="1" x14ac:dyDescent="0.2">
      <c r="C500" s="3"/>
      <c r="D500" s="3"/>
    </row>
    <row r="501" spans="3:4" hidden="1" x14ac:dyDescent="0.2">
      <c r="C501" s="3"/>
      <c r="D501" s="3"/>
    </row>
    <row r="502" spans="3:4" hidden="1" x14ac:dyDescent="0.2">
      <c r="C502" s="3"/>
      <c r="D502" s="3"/>
    </row>
    <row r="503" spans="3:4" hidden="1" x14ac:dyDescent="0.2">
      <c r="C503" s="3"/>
      <c r="D503" s="3"/>
    </row>
    <row r="504" spans="3:4" hidden="1" x14ac:dyDescent="0.2">
      <c r="C504" s="3"/>
      <c r="D504" s="3"/>
    </row>
    <row r="505" spans="3:4" hidden="1" x14ac:dyDescent="0.2">
      <c r="C505" s="3"/>
      <c r="D505" s="3"/>
    </row>
    <row r="506" spans="3:4" hidden="1" x14ac:dyDescent="0.2">
      <c r="C506" s="3"/>
      <c r="D506" s="3"/>
    </row>
    <row r="507" spans="3:4" hidden="1" x14ac:dyDescent="0.2">
      <c r="C507" s="3"/>
      <c r="D507" s="3"/>
    </row>
    <row r="508" spans="3:4" hidden="1" x14ac:dyDescent="0.2">
      <c r="C508" s="3"/>
      <c r="D508" s="3"/>
    </row>
    <row r="509" spans="3:4" hidden="1" x14ac:dyDescent="0.2">
      <c r="C509" s="3"/>
      <c r="D509" s="3"/>
    </row>
    <row r="510" spans="3:4" hidden="1" x14ac:dyDescent="0.2">
      <c r="C510" s="3"/>
      <c r="D510" s="3"/>
    </row>
    <row r="511" spans="3:4" hidden="1" x14ac:dyDescent="0.2">
      <c r="C511" s="3"/>
      <c r="D511" s="3"/>
    </row>
    <row r="512" spans="3:4" hidden="1" x14ac:dyDescent="0.2">
      <c r="C512" s="3"/>
      <c r="D512" s="3"/>
    </row>
    <row r="513" spans="3:4" hidden="1" x14ac:dyDescent="0.2">
      <c r="C513" s="3"/>
      <c r="D513" s="3"/>
    </row>
    <row r="514" spans="3:4" hidden="1" x14ac:dyDescent="0.2">
      <c r="C514" s="3"/>
      <c r="D514" s="3"/>
    </row>
    <row r="515" spans="3:4" hidden="1" x14ac:dyDescent="0.2">
      <c r="C515" s="3"/>
      <c r="D515" s="3"/>
    </row>
    <row r="516" spans="3:4" hidden="1" x14ac:dyDescent="0.2">
      <c r="C516" s="3"/>
      <c r="D516" s="3"/>
    </row>
    <row r="517" spans="3:4" hidden="1" x14ac:dyDescent="0.2">
      <c r="C517" s="3"/>
      <c r="D517" s="3"/>
    </row>
    <row r="518" spans="3:4" hidden="1" x14ac:dyDescent="0.2">
      <c r="C518" s="3"/>
      <c r="D518" s="3"/>
    </row>
    <row r="519" spans="3:4" hidden="1" x14ac:dyDescent="0.2">
      <c r="C519" s="3"/>
      <c r="D519" s="3"/>
    </row>
    <row r="520" spans="3:4" hidden="1" x14ac:dyDescent="0.2">
      <c r="C520" s="3"/>
      <c r="D520" s="3"/>
    </row>
    <row r="521" spans="3:4" hidden="1" x14ac:dyDescent="0.2">
      <c r="C521" s="3"/>
      <c r="D521" s="3"/>
    </row>
    <row r="522" spans="3:4" hidden="1" x14ac:dyDescent="0.2">
      <c r="C522" s="3"/>
      <c r="D522" s="3"/>
    </row>
    <row r="523" spans="3:4" hidden="1" x14ac:dyDescent="0.2">
      <c r="C523" s="3"/>
      <c r="D523" s="3"/>
    </row>
    <row r="524" spans="3:4" hidden="1" x14ac:dyDescent="0.2">
      <c r="C524" s="3"/>
      <c r="D524" s="3"/>
    </row>
    <row r="525" spans="3:4" hidden="1" x14ac:dyDescent="0.2">
      <c r="C525" s="3"/>
      <c r="D525" s="3"/>
    </row>
    <row r="526" spans="3:4" hidden="1" x14ac:dyDescent="0.2">
      <c r="C526" s="3"/>
      <c r="D526" s="3"/>
    </row>
    <row r="527" spans="3:4" hidden="1" x14ac:dyDescent="0.2">
      <c r="C527" s="3"/>
      <c r="D527" s="3"/>
    </row>
    <row r="528" spans="3:4" hidden="1" x14ac:dyDescent="0.2">
      <c r="C528" s="3"/>
      <c r="D528" s="3"/>
    </row>
    <row r="529" spans="3:4" hidden="1" x14ac:dyDescent="0.2">
      <c r="C529" s="3"/>
      <c r="D529" s="3"/>
    </row>
    <row r="530" spans="3:4" hidden="1" x14ac:dyDescent="0.2">
      <c r="C530" s="3"/>
      <c r="D530" s="3"/>
    </row>
    <row r="531" spans="3:4" hidden="1" x14ac:dyDescent="0.2">
      <c r="C531" s="3"/>
      <c r="D531" s="3"/>
    </row>
    <row r="532" spans="3:4" hidden="1" x14ac:dyDescent="0.2">
      <c r="C532" s="3"/>
      <c r="D532" s="3"/>
    </row>
    <row r="533" spans="3:4" hidden="1" x14ac:dyDescent="0.2">
      <c r="C533" s="3"/>
      <c r="D533" s="3"/>
    </row>
    <row r="534" spans="3:4" hidden="1" x14ac:dyDescent="0.2">
      <c r="C534" s="3"/>
      <c r="D534" s="3"/>
    </row>
    <row r="535" spans="3:4" hidden="1" x14ac:dyDescent="0.2">
      <c r="C535" s="3"/>
      <c r="D535" s="3"/>
    </row>
    <row r="536" spans="3:4" hidden="1" x14ac:dyDescent="0.2">
      <c r="C536" s="3"/>
      <c r="D536" s="3"/>
    </row>
    <row r="537" spans="3:4" hidden="1" x14ac:dyDescent="0.2">
      <c r="C537" s="3"/>
      <c r="D537" s="3"/>
    </row>
    <row r="538" spans="3:4" hidden="1" x14ac:dyDescent="0.2">
      <c r="C538" s="3"/>
      <c r="D538" s="3"/>
    </row>
    <row r="539" spans="3:4" hidden="1" x14ac:dyDescent="0.2">
      <c r="C539" s="3"/>
      <c r="D539" s="3"/>
    </row>
    <row r="540" spans="3:4" hidden="1" x14ac:dyDescent="0.2">
      <c r="C540" s="3"/>
      <c r="D540" s="3"/>
    </row>
    <row r="541" spans="3:4" hidden="1" x14ac:dyDescent="0.2">
      <c r="C541" s="3"/>
      <c r="D541" s="3"/>
    </row>
    <row r="542" spans="3:4" hidden="1" x14ac:dyDescent="0.2">
      <c r="C542" s="3"/>
      <c r="D542" s="3"/>
    </row>
    <row r="543" spans="3:4" hidden="1" x14ac:dyDescent="0.2">
      <c r="C543" s="3"/>
      <c r="D543" s="3"/>
    </row>
    <row r="544" spans="3:4" hidden="1" x14ac:dyDescent="0.2">
      <c r="C544" s="3"/>
      <c r="D544" s="3"/>
    </row>
    <row r="545" spans="3:4" hidden="1" x14ac:dyDescent="0.2">
      <c r="C545" s="3"/>
      <c r="D545" s="3"/>
    </row>
    <row r="546" spans="3:4" hidden="1" x14ac:dyDescent="0.2">
      <c r="C546" s="3"/>
      <c r="D546" s="3"/>
    </row>
    <row r="547" spans="3:4" hidden="1" x14ac:dyDescent="0.2">
      <c r="C547" s="3"/>
      <c r="D547" s="3"/>
    </row>
    <row r="548" spans="3:4" hidden="1" x14ac:dyDescent="0.2">
      <c r="C548" s="3"/>
      <c r="D548" s="3"/>
    </row>
    <row r="549" spans="3:4" hidden="1" x14ac:dyDescent="0.2">
      <c r="C549" s="3"/>
      <c r="D549" s="3"/>
    </row>
    <row r="550" spans="3:4" hidden="1" x14ac:dyDescent="0.2">
      <c r="C550" s="3"/>
      <c r="D550" s="3"/>
    </row>
    <row r="551" spans="3:4" hidden="1" x14ac:dyDescent="0.2">
      <c r="C551" s="3"/>
      <c r="D551" s="3"/>
    </row>
    <row r="552" spans="3:4" hidden="1" x14ac:dyDescent="0.2">
      <c r="C552" s="3"/>
      <c r="D552" s="3"/>
    </row>
    <row r="553" spans="3:4" hidden="1" x14ac:dyDescent="0.2">
      <c r="C553" s="3"/>
      <c r="D553" s="3"/>
    </row>
    <row r="554" spans="3:4" hidden="1" x14ac:dyDescent="0.2">
      <c r="C554" s="3"/>
      <c r="D554" s="3"/>
    </row>
    <row r="555" spans="3:4" hidden="1" x14ac:dyDescent="0.2">
      <c r="C555" s="3"/>
      <c r="D555" s="3"/>
    </row>
    <row r="556" spans="3:4" hidden="1" x14ac:dyDescent="0.2">
      <c r="C556" s="3"/>
      <c r="D556" s="3"/>
    </row>
    <row r="557" spans="3:4" hidden="1" x14ac:dyDescent="0.2">
      <c r="C557" s="3"/>
      <c r="D557" s="3"/>
    </row>
    <row r="558" spans="3:4" hidden="1" x14ac:dyDescent="0.2">
      <c r="C558" s="3"/>
      <c r="D558" s="3"/>
    </row>
    <row r="559" spans="3:4" hidden="1" x14ac:dyDescent="0.2">
      <c r="C559" s="3"/>
      <c r="D559" s="3"/>
    </row>
    <row r="560" spans="3:4" hidden="1" x14ac:dyDescent="0.2">
      <c r="C560" s="3"/>
      <c r="D560" s="3"/>
    </row>
    <row r="561" spans="3:4" hidden="1" x14ac:dyDescent="0.2">
      <c r="C561" s="3"/>
      <c r="D561" s="3"/>
    </row>
    <row r="562" spans="3:4" hidden="1" x14ac:dyDescent="0.2">
      <c r="C562" s="3"/>
      <c r="D562" s="3"/>
    </row>
    <row r="563" spans="3:4" hidden="1" x14ac:dyDescent="0.2">
      <c r="C563" s="3"/>
      <c r="D563" s="3"/>
    </row>
    <row r="564" spans="3:4" hidden="1" x14ac:dyDescent="0.2">
      <c r="C564" s="3"/>
      <c r="D564" s="3"/>
    </row>
    <row r="565" spans="3:4" hidden="1" x14ac:dyDescent="0.2">
      <c r="C565" s="3"/>
      <c r="D565" s="3"/>
    </row>
    <row r="566" spans="3:4" hidden="1" x14ac:dyDescent="0.2">
      <c r="C566" s="3"/>
      <c r="D566" s="3"/>
    </row>
    <row r="567" spans="3:4" hidden="1" x14ac:dyDescent="0.2">
      <c r="C567" s="3"/>
      <c r="D567" s="3"/>
    </row>
    <row r="568" spans="3:4" hidden="1" x14ac:dyDescent="0.2">
      <c r="C568" s="3"/>
      <c r="D568" s="3"/>
    </row>
    <row r="569" spans="3:4" hidden="1" x14ac:dyDescent="0.2">
      <c r="C569" s="3"/>
      <c r="D569" s="3"/>
    </row>
    <row r="570" spans="3:4" hidden="1" x14ac:dyDescent="0.2">
      <c r="C570" s="3"/>
      <c r="D570" s="3"/>
    </row>
    <row r="571" spans="3:4" hidden="1" x14ac:dyDescent="0.2">
      <c r="C571" s="3"/>
      <c r="D571" s="3"/>
    </row>
    <row r="572" spans="3:4" hidden="1" x14ac:dyDescent="0.2">
      <c r="C572" s="3"/>
      <c r="D572" s="3"/>
    </row>
    <row r="573" spans="3:4" hidden="1" x14ac:dyDescent="0.2">
      <c r="C573" s="3"/>
      <c r="D573" s="3"/>
    </row>
    <row r="574" spans="3:4" hidden="1" x14ac:dyDescent="0.2">
      <c r="C574" s="3"/>
      <c r="D574" s="3"/>
    </row>
    <row r="575" spans="3:4" hidden="1" x14ac:dyDescent="0.2">
      <c r="C575" s="3"/>
      <c r="D575" s="3"/>
    </row>
    <row r="576" spans="3:4" hidden="1" x14ac:dyDescent="0.2">
      <c r="C576" s="3"/>
      <c r="D576" s="3"/>
    </row>
    <row r="577" spans="3:4" hidden="1" x14ac:dyDescent="0.2">
      <c r="C577" s="3"/>
      <c r="D577" s="3"/>
    </row>
    <row r="578" spans="3:4" hidden="1" x14ac:dyDescent="0.2">
      <c r="C578" s="3"/>
      <c r="D578" s="3"/>
    </row>
    <row r="579" spans="3:4" hidden="1" x14ac:dyDescent="0.2">
      <c r="C579" s="3"/>
      <c r="D579" s="3"/>
    </row>
    <row r="580" spans="3:4" hidden="1" x14ac:dyDescent="0.2">
      <c r="C580" s="3"/>
      <c r="D580" s="3"/>
    </row>
    <row r="581" spans="3:4" hidden="1" x14ac:dyDescent="0.2">
      <c r="C581" s="3"/>
      <c r="D581" s="3"/>
    </row>
    <row r="582" spans="3:4" hidden="1" x14ac:dyDescent="0.2">
      <c r="C582" s="3"/>
      <c r="D582" s="3"/>
    </row>
    <row r="583" spans="3:4" hidden="1" x14ac:dyDescent="0.2">
      <c r="C583" s="3"/>
      <c r="D583" s="3"/>
    </row>
    <row r="584" spans="3:4" hidden="1" x14ac:dyDescent="0.2">
      <c r="C584" s="3"/>
      <c r="D584" s="3"/>
    </row>
    <row r="585" spans="3:4" hidden="1" x14ac:dyDescent="0.2">
      <c r="C585" s="3"/>
      <c r="D585" s="3"/>
    </row>
    <row r="586" spans="3:4" hidden="1" x14ac:dyDescent="0.2">
      <c r="C586" s="3"/>
      <c r="D586" s="3"/>
    </row>
    <row r="587" spans="3:4" hidden="1" x14ac:dyDescent="0.2">
      <c r="C587" s="3"/>
      <c r="D587" s="3"/>
    </row>
    <row r="588" spans="3:4" hidden="1" x14ac:dyDescent="0.2">
      <c r="C588" s="3"/>
      <c r="D588" s="3"/>
    </row>
    <row r="589" spans="3:4" hidden="1" x14ac:dyDescent="0.2">
      <c r="C589" s="3"/>
      <c r="D589" s="3"/>
    </row>
    <row r="590" spans="3:4" hidden="1" x14ac:dyDescent="0.2">
      <c r="C590" s="3"/>
      <c r="D590" s="3"/>
    </row>
    <row r="591" spans="3:4" hidden="1" x14ac:dyDescent="0.2">
      <c r="C591" s="3"/>
      <c r="D591" s="3"/>
    </row>
    <row r="592" spans="3:4" hidden="1" x14ac:dyDescent="0.2">
      <c r="C592" s="3"/>
      <c r="D592" s="3"/>
    </row>
    <row r="593" spans="3:4" hidden="1" x14ac:dyDescent="0.2">
      <c r="C593" s="3"/>
      <c r="D593" s="3"/>
    </row>
    <row r="594" spans="3:4" hidden="1" x14ac:dyDescent="0.2">
      <c r="C594" s="3"/>
      <c r="D594" s="3"/>
    </row>
    <row r="595" spans="3:4" hidden="1" x14ac:dyDescent="0.2">
      <c r="C595" s="3"/>
      <c r="D595" s="3"/>
    </row>
    <row r="596" spans="3:4" hidden="1" x14ac:dyDescent="0.2">
      <c r="C596" s="3"/>
      <c r="D596" s="3"/>
    </row>
    <row r="597" spans="3:4" hidden="1" x14ac:dyDescent="0.2">
      <c r="C597" s="3"/>
      <c r="D597" s="3"/>
    </row>
    <row r="598" spans="3:4" hidden="1" x14ac:dyDescent="0.2">
      <c r="C598" s="3"/>
      <c r="D598" s="3"/>
    </row>
    <row r="599" spans="3:4" hidden="1" x14ac:dyDescent="0.2">
      <c r="C599" s="3"/>
      <c r="D599" s="3"/>
    </row>
    <row r="600" spans="3:4" hidden="1" x14ac:dyDescent="0.2">
      <c r="C600" s="3"/>
      <c r="D600" s="3"/>
    </row>
    <row r="601" spans="3:4" hidden="1" x14ac:dyDescent="0.2">
      <c r="C601" s="3"/>
      <c r="D601" s="3"/>
    </row>
    <row r="602" spans="3:4" hidden="1" x14ac:dyDescent="0.2">
      <c r="C602" s="3"/>
      <c r="D602" s="3"/>
    </row>
    <row r="603" spans="3:4" hidden="1" x14ac:dyDescent="0.2">
      <c r="C603" s="3"/>
      <c r="D603" s="3"/>
    </row>
    <row r="604" spans="3:4" x14ac:dyDescent="0.2"/>
    <row r="605" spans="3:4" x14ac:dyDescent="0.2"/>
    <row r="606" spans="3:4" x14ac:dyDescent="0.2"/>
    <row r="607" spans="3:4" x14ac:dyDescent="0.2"/>
    <row r="608" spans="3:4" x14ac:dyDescent="0.2"/>
    <row r="609" x14ac:dyDescent="0.2"/>
    <row r="610" x14ac:dyDescent="0.2"/>
    <row r="611" x14ac:dyDescent="0.2"/>
    <row r="612" x14ac:dyDescent="0.2"/>
    <row r="613" x14ac:dyDescent="0.2"/>
    <row r="614" x14ac:dyDescent="0.2"/>
    <row r="615" x14ac:dyDescent="0.2"/>
    <row r="616" x14ac:dyDescent="0.2"/>
    <row r="617" x14ac:dyDescent="0.2"/>
    <row r="618" x14ac:dyDescent="0.2"/>
    <row r="619" x14ac:dyDescent="0.2"/>
    <row r="620" x14ac:dyDescent="0.2"/>
    <row r="621" x14ac:dyDescent="0.2"/>
    <row r="622" x14ac:dyDescent="0.2"/>
    <row r="623" x14ac:dyDescent="0.2"/>
    <row r="624" x14ac:dyDescent="0.2"/>
    <row r="625" x14ac:dyDescent="0.2"/>
    <row r="626" x14ac:dyDescent="0.2"/>
    <row r="627" x14ac:dyDescent="0.2"/>
    <row r="628" x14ac:dyDescent="0.2"/>
    <row r="629" x14ac:dyDescent="0.2"/>
    <row r="630" x14ac:dyDescent="0.2"/>
    <row r="631" x14ac:dyDescent="0.2"/>
    <row r="632" x14ac:dyDescent="0.2"/>
    <row r="633" x14ac:dyDescent="0.2"/>
    <row r="634" x14ac:dyDescent="0.2"/>
  </sheetData>
  <sheetProtection password="CE0A" sheet="1" objects="1" scenarios="1"/>
  <mergeCells count="11">
    <mergeCell ref="C57:G57"/>
    <mergeCell ref="A28:A29"/>
    <mergeCell ref="A31:A33"/>
    <mergeCell ref="A36:A38"/>
    <mergeCell ref="A40:A41"/>
    <mergeCell ref="A42:A43"/>
    <mergeCell ref="E1:F1"/>
    <mergeCell ref="A10:A11"/>
    <mergeCell ref="A13:A14"/>
    <mergeCell ref="A18:A19"/>
    <mergeCell ref="A23:A26"/>
  </mergeCells>
  <phoneticPr fontId="0" type="noConversion"/>
  <pageMargins left="0.75" right="0.75" top="1" bottom="1" header="0.5" footer="0.5"/>
  <pageSetup scale="61" fitToHeight="0" orientation="portrait" r:id="rId1"/>
  <headerFooter alignWithMargins="0">
    <oddHeader>&amp;L&amp;F&amp;R&amp;A</oddHeader>
    <oddFooter>&amp;LPage &amp;P of &amp;N&amp;RPrinted &amp;D</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autoPageBreaks="0" fitToPage="1"/>
  </sheetPr>
  <dimension ref="A1:GH110"/>
  <sheetViews>
    <sheetView zoomScaleNormal="100" workbookViewId="0">
      <selection activeCell="N31" sqref="N31"/>
    </sheetView>
  </sheetViews>
  <sheetFormatPr defaultColWidth="9.140625" defaultRowHeight="12.75" x14ac:dyDescent="0.2"/>
  <cols>
    <col min="1" max="1" width="4.28515625" style="282" customWidth="1"/>
    <col min="2" max="2" width="1.85546875" style="282" customWidth="1"/>
    <col min="3" max="3" width="63.28515625" style="282" customWidth="1"/>
    <col min="4" max="4" width="26" style="282" customWidth="1"/>
    <col min="5" max="5" width="16.140625" style="282" customWidth="1"/>
    <col min="6" max="6" width="18" style="282" customWidth="1"/>
    <col min="7" max="7" width="14.5703125" style="282" customWidth="1"/>
    <col min="8" max="8" width="20.5703125" style="282" customWidth="1"/>
    <col min="9" max="9" width="2" style="282" customWidth="1"/>
    <col min="10" max="11" width="9.140625" style="282" hidden="1" customWidth="1"/>
    <col min="12" max="16384" width="9.140625" style="282"/>
  </cols>
  <sheetData>
    <row r="1" spans="1:103" s="93" customFormat="1" ht="30" customHeight="1" x14ac:dyDescent="0.2">
      <c r="A1" s="515" t="s">
        <v>424</v>
      </c>
      <c r="C1" s="311" t="s">
        <v>347</v>
      </c>
      <c r="D1" s="734" t="s">
        <v>59</v>
      </c>
      <c r="E1" s="734"/>
      <c r="F1" s="734"/>
      <c r="H1" s="270"/>
      <c r="I1" s="270"/>
      <c r="J1" s="270"/>
      <c r="K1" s="270"/>
      <c r="L1" s="521"/>
      <c r="M1" s="270"/>
      <c r="N1" s="270"/>
      <c r="O1" s="270"/>
      <c r="P1" s="270"/>
      <c r="Q1" s="270"/>
      <c r="R1" s="270"/>
      <c r="S1" s="270"/>
      <c r="T1" s="270"/>
      <c r="U1" s="270"/>
      <c r="V1" s="270"/>
      <c r="W1" s="270"/>
      <c r="X1" s="270"/>
      <c r="Y1" s="270"/>
      <c r="Z1" s="270"/>
      <c r="AA1" s="270"/>
      <c r="AB1" s="270"/>
      <c r="AC1" s="270"/>
      <c r="AD1" s="270"/>
      <c r="AE1" s="270"/>
      <c r="AF1" s="270"/>
      <c r="AG1" s="270"/>
      <c r="AH1" s="270"/>
      <c r="AI1" s="270"/>
      <c r="AJ1" s="270"/>
      <c r="AK1" s="270"/>
      <c r="AL1" s="270"/>
      <c r="AM1" s="270"/>
      <c r="AN1" s="270"/>
      <c r="AO1" s="270"/>
      <c r="AP1" s="270"/>
      <c r="AQ1" s="270"/>
      <c r="AR1" s="270"/>
      <c r="AS1" s="270"/>
      <c r="AT1" s="270"/>
      <c r="AU1" s="270"/>
      <c r="AV1" s="270"/>
      <c r="AW1" s="270"/>
      <c r="AX1" s="270"/>
      <c r="AY1" s="270"/>
      <c r="AZ1" s="270"/>
      <c r="BA1" s="270"/>
      <c r="BB1" s="270"/>
      <c r="BC1" s="270"/>
      <c r="BD1" s="270"/>
      <c r="BE1" s="270"/>
      <c r="BF1" s="270"/>
      <c r="BG1" s="270"/>
      <c r="BH1" s="270"/>
      <c r="BI1" s="270"/>
      <c r="BJ1" s="270"/>
      <c r="BK1" s="270"/>
      <c r="BL1" s="270"/>
      <c r="BM1" s="270"/>
      <c r="BN1" s="270"/>
      <c r="BO1" s="270"/>
      <c r="BP1" s="270"/>
      <c r="BQ1" s="270"/>
      <c r="BR1" s="270"/>
      <c r="BS1" s="270"/>
      <c r="BT1" s="270"/>
      <c r="BU1" s="270"/>
      <c r="BV1" s="270"/>
      <c r="BW1" s="270"/>
      <c r="BX1" s="270"/>
      <c r="BY1" s="270"/>
      <c r="BZ1" s="270"/>
      <c r="CA1" s="270"/>
      <c r="CB1" s="270"/>
      <c r="CC1" s="270"/>
      <c r="CD1" s="270"/>
      <c r="CE1" s="270"/>
      <c r="CF1" s="270"/>
      <c r="CG1" s="270"/>
      <c r="CH1" s="270"/>
      <c r="CI1" s="270"/>
      <c r="CJ1" s="270"/>
      <c r="CK1" s="270"/>
      <c r="CL1" s="270"/>
      <c r="CM1" s="270"/>
      <c r="CN1" s="270"/>
      <c r="CO1" s="270"/>
      <c r="CP1" s="270"/>
      <c r="CQ1" s="270"/>
      <c r="CR1" s="270"/>
      <c r="CS1" s="270"/>
      <c r="CT1" s="270"/>
      <c r="CU1" s="270"/>
      <c r="CV1" s="270"/>
      <c r="CW1" s="270"/>
      <c r="CX1" s="270"/>
      <c r="CY1" s="270"/>
    </row>
    <row r="2" spans="1:103" ht="22.5" x14ac:dyDescent="0.25">
      <c r="C2" s="311" t="s">
        <v>219</v>
      </c>
      <c r="D2" s="454" t="str">
        <f>Requirements!C4</f>
        <v>Project Name - Sample Project : 20 Units</v>
      </c>
    </row>
    <row r="3" spans="1:103" x14ac:dyDescent="0.2">
      <c r="A3" s="520"/>
    </row>
    <row r="4" spans="1:103" s="284" customFormat="1" ht="30" x14ac:dyDescent="0.2">
      <c r="A4" s="402" t="s">
        <v>424</v>
      </c>
      <c r="C4" s="268" t="s">
        <v>316</v>
      </c>
      <c r="D4" s="289" t="s">
        <v>323</v>
      </c>
      <c r="E4" s="289" t="s">
        <v>171</v>
      </c>
      <c r="F4" s="308" t="s">
        <v>331</v>
      </c>
      <c r="G4" s="308" t="s">
        <v>338</v>
      </c>
      <c r="L4" s="522"/>
    </row>
    <row r="5" spans="1:103" s="284" customFormat="1" ht="15" x14ac:dyDescent="0.2">
      <c r="I5" s="400"/>
    </row>
    <row r="6" spans="1:103" s="284" customFormat="1" ht="15" x14ac:dyDescent="0.2">
      <c r="C6" s="284" t="s">
        <v>317</v>
      </c>
      <c r="D6" s="285">
        <f>+'Rents and Income'!I32</f>
        <v>150864</v>
      </c>
      <c r="E6" s="285">
        <f>+'Rents and Income'!X31*12</f>
        <v>150864</v>
      </c>
      <c r="F6" s="285">
        <f>+'Rents and Income'!Y31*12</f>
        <v>0</v>
      </c>
      <c r="G6" s="285">
        <f>+'Rents and Income'!Z31*12</f>
        <v>0</v>
      </c>
    </row>
    <row r="7" spans="1:103" s="284" customFormat="1" ht="15" x14ac:dyDescent="0.2">
      <c r="C7" s="284" t="s">
        <v>320</v>
      </c>
      <c r="D7" s="285">
        <f>SUM(E7:G7)</f>
        <v>-10560</v>
      </c>
      <c r="E7" s="285">
        <f>-ROUND(E6*'Rents and Income'!E39,0)</f>
        <v>-10560</v>
      </c>
      <c r="F7" s="285">
        <f>-ROUND(F6*'Rents and Income'!F39,0)</f>
        <v>0</v>
      </c>
      <c r="G7" s="285">
        <f>-ROUND(G6*'Rents and Income'!G39,0)</f>
        <v>0</v>
      </c>
    </row>
    <row r="8" spans="1:103" s="284" customFormat="1" ht="15" x14ac:dyDescent="0.2">
      <c r="C8" s="284" t="s">
        <v>321</v>
      </c>
      <c r="D8" s="285">
        <f>+'Rents and Income'!E48*12</f>
        <v>2400</v>
      </c>
      <c r="E8" s="285"/>
      <c r="F8" s="285"/>
      <c r="G8" s="285"/>
    </row>
    <row r="9" spans="1:103" s="284" customFormat="1" ht="15" x14ac:dyDescent="0.2">
      <c r="D9" s="285"/>
      <c r="E9" s="285"/>
      <c r="F9" s="285"/>
      <c r="G9" s="285"/>
    </row>
    <row r="10" spans="1:103" s="284" customFormat="1" ht="15" x14ac:dyDescent="0.2">
      <c r="C10" s="287" t="s">
        <v>32</v>
      </c>
      <c r="D10" s="286">
        <f>SUM(D5:D9)</f>
        <v>142704</v>
      </c>
      <c r="E10" s="285"/>
      <c r="F10" s="395"/>
      <c r="G10" s="480"/>
    </row>
    <row r="11" spans="1:103" s="284" customFormat="1" ht="15" x14ac:dyDescent="0.2">
      <c r="D11" s="285"/>
      <c r="E11" s="285"/>
      <c r="F11" s="395"/>
      <c r="G11" s="480"/>
      <c r="L11" s="522"/>
    </row>
    <row r="12" spans="1:103" s="284" customFormat="1" ht="15" x14ac:dyDescent="0.2">
      <c r="C12" s="284" t="s">
        <v>322</v>
      </c>
      <c r="D12" s="285">
        <f>-'Operating Expenses'!D45</f>
        <v>-100000</v>
      </c>
      <c r="E12" s="285"/>
      <c r="F12" s="395"/>
      <c r="G12" s="480"/>
    </row>
    <row r="13" spans="1:103" s="284" customFormat="1" ht="15" x14ac:dyDescent="0.2">
      <c r="C13" s="309" t="s">
        <v>313</v>
      </c>
      <c r="D13" s="285">
        <f>-'Operating Expenses'!D47</f>
        <v>-20500</v>
      </c>
      <c r="E13" s="285"/>
      <c r="F13" s="395"/>
      <c r="G13" s="480"/>
    </row>
    <row r="14" spans="1:103" s="284" customFormat="1" ht="15" x14ac:dyDescent="0.2">
      <c r="D14" s="285"/>
      <c r="E14" s="285"/>
      <c r="F14" s="395"/>
      <c r="G14" s="480"/>
    </row>
    <row r="15" spans="1:103" s="284" customFormat="1" ht="15" x14ac:dyDescent="0.2">
      <c r="C15" s="287" t="s">
        <v>530</v>
      </c>
      <c r="D15" s="286">
        <f>SUM(D10:D14)</f>
        <v>22204</v>
      </c>
      <c r="E15" s="285"/>
      <c r="F15" s="395"/>
      <c r="G15" s="480"/>
      <c r="L15" s="522"/>
    </row>
    <row r="16" spans="1:103" s="284" customFormat="1" ht="15" x14ac:dyDescent="0.2">
      <c r="D16" s="285"/>
      <c r="E16" s="285"/>
      <c r="F16" s="285"/>
      <c r="G16" s="285"/>
    </row>
    <row r="17" spans="1:190" s="284" customFormat="1" ht="15" x14ac:dyDescent="0.2">
      <c r="C17" s="288" t="s">
        <v>326</v>
      </c>
      <c r="D17" s="285"/>
      <c r="E17" s="285"/>
      <c r="F17" s="285"/>
      <c r="G17" s="285"/>
    </row>
    <row r="18" spans="1:190" s="93" customFormat="1" ht="15" customHeight="1" x14ac:dyDescent="0.2">
      <c r="A18" s="402" t="s">
        <v>424</v>
      </c>
      <c r="B18" s="282"/>
      <c r="C18" s="95" t="s">
        <v>182</v>
      </c>
      <c r="D18" s="97">
        <v>7.0000000000000007E-2</v>
      </c>
      <c r="E18" s="281"/>
      <c r="F18" s="270"/>
      <c r="G18" s="270"/>
      <c r="H18" s="270"/>
      <c r="I18" s="270"/>
      <c r="J18" s="270"/>
      <c r="K18" s="270"/>
      <c r="L18" s="270"/>
      <c r="M18" s="270"/>
      <c r="N18" s="270"/>
      <c r="O18" s="270"/>
      <c r="P18" s="270"/>
      <c r="Q18" s="270"/>
      <c r="R18" s="270"/>
      <c r="S18" s="270"/>
      <c r="T18" s="270"/>
      <c r="U18" s="270"/>
      <c r="V18" s="270"/>
      <c r="W18" s="270"/>
      <c r="X18" s="270"/>
      <c r="Y18" s="270"/>
      <c r="Z18" s="270"/>
      <c r="AA18" s="270"/>
      <c r="AB18" s="270"/>
      <c r="AC18" s="270"/>
      <c r="AD18" s="270"/>
      <c r="AE18" s="270"/>
      <c r="AF18" s="270"/>
      <c r="AG18" s="270"/>
      <c r="AH18" s="270"/>
      <c r="AI18" s="270"/>
      <c r="AJ18" s="270"/>
      <c r="AK18" s="270"/>
      <c r="AL18" s="270"/>
      <c r="AM18" s="270"/>
      <c r="AN18" s="270"/>
      <c r="AO18" s="270"/>
      <c r="AP18" s="270"/>
      <c r="AQ18" s="270"/>
      <c r="AR18" s="270"/>
      <c r="AS18" s="270"/>
      <c r="AT18" s="270"/>
      <c r="AU18" s="270"/>
      <c r="AV18" s="270"/>
      <c r="AW18" s="270"/>
      <c r="AX18" s="270"/>
      <c r="AY18" s="270"/>
      <c r="AZ18" s="270"/>
      <c r="BA18" s="270"/>
      <c r="BB18" s="270"/>
      <c r="BC18" s="270"/>
      <c r="BD18" s="270"/>
      <c r="BE18" s="270"/>
    </row>
    <row r="19" spans="1:190" s="284" customFormat="1" ht="15.75" x14ac:dyDescent="0.2">
      <c r="A19" s="282"/>
      <c r="B19" s="282"/>
      <c r="C19" s="95" t="s">
        <v>324</v>
      </c>
      <c r="D19" s="290">
        <f>IF(D18=0,0,ROUNDDOWN(D15/D18,-3))</f>
        <v>317000</v>
      </c>
      <c r="E19" s="735" t="s">
        <v>325</v>
      </c>
      <c r="F19" s="736"/>
      <c r="G19" s="736"/>
    </row>
    <row r="20" spans="1:190" s="93" customFormat="1" ht="15" customHeight="1" x14ac:dyDescent="0.2">
      <c r="A20" s="402" t="s">
        <v>424</v>
      </c>
      <c r="B20" s="282"/>
      <c r="C20" s="95" t="s">
        <v>183</v>
      </c>
      <c r="D20" s="101">
        <v>400000</v>
      </c>
      <c r="E20" s="281"/>
      <c r="F20" s="270"/>
      <c r="G20" s="270"/>
      <c r="H20" s="270"/>
      <c r="I20" s="270"/>
      <c r="J20" s="270"/>
      <c r="K20" s="270"/>
      <c r="L20" s="270"/>
      <c r="M20" s="270"/>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row>
    <row r="21" spans="1:190" s="93" customFormat="1" ht="15" customHeight="1" x14ac:dyDescent="0.2">
      <c r="A21" s="402" t="s">
        <v>424</v>
      </c>
      <c r="B21" s="282"/>
      <c r="C21" s="95" t="s">
        <v>200</v>
      </c>
      <c r="D21" s="101"/>
      <c r="E21" s="735" t="str">
        <f>" (Year of sale is year "&amp;'Pro Forma Assumptions'!$D$24&amp;")"</f>
        <v xml:space="preserve"> (Year of sale is year 30)</v>
      </c>
      <c r="F21" s="736"/>
      <c r="G21" s="736"/>
      <c r="H21" s="736"/>
      <c r="I21" s="270"/>
      <c r="J21" s="270"/>
      <c r="K21" s="270"/>
      <c r="L21" s="270"/>
      <c r="M21" s="270"/>
      <c r="N21" s="270"/>
      <c r="O21" s="270"/>
      <c r="P21" s="270"/>
      <c r="Q21" s="270"/>
      <c r="R21" s="270"/>
      <c r="S21" s="270"/>
      <c r="T21" s="270"/>
      <c r="U21" s="270"/>
      <c r="V21" s="270"/>
      <c r="W21" s="270"/>
      <c r="X21" s="270"/>
      <c r="Y21" s="270"/>
      <c r="Z21" s="270"/>
      <c r="AA21" s="270"/>
      <c r="AB21" s="270"/>
      <c r="AC21" s="270"/>
      <c r="AD21" s="270"/>
      <c r="AE21" s="270"/>
      <c r="AF21" s="270"/>
      <c r="AG21" s="270"/>
      <c r="AH21" s="270"/>
      <c r="AI21" s="270"/>
      <c r="AJ21" s="270"/>
      <c r="AK21" s="270"/>
      <c r="AL21" s="270"/>
      <c r="AM21" s="270"/>
      <c r="AN21" s="270"/>
      <c r="AO21" s="270"/>
      <c r="AP21" s="270"/>
      <c r="AQ21" s="270"/>
      <c r="AR21" s="270"/>
      <c r="AS21" s="270"/>
      <c r="AT21" s="270"/>
      <c r="AU21" s="270"/>
      <c r="AV21" s="270"/>
      <c r="AW21" s="270"/>
      <c r="AX21" s="270"/>
      <c r="AY21" s="270"/>
      <c r="AZ21" s="270"/>
      <c r="BA21" s="270"/>
      <c r="BB21" s="270"/>
      <c r="BC21" s="270"/>
      <c r="BD21" s="270"/>
      <c r="BE21" s="270"/>
    </row>
    <row r="22" spans="1:190" s="270" customFormat="1" ht="15" customHeight="1" x14ac:dyDescent="0.2">
      <c r="A22" s="282"/>
      <c r="B22" s="282"/>
      <c r="C22" s="295" t="s">
        <v>201</v>
      </c>
      <c r="D22" s="296"/>
      <c r="E22" s="281"/>
    </row>
    <row r="23" spans="1:190" s="284" customFormat="1" ht="15" x14ac:dyDescent="0.2">
      <c r="A23" s="282"/>
      <c r="B23" s="282"/>
    </row>
    <row r="24" spans="1:190" s="284" customFormat="1" ht="15" x14ac:dyDescent="0.2">
      <c r="A24" s="282"/>
      <c r="B24" s="282"/>
      <c r="C24" s="728"/>
      <c r="D24" s="729"/>
      <c r="E24" s="729"/>
      <c r="F24" s="729"/>
      <c r="G24" s="729"/>
      <c r="H24" s="730"/>
    </row>
    <row r="25" spans="1:190" s="284" customFormat="1" ht="15" x14ac:dyDescent="0.2">
      <c r="A25" s="282"/>
      <c r="B25" s="282"/>
    </row>
    <row r="26" spans="1:190" s="284" customFormat="1" ht="74.25" customHeight="1" x14ac:dyDescent="0.2">
      <c r="A26" s="282"/>
      <c r="B26" s="282"/>
      <c r="C26" s="731" t="s">
        <v>459</v>
      </c>
      <c r="D26" s="732"/>
      <c r="E26" s="732"/>
      <c r="F26" s="732"/>
      <c r="G26" s="732"/>
      <c r="H26" s="733"/>
    </row>
    <row r="27" spans="1:190" s="284" customFormat="1" ht="15" x14ac:dyDescent="0.2">
      <c r="A27" s="282"/>
      <c r="B27" s="282"/>
    </row>
    <row r="28" spans="1:190" s="270" customFormat="1" ht="15" customHeight="1" x14ac:dyDescent="0.2">
      <c r="A28" s="402" t="s">
        <v>424</v>
      </c>
      <c r="B28" s="282"/>
      <c r="C28" s="268" t="s">
        <v>53</v>
      </c>
      <c r="D28" s="269"/>
      <c r="E28" s="269"/>
    </row>
    <row r="29" spans="1:190" s="93" customFormat="1" ht="15" customHeight="1" x14ac:dyDescent="0.2">
      <c r="A29" s="402" t="s">
        <v>424</v>
      </c>
      <c r="B29" s="282"/>
      <c r="C29" s="95" t="s">
        <v>179</v>
      </c>
      <c r="D29" s="96">
        <v>1.4</v>
      </c>
      <c r="E29" s="271"/>
      <c r="F29" s="278"/>
      <c r="G29" s="279"/>
      <c r="H29" s="270"/>
      <c r="I29" s="270"/>
      <c r="J29" s="270"/>
      <c r="K29" s="270"/>
      <c r="L29" s="270"/>
      <c r="M29" s="270"/>
      <c r="N29" s="270"/>
      <c r="O29" s="270"/>
      <c r="P29" s="270"/>
      <c r="Q29" s="270"/>
      <c r="R29" s="270"/>
      <c r="S29" s="270"/>
      <c r="T29" s="270"/>
      <c r="U29" s="270"/>
      <c r="V29" s="270"/>
      <c r="W29" s="270"/>
      <c r="X29" s="270"/>
      <c r="Y29" s="270"/>
      <c r="Z29" s="270"/>
      <c r="AA29" s="270"/>
      <c r="AB29" s="270"/>
      <c r="AC29" s="270"/>
      <c r="AD29" s="270"/>
      <c r="AE29" s="270"/>
      <c r="AF29" s="270"/>
      <c r="AG29" s="270"/>
      <c r="AH29" s="270"/>
      <c r="AI29" s="270"/>
      <c r="AJ29" s="270"/>
      <c r="AK29" s="270"/>
      <c r="AL29" s="270"/>
      <c r="AM29" s="270"/>
      <c r="AN29" s="270"/>
      <c r="AO29" s="270"/>
      <c r="AP29" s="270"/>
      <c r="AQ29" s="270"/>
      <c r="AR29" s="270"/>
      <c r="AS29" s="270"/>
      <c r="AT29" s="270"/>
      <c r="AU29" s="270"/>
      <c r="AV29" s="270"/>
      <c r="AW29" s="270"/>
      <c r="AX29" s="270"/>
      <c r="AY29" s="270"/>
      <c r="AZ29" s="270"/>
      <c r="BA29" s="270"/>
      <c r="BB29" s="270"/>
      <c r="BC29" s="270"/>
      <c r="BD29" s="270"/>
      <c r="BE29" s="270"/>
      <c r="BF29" s="270"/>
      <c r="BG29" s="270"/>
      <c r="BH29" s="270"/>
      <c r="BI29" s="270"/>
      <c r="BJ29" s="270"/>
      <c r="BK29" s="270"/>
      <c r="BL29" s="270"/>
      <c r="BM29" s="270"/>
      <c r="BN29" s="270"/>
      <c r="BO29" s="270"/>
      <c r="BP29" s="270"/>
      <c r="BQ29" s="270"/>
      <c r="BR29" s="270"/>
      <c r="BS29" s="270"/>
      <c r="BT29" s="270"/>
      <c r="BU29" s="270"/>
      <c r="BV29" s="270"/>
      <c r="BW29" s="270"/>
      <c r="BX29" s="270"/>
      <c r="BY29" s="270"/>
      <c r="BZ29" s="270"/>
      <c r="CA29" s="270"/>
      <c r="CB29" s="270"/>
      <c r="CC29" s="270"/>
      <c r="CD29" s="270"/>
      <c r="CE29" s="270"/>
      <c r="CF29" s="270"/>
      <c r="CG29" s="270"/>
      <c r="CH29" s="270"/>
      <c r="CI29" s="270"/>
      <c r="CJ29" s="270"/>
      <c r="CK29" s="270"/>
      <c r="CL29" s="270"/>
      <c r="CM29" s="270"/>
      <c r="CN29" s="270"/>
      <c r="CO29" s="270"/>
      <c r="CP29" s="270"/>
      <c r="CQ29" s="270"/>
      <c r="CR29" s="270"/>
      <c r="CS29" s="270"/>
      <c r="CT29" s="270"/>
      <c r="CU29" s="270"/>
      <c r="CV29" s="270"/>
      <c r="CW29" s="270"/>
      <c r="CX29" s="270"/>
      <c r="CY29" s="270"/>
      <c r="CZ29" s="270"/>
      <c r="DA29" s="270"/>
      <c r="DB29" s="270"/>
      <c r="DC29" s="270"/>
      <c r="DD29" s="270"/>
      <c r="DE29" s="270"/>
      <c r="DF29" s="270"/>
      <c r="DG29" s="270"/>
      <c r="DH29" s="270"/>
      <c r="DI29" s="270"/>
      <c r="DJ29" s="270"/>
      <c r="DK29" s="270"/>
      <c r="DL29" s="270"/>
      <c r="DM29" s="270"/>
      <c r="DN29" s="270"/>
      <c r="DO29" s="270"/>
      <c r="DP29" s="270"/>
      <c r="DQ29" s="270"/>
      <c r="DR29" s="270"/>
      <c r="DS29" s="270"/>
      <c r="DT29" s="270"/>
      <c r="DU29" s="270"/>
      <c r="DV29" s="270"/>
      <c r="DW29" s="270"/>
      <c r="DX29" s="270"/>
      <c r="DY29" s="270"/>
      <c r="DZ29" s="270"/>
      <c r="EA29" s="270"/>
      <c r="EB29" s="270"/>
      <c r="EC29" s="270"/>
      <c r="ED29" s="270"/>
      <c r="EE29" s="270"/>
      <c r="EF29" s="270"/>
      <c r="EG29" s="270"/>
      <c r="EH29" s="270"/>
      <c r="EI29" s="270"/>
      <c r="EJ29" s="270"/>
      <c r="EK29" s="270"/>
      <c r="EL29" s="270"/>
      <c r="EM29" s="270"/>
      <c r="EN29" s="270"/>
      <c r="EO29" s="270"/>
      <c r="EP29" s="270"/>
      <c r="EQ29" s="270"/>
      <c r="ER29" s="270"/>
      <c r="ES29" s="270"/>
      <c r="ET29" s="270"/>
      <c r="EU29" s="270"/>
      <c r="EV29" s="270"/>
      <c r="EW29" s="270"/>
      <c r="EX29" s="270"/>
      <c r="EY29" s="270"/>
      <c r="EZ29" s="270"/>
      <c r="FA29" s="270"/>
      <c r="FB29" s="270"/>
      <c r="FC29" s="270"/>
      <c r="FD29" s="270"/>
      <c r="FE29" s="270"/>
      <c r="FF29" s="270"/>
      <c r="FG29" s="270"/>
      <c r="FH29" s="270"/>
      <c r="FI29" s="270"/>
      <c r="FJ29" s="270"/>
      <c r="FK29" s="270"/>
      <c r="FL29" s="270"/>
      <c r="FM29" s="270"/>
      <c r="FN29" s="270"/>
      <c r="FO29" s="270"/>
      <c r="FP29" s="270"/>
      <c r="FQ29" s="270"/>
      <c r="FR29" s="270"/>
      <c r="FS29" s="270"/>
      <c r="FT29" s="270"/>
      <c r="FU29" s="270"/>
      <c r="FV29" s="270"/>
      <c r="FW29" s="270"/>
      <c r="FX29" s="270"/>
      <c r="FY29" s="270"/>
      <c r="FZ29" s="270"/>
      <c r="GA29" s="270"/>
      <c r="GB29" s="270"/>
      <c r="GC29" s="270"/>
      <c r="GD29" s="270"/>
      <c r="GE29" s="270"/>
      <c r="GF29" s="270"/>
      <c r="GG29" s="270"/>
      <c r="GH29" s="270"/>
    </row>
    <row r="30" spans="1:190" s="93" customFormat="1" ht="15" customHeight="1" x14ac:dyDescent="0.2">
      <c r="A30" s="402" t="s">
        <v>424</v>
      </c>
      <c r="B30" s="282"/>
      <c r="C30" s="95" t="s">
        <v>180</v>
      </c>
      <c r="D30" s="97">
        <v>0.7</v>
      </c>
      <c r="E30" s="272"/>
      <c r="F30" s="279"/>
      <c r="G30" s="279"/>
      <c r="H30" s="270"/>
      <c r="I30" s="270"/>
      <c r="J30" s="270"/>
      <c r="K30" s="270"/>
      <c r="L30" s="270"/>
      <c r="M30" s="270"/>
      <c r="N30" s="270"/>
      <c r="O30" s="270"/>
      <c r="P30" s="270"/>
      <c r="Q30" s="270"/>
      <c r="R30" s="270"/>
      <c r="S30" s="270"/>
      <c r="T30" s="270"/>
      <c r="U30" s="270"/>
      <c r="V30" s="270"/>
      <c r="W30" s="270"/>
      <c r="X30" s="270"/>
      <c r="Y30" s="270"/>
      <c r="Z30" s="270"/>
      <c r="AA30" s="270"/>
      <c r="AB30" s="270"/>
      <c r="AC30" s="270"/>
      <c r="AD30" s="270"/>
      <c r="AE30" s="270"/>
      <c r="AF30" s="270"/>
      <c r="AG30" s="270"/>
      <c r="AH30" s="270"/>
      <c r="AI30" s="270"/>
      <c r="AJ30" s="270"/>
      <c r="AK30" s="270"/>
      <c r="AL30" s="270"/>
      <c r="AM30" s="270"/>
      <c r="AN30" s="270"/>
      <c r="AO30" s="270"/>
      <c r="AP30" s="270"/>
      <c r="AQ30" s="270"/>
      <c r="AR30" s="270"/>
      <c r="AS30" s="270"/>
      <c r="AT30" s="270"/>
      <c r="AU30" s="270"/>
      <c r="AV30" s="270"/>
      <c r="AW30" s="270"/>
      <c r="AX30" s="270"/>
      <c r="AY30" s="270"/>
      <c r="AZ30" s="270"/>
      <c r="BA30" s="270"/>
      <c r="BB30" s="270"/>
      <c r="BC30" s="270"/>
      <c r="BD30" s="270"/>
      <c r="BE30" s="270"/>
      <c r="BF30" s="270"/>
      <c r="BG30" s="270"/>
      <c r="BH30" s="270"/>
      <c r="BI30" s="270"/>
      <c r="BJ30" s="270"/>
      <c r="BK30" s="270"/>
      <c r="BL30" s="270"/>
      <c r="BM30" s="270"/>
      <c r="BN30" s="270"/>
      <c r="BO30" s="270"/>
      <c r="BP30" s="270"/>
      <c r="BQ30" s="270"/>
      <c r="BR30" s="270"/>
      <c r="BS30" s="270"/>
      <c r="BT30" s="270"/>
      <c r="BU30" s="270"/>
      <c r="BV30" s="270"/>
      <c r="BW30" s="270"/>
      <c r="BX30" s="270"/>
      <c r="BY30" s="270"/>
      <c r="BZ30" s="270"/>
      <c r="CA30" s="270"/>
      <c r="CB30" s="270"/>
      <c r="CC30" s="270"/>
      <c r="CD30" s="270"/>
      <c r="CE30" s="270"/>
      <c r="CF30" s="270"/>
      <c r="CG30" s="270"/>
      <c r="CH30" s="270"/>
      <c r="CI30" s="270"/>
      <c r="CJ30" s="270"/>
      <c r="CK30" s="270"/>
      <c r="CL30" s="270"/>
      <c r="CM30" s="270"/>
      <c r="CN30" s="270"/>
      <c r="CO30" s="270"/>
      <c r="CP30" s="270"/>
      <c r="CQ30" s="270"/>
      <c r="CR30" s="270"/>
      <c r="CS30" s="270"/>
      <c r="CT30" s="270"/>
      <c r="CU30" s="270"/>
      <c r="CV30" s="270"/>
      <c r="CW30" s="270"/>
      <c r="CX30" s="270"/>
      <c r="CY30" s="270"/>
      <c r="CZ30" s="270"/>
      <c r="DA30" s="270"/>
      <c r="DB30" s="270"/>
      <c r="DC30" s="270"/>
      <c r="DD30" s="270"/>
      <c r="DE30" s="270"/>
      <c r="DF30" s="270"/>
      <c r="DG30" s="270"/>
      <c r="DH30" s="270"/>
      <c r="DI30" s="270"/>
      <c r="DJ30" s="270"/>
      <c r="DK30" s="270"/>
      <c r="DL30" s="270"/>
      <c r="DM30" s="270"/>
      <c r="DN30" s="270"/>
      <c r="DO30" s="270"/>
      <c r="DP30" s="270"/>
      <c r="DQ30" s="270"/>
      <c r="DR30" s="270"/>
      <c r="DS30" s="270"/>
      <c r="DT30" s="270"/>
      <c r="DU30" s="270"/>
      <c r="DV30" s="270"/>
      <c r="DW30" s="270"/>
      <c r="DX30" s="270"/>
      <c r="DY30" s="270"/>
      <c r="DZ30" s="270"/>
      <c r="EA30" s="270"/>
      <c r="EB30" s="270"/>
      <c r="EC30" s="270"/>
      <c r="ED30" s="270"/>
      <c r="EE30" s="270"/>
      <c r="EF30" s="270"/>
      <c r="EG30" s="270"/>
      <c r="EH30" s="270"/>
      <c r="EI30" s="270"/>
      <c r="EJ30" s="270"/>
      <c r="EK30" s="270"/>
      <c r="EL30" s="270"/>
      <c r="EM30" s="270"/>
      <c r="EN30" s="270"/>
      <c r="EO30" s="270"/>
      <c r="EP30" s="270"/>
      <c r="EQ30" s="270"/>
      <c r="ER30" s="270"/>
      <c r="ES30" s="270"/>
      <c r="ET30" s="270"/>
      <c r="EU30" s="270"/>
      <c r="EV30" s="270"/>
      <c r="EW30" s="270"/>
      <c r="EX30" s="270"/>
      <c r="EY30" s="270"/>
      <c r="EZ30" s="270"/>
      <c r="FA30" s="270"/>
      <c r="FB30" s="270"/>
      <c r="FC30" s="270"/>
      <c r="FD30" s="270"/>
      <c r="FE30" s="270"/>
      <c r="FF30" s="270"/>
      <c r="FG30" s="270"/>
      <c r="FH30" s="270"/>
      <c r="FI30" s="270"/>
      <c r="FJ30" s="270"/>
      <c r="FK30" s="270"/>
      <c r="FL30" s="270"/>
      <c r="FM30" s="270"/>
      <c r="FN30" s="270"/>
      <c r="FO30" s="270"/>
      <c r="FP30" s="270"/>
      <c r="FQ30" s="270"/>
      <c r="FR30" s="270"/>
      <c r="FS30" s="270"/>
      <c r="FT30" s="270"/>
      <c r="FU30" s="270"/>
      <c r="FV30" s="270"/>
      <c r="FW30" s="270"/>
      <c r="FX30" s="270"/>
      <c r="FY30" s="270"/>
      <c r="FZ30" s="270"/>
      <c r="GA30" s="270"/>
      <c r="GB30" s="270"/>
      <c r="GC30" s="270"/>
      <c r="GD30" s="270"/>
      <c r="GE30" s="270"/>
      <c r="GF30" s="270"/>
      <c r="GG30" s="270"/>
      <c r="GH30" s="270"/>
    </row>
    <row r="31" spans="1:190" s="93" customFormat="1" ht="15" customHeight="1" x14ac:dyDescent="0.2">
      <c r="A31" s="282"/>
      <c r="B31" s="282"/>
      <c r="C31" s="95" t="s">
        <v>11</v>
      </c>
      <c r="D31" s="292">
        <v>0.04</v>
      </c>
      <c r="E31" s="310">
        <f>IF(ISERROR(PMT(D31/12,D33*12,-1)*12),0,PMT(D31/12,D33*12,-1)*12)</f>
        <v>8.8762551073112414E-2</v>
      </c>
      <c r="F31" s="533" t="s">
        <v>543</v>
      </c>
      <c r="G31" s="279"/>
      <c r="H31" s="270"/>
      <c r="I31" s="270"/>
      <c r="J31" s="270"/>
      <c r="K31" s="270"/>
      <c r="L31" s="521"/>
      <c r="M31" s="270"/>
      <c r="N31" s="270"/>
      <c r="O31" s="270"/>
      <c r="P31" s="270"/>
      <c r="Q31" s="270"/>
      <c r="R31" s="270"/>
      <c r="S31" s="270"/>
      <c r="T31" s="270"/>
      <c r="U31" s="270"/>
      <c r="V31" s="270"/>
      <c r="W31" s="270"/>
      <c r="X31" s="270"/>
      <c r="Y31" s="270"/>
      <c r="Z31" s="270"/>
      <c r="AA31" s="270"/>
      <c r="AB31" s="270"/>
      <c r="AC31" s="270"/>
      <c r="AD31" s="270"/>
      <c r="AE31" s="270"/>
      <c r="AF31" s="270"/>
      <c r="AG31" s="270"/>
      <c r="AH31" s="270"/>
      <c r="AI31" s="270"/>
      <c r="AJ31" s="270"/>
      <c r="AK31" s="270"/>
      <c r="AL31" s="270"/>
      <c r="AM31" s="270"/>
      <c r="AN31" s="270"/>
      <c r="AO31" s="270"/>
      <c r="AP31" s="270"/>
      <c r="AQ31" s="270"/>
      <c r="AR31" s="270"/>
      <c r="AS31" s="270"/>
      <c r="AT31" s="270"/>
      <c r="AU31" s="270"/>
      <c r="AV31" s="270"/>
      <c r="AW31" s="270"/>
      <c r="AX31" s="270"/>
      <c r="AY31" s="270"/>
      <c r="AZ31" s="270"/>
      <c r="BA31" s="270"/>
      <c r="BB31" s="270"/>
      <c r="BC31" s="270"/>
      <c r="BD31" s="270"/>
      <c r="BE31" s="270"/>
      <c r="BF31" s="270"/>
      <c r="BG31" s="270"/>
      <c r="BH31" s="270"/>
      <c r="BI31" s="270"/>
      <c r="BJ31" s="270"/>
      <c r="BK31" s="270"/>
      <c r="BL31" s="270"/>
      <c r="BM31" s="270"/>
      <c r="BN31" s="270"/>
      <c r="BO31" s="270"/>
      <c r="BP31" s="270"/>
      <c r="BQ31" s="270"/>
      <c r="BR31" s="270"/>
      <c r="BS31" s="270"/>
      <c r="BT31" s="270"/>
      <c r="BU31" s="270"/>
      <c r="BV31" s="270"/>
      <c r="BW31" s="270"/>
      <c r="BX31" s="270"/>
      <c r="BY31" s="270"/>
      <c r="BZ31" s="270"/>
      <c r="CA31" s="270"/>
      <c r="CB31" s="270"/>
      <c r="CC31" s="270"/>
      <c r="CD31" s="270"/>
      <c r="CE31" s="270"/>
      <c r="CF31" s="270"/>
      <c r="CG31" s="270"/>
      <c r="CH31" s="270"/>
      <c r="CI31" s="270"/>
      <c r="CJ31" s="270"/>
      <c r="CK31" s="270"/>
      <c r="CL31" s="270"/>
      <c r="CM31" s="270"/>
      <c r="CN31" s="270"/>
      <c r="CO31" s="270"/>
      <c r="CP31" s="270"/>
      <c r="CQ31" s="270"/>
      <c r="CR31" s="270"/>
      <c r="CS31" s="270"/>
      <c r="CT31" s="270"/>
      <c r="CU31" s="270"/>
      <c r="CV31" s="270"/>
      <c r="CW31" s="270"/>
      <c r="CX31" s="270"/>
      <c r="CY31" s="270"/>
      <c r="CZ31" s="270"/>
      <c r="DA31" s="270"/>
      <c r="DB31" s="270"/>
      <c r="DC31" s="270"/>
      <c r="DD31" s="270"/>
      <c r="DE31" s="270"/>
      <c r="DF31" s="270"/>
      <c r="DG31" s="270"/>
      <c r="DH31" s="270"/>
      <c r="DI31" s="270"/>
      <c r="DJ31" s="270"/>
      <c r="DK31" s="270"/>
      <c r="DL31" s="270"/>
      <c r="DM31" s="270"/>
      <c r="DN31" s="270"/>
      <c r="DO31" s="270"/>
      <c r="DP31" s="270"/>
      <c r="DQ31" s="270"/>
      <c r="DR31" s="270"/>
      <c r="DS31" s="270"/>
      <c r="DT31" s="270"/>
      <c r="DU31" s="270"/>
      <c r="DV31" s="270"/>
      <c r="DW31" s="270"/>
      <c r="DX31" s="270"/>
      <c r="DY31" s="270"/>
      <c r="DZ31" s="270"/>
      <c r="EA31" s="270"/>
      <c r="EB31" s="270"/>
      <c r="EC31" s="270"/>
      <c r="ED31" s="270"/>
      <c r="EE31" s="270"/>
      <c r="EF31" s="270"/>
      <c r="EG31" s="270"/>
      <c r="EH31" s="270"/>
      <c r="EI31" s="270"/>
      <c r="EJ31" s="270"/>
      <c r="EK31" s="270"/>
      <c r="EL31" s="270"/>
      <c r="EM31" s="270"/>
      <c r="EN31" s="270"/>
      <c r="EO31" s="270"/>
      <c r="EP31" s="270"/>
      <c r="EQ31" s="270"/>
      <c r="ER31" s="270"/>
      <c r="ES31" s="270"/>
      <c r="ET31" s="270"/>
      <c r="EU31" s="270"/>
      <c r="EV31" s="270"/>
      <c r="EW31" s="270"/>
      <c r="EX31" s="270"/>
      <c r="EY31" s="270"/>
      <c r="EZ31" s="270"/>
      <c r="FA31" s="270"/>
      <c r="FB31" s="270"/>
      <c r="FC31" s="270"/>
      <c r="FD31" s="270"/>
      <c r="FE31" s="270"/>
      <c r="FF31" s="270"/>
      <c r="FG31" s="270"/>
      <c r="FH31" s="270"/>
      <c r="FI31" s="270"/>
      <c r="FJ31" s="270"/>
      <c r="FK31" s="270"/>
      <c r="FL31" s="270"/>
      <c r="FM31" s="270"/>
      <c r="FN31" s="270"/>
      <c r="FO31" s="270"/>
      <c r="FP31" s="270"/>
      <c r="FQ31" s="270"/>
      <c r="FR31" s="270"/>
      <c r="FS31" s="270"/>
      <c r="FT31" s="270"/>
      <c r="FU31" s="270"/>
      <c r="FV31" s="270"/>
      <c r="FW31" s="270"/>
      <c r="FX31" s="270"/>
      <c r="FY31" s="270"/>
      <c r="FZ31" s="270"/>
      <c r="GA31" s="270"/>
      <c r="GB31" s="270"/>
      <c r="GC31" s="270"/>
      <c r="GD31" s="270"/>
      <c r="GE31" s="270"/>
      <c r="GF31" s="270"/>
      <c r="GG31" s="270"/>
      <c r="GH31" s="270"/>
    </row>
    <row r="32" spans="1:190" s="93" customFormat="1" ht="15" customHeight="1" x14ac:dyDescent="0.2">
      <c r="A32" s="402" t="s">
        <v>424</v>
      </c>
      <c r="B32" s="282"/>
      <c r="C32" s="95" t="s">
        <v>327</v>
      </c>
      <c r="D32" s="291">
        <v>4.4999999999999997E-3</v>
      </c>
      <c r="E32" s="310">
        <f>+D32</f>
        <v>4.4999999999999997E-3</v>
      </c>
      <c r="F32" s="533" t="s">
        <v>544</v>
      </c>
      <c r="G32" s="279"/>
      <c r="H32" s="270"/>
      <c r="I32" s="270"/>
      <c r="J32" s="270"/>
      <c r="K32" s="270"/>
      <c r="L32" s="270"/>
      <c r="M32" s="270"/>
      <c r="N32" s="270"/>
      <c r="O32" s="270"/>
      <c r="P32" s="270"/>
      <c r="Q32" s="270"/>
      <c r="R32" s="270"/>
      <c r="S32" s="270"/>
      <c r="T32" s="270"/>
      <c r="U32" s="270"/>
      <c r="V32" s="270"/>
      <c r="W32" s="270"/>
      <c r="X32" s="270"/>
      <c r="Y32" s="270"/>
      <c r="Z32" s="270"/>
      <c r="AA32" s="270"/>
      <c r="AB32" s="270"/>
      <c r="AC32" s="270"/>
      <c r="AD32" s="270"/>
      <c r="AE32" s="270"/>
      <c r="AF32" s="270"/>
      <c r="AG32" s="270"/>
      <c r="AH32" s="270"/>
      <c r="AI32" s="270"/>
      <c r="AJ32" s="270"/>
      <c r="AK32" s="270"/>
      <c r="AL32" s="270"/>
      <c r="AM32" s="270"/>
      <c r="AN32" s="270"/>
      <c r="AO32" s="270"/>
      <c r="AP32" s="270"/>
      <c r="AQ32" s="270"/>
      <c r="AR32" s="270"/>
      <c r="AS32" s="270"/>
      <c r="AT32" s="270"/>
      <c r="AU32" s="270"/>
      <c r="AV32" s="270"/>
      <c r="AW32" s="270"/>
      <c r="AX32" s="270"/>
      <c r="AY32" s="270"/>
      <c r="AZ32" s="270"/>
      <c r="BA32" s="270"/>
      <c r="BB32" s="270"/>
      <c r="BC32" s="270"/>
      <c r="BD32" s="270"/>
      <c r="BE32" s="270"/>
      <c r="BF32" s="270"/>
      <c r="BG32" s="270"/>
      <c r="BH32" s="270"/>
      <c r="BI32" s="270"/>
      <c r="BJ32" s="270"/>
      <c r="BK32" s="270"/>
      <c r="BL32" s="270"/>
      <c r="BM32" s="270"/>
      <c r="BN32" s="270"/>
      <c r="BO32" s="270"/>
      <c r="BP32" s="270"/>
      <c r="BQ32" s="270"/>
      <c r="BR32" s="270"/>
      <c r="BS32" s="270"/>
      <c r="BT32" s="270"/>
      <c r="BU32" s="270"/>
      <c r="BV32" s="270"/>
      <c r="BW32" s="270"/>
      <c r="BX32" s="270"/>
      <c r="BY32" s="270"/>
      <c r="BZ32" s="270"/>
      <c r="CA32" s="270"/>
      <c r="CB32" s="270"/>
      <c r="CC32" s="270"/>
      <c r="CD32" s="270"/>
      <c r="CE32" s="270"/>
      <c r="CF32" s="270"/>
      <c r="CG32" s="270"/>
      <c r="CH32" s="270"/>
      <c r="CI32" s="270"/>
      <c r="CJ32" s="270"/>
      <c r="CK32" s="270"/>
      <c r="CL32" s="270"/>
      <c r="CM32" s="270"/>
      <c r="CN32" s="270"/>
      <c r="CO32" s="270"/>
      <c r="CP32" s="270"/>
      <c r="CQ32" s="270"/>
      <c r="CR32" s="270"/>
      <c r="CS32" s="270"/>
      <c r="CT32" s="270"/>
      <c r="CU32" s="270"/>
      <c r="CV32" s="270"/>
      <c r="CW32" s="270"/>
      <c r="CX32" s="270"/>
      <c r="CY32" s="270"/>
      <c r="CZ32" s="270"/>
      <c r="DA32" s="270"/>
      <c r="DB32" s="270"/>
      <c r="DC32" s="270"/>
      <c r="DD32" s="270"/>
      <c r="DE32" s="270"/>
      <c r="DF32" s="270"/>
      <c r="DG32" s="270"/>
      <c r="DH32" s="270"/>
      <c r="DI32" s="270"/>
      <c r="DJ32" s="270"/>
      <c r="DK32" s="270"/>
      <c r="DL32" s="270"/>
      <c r="DM32" s="270"/>
      <c r="DN32" s="270"/>
      <c r="DO32" s="270"/>
      <c r="DP32" s="270"/>
      <c r="DQ32" s="270"/>
      <c r="DR32" s="270"/>
      <c r="DS32" s="270"/>
      <c r="DT32" s="270"/>
      <c r="DU32" s="270"/>
      <c r="DV32" s="270"/>
      <c r="DW32" s="270"/>
      <c r="DX32" s="270"/>
      <c r="DY32" s="270"/>
      <c r="DZ32" s="270"/>
      <c r="EA32" s="270"/>
      <c r="EB32" s="270"/>
      <c r="EC32" s="270"/>
      <c r="ED32" s="270"/>
      <c r="EE32" s="270"/>
      <c r="EF32" s="270"/>
      <c r="EG32" s="270"/>
      <c r="EH32" s="270"/>
      <c r="EI32" s="270"/>
      <c r="EJ32" s="270"/>
      <c r="EK32" s="270"/>
      <c r="EL32" s="270"/>
      <c r="EM32" s="270"/>
      <c r="EN32" s="270"/>
      <c r="EO32" s="270"/>
      <c r="EP32" s="270"/>
      <c r="EQ32" s="270"/>
      <c r="ER32" s="270"/>
      <c r="ES32" s="270"/>
      <c r="ET32" s="270"/>
      <c r="EU32" s="270"/>
      <c r="EV32" s="270"/>
      <c r="EW32" s="270"/>
      <c r="EX32" s="270"/>
      <c r="EY32" s="270"/>
      <c r="EZ32" s="270"/>
      <c r="FA32" s="270"/>
      <c r="FB32" s="270"/>
      <c r="FC32" s="270"/>
      <c r="FD32" s="270"/>
      <c r="FE32" s="270"/>
      <c r="FF32" s="270"/>
      <c r="FG32" s="270"/>
      <c r="FH32" s="270"/>
      <c r="FI32" s="270"/>
      <c r="FJ32" s="270"/>
      <c r="FK32" s="270"/>
      <c r="FL32" s="270"/>
      <c r="FM32" s="270"/>
      <c r="FN32" s="270"/>
      <c r="FO32" s="270"/>
      <c r="FP32" s="270"/>
      <c r="FQ32" s="270"/>
      <c r="FR32" s="270"/>
      <c r="FS32" s="270"/>
      <c r="FT32" s="270"/>
      <c r="FU32" s="270"/>
      <c r="FV32" s="270"/>
      <c r="FW32" s="270"/>
      <c r="FX32" s="270"/>
      <c r="FY32" s="270"/>
      <c r="FZ32" s="270"/>
      <c r="GA32" s="270"/>
      <c r="GB32" s="270"/>
      <c r="GC32" s="270"/>
      <c r="GD32" s="270"/>
      <c r="GE32" s="270"/>
      <c r="GF32" s="270"/>
      <c r="GG32" s="270"/>
      <c r="GH32" s="270"/>
    </row>
    <row r="33" spans="1:190" s="93" customFormat="1" ht="15" customHeight="1" x14ac:dyDescent="0.2">
      <c r="A33" s="402" t="s">
        <v>424</v>
      </c>
      <c r="B33" s="282"/>
      <c r="C33" s="95" t="s">
        <v>181</v>
      </c>
      <c r="D33" s="98">
        <v>15</v>
      </c>
      <c r="E33" s="273"/>
      <c r="F33" s="279"/>
      <c r="G33" s="279"/>
      <c r="H33" s="270"/>
      <c r="I33" s="270"/>
      <c r="J33" s="270"/>
      <c r="K33" s="270"/>
      <c r="L33" s="270"/>
      <c r="M33" s="270"/>
      <c r="N33" s="270"/>
      <c r="O33" s="270"/>
      <c r="P33" s="270"/>
      <c r="Q33" s="270"/>
      <c r="R33" s="270"/>
      <c r="S33" s="270"/>
      <c r="T33" s="270"/>
      <c r="U33" s="270"/>
      <c r="V33" s="270"/>
      <c r="W33" s="270"/>
      <c r="X33" s="270"/>
      <c r="Y33" s="270"/>
      <c r="Z33" s="270"/>
      <c r="AA33" s="270"/>
      <c r="AB33" s="270"/>
      <c r="AC33" s="270"/>
      <c r="AD33" s="270"/>
      <c r="AE33" s="270"/>
      <c r="AF33" s="270"/>
      <c r="AG33" s="270"/>
      <c r="AH33" s="270"/>
      <c r="AI33" s="270"/>
      <c r="AJ33" s="270"/>
      <c r="AK33" s="270"/>
      <c r="AL33" s="270"/>
      <c r="AM33" s="270"/>
      <c r="AN33" s="270"/>
      <c r="AO33" s="270"/>
      <c r="AP33" s="270"/>
      <c r="AQ33" s="270"/>
      <c r="AR33" s="270"/>
      <c r="AS33" s="270"/>
      <c r="AT33" s="270"/>
      <c r="AU33" s="270"/>
      <c r="AV33" s="270"/>
      <c r="AW33" s="270"/>
      <c r="AX33" s="270"/>
      <c r="AY33" s="270"/>
      <c r="AZ33" s="270"/>
      <c r="BA33" s="270"/>
      <c r="BB33" s="270"/>
      <c r="BC33" s="270"/>
      <c r="BD33" s="270"/>
      <c r="BE33" s="270"/>
      <c r="BF33" s="270"/>
      <c r="BG33" s="270"/>
      <c r="BH33" s="270"/>
      <c r="BI33" s="270"/>
      <c r="BJ33" s="270"/>
      <c r="BK33" s="270"/>
      <c r="BL33" s="270"/>
      <c r="BM33" s="270"/>
      <c r="BN33" s="270"/>
      <c r="BO33" s="270"/>
      <c r="BP33" s="270"/>
      <c r="BQ33" s="270"/>
      <c r="BR33" s="270"/>
      <c r="BS33" s="270"/>
      <c r="BT33" s="270"/>
      <c r="BU33" s="270"/>
      <c r="BV33" s="270"/>
      <c r="BW33" s="270"/>
      <c r="BX33" s="270"/>
      <c r="BY33" s="270"/>
      <c r="BZ33" s="270"/>
      <c r="CA33" s="270"/>
      <c r="CB33" s="270"/>
      <c r="CC33" s="270"/>
      <c r="CD33" s="270"/>
      <c r="CE33" s="270"/>
      <c r="CF33" s="270"/>
      <c r="CG33" s="270"/>
      <c r="CH33" s="270"/>
      <c r="CI33" s="270"/>
      <c r="CJ33" s="270"/>
      <c r="CK33" s="270"/>
      <c r="CL33" s="270"/>
      <c r="CM33" s="270"/>
      <c r="CN33" s="270"/>
      <c r="CO33" s="270"/>
      <c r="CP33" s="270"/>
      <c r="CQ33" s="270"/>
      <c r="CR33" s="270"/>
      <c r="CS33" s="270"/>
      <c r="CT33" s="270"/>
      <c r="CU33" s="270"/>
      <c r="CV33" s="270"/>
      <c r="CW33" s="270"/>
      <c r="CX33" s="270"/>
      <c r="CY33" s="270"/>
      <c r="CZ33" s="270"/>
      <c r="DA33" s="270"/>
      <c r="DB33" s="270"/>
      <c r="DC33" s="270"/>
      <c r="DD33" s="270"/>
      <c r="DE33" s="270"/>
      <c r="DF33" s="270"/>
      <c r="DG33" s="270"/>
      <c r="DH33" s="270"/>
      <c r="DI33" s="270"/>
      <c r="DJ33" s="270"/>
      <c r="DK33" s="270"/>
      <c r="DL33" s="270"/>
      <c r="DM33" s="270"/>
      <c r="DN33" s="270"/>
      <c r="DO33" s="270"/>
      <c r="DP33" s="270"/>
      <c r="DQ33" s="270"/>
      <c r="DR33" s="270"/>
      <c r="DS33" s="270"/>
      <c r="DT33" s="270"/>
      <c r="DU33" s="270"/>
      <c r="DV33" s="270"/>
      <c r="DW33" s="270"/>
      <c r="DX33" s="270"/>
      <c r="DY33" s="270"/>
      <c r="DZ33" s="270"/>
      <c r="EA33" s="270"/>
      <c r="EB33" s="270"/>
      <c r="EC33" s="270"/>
      <c r="ED33" s="270"/>
      <c r="EE33" s="270"/>
      <c r="EF33" s="270"/>
      <c r="EG33" s="270"/>
      <c r="EH33" s="270"/>
      <c r="EI33" s="270"/>
      <c r="EJ33" s="270"/>
      <c r="EK33" s="270"/>
      <c r="EL33" s="270"/>
      <c r="EM33" s="270"/>
      <c r="EN33" s="270"/>
      <c r="EO33" s="270"/>
      <c r="EP33" s="270"/>
      <c r="EQ33" s="270"/>
      <c r="ER33" s="270"/>
      <c r="ES33" s="270"/>
      <c r="ET33" s="270"/>
      <c r="EU33" s="270"/>
      <c r="EV33" s="270"/>
      <c r="EW33" s="270"/>
      <c r="EX33" s="270"/>
      <c r="EY33" s="270"/>
      <c r="EZ33" s="270"/>
      <c r="FA33" s="270"/>
      <c r="FB33" s="270"/>
      <c r="FC33" s="270"/>
      <c r="FD33" s="270"/>
      <c r="FE33" s="270"/>
      <c r="FF33" s="270"/>
      <c r="FG33" s="270"/>
      <c r="FH33" s="270"/>
      <c r="FI33" s="270"/>
      <c r="FJ33" s="270"/>
      <c r="FK33" s="270"/>
      <c r="FL33" s="270"/>
      <c r="FM33" s="270"/>
      <c r="FN33" s="270"/>
      <c r="FO33" s="270"/>
      <c r="FP33" s="270"/>
      <c r="FQ33" s="270"/>
      <c r="FR33" s="270"/>
      <c r="FS33" s="270"/>
      <c r="FT33" s="270"/>
      <c r="FU33" s="270"/>
      <c r="FV33" s="270"/>
      <c r="FW33" s="270"/>
      <c r="FX33" s="270"/>
      <c r="FY33" s="270"/>
      <c r="FZ33" s="270"/>
      <c r="GA33" s="270"/>
      <c r="GB33" s="270"/>
      <c r="GC33" s="270"/>
      <c r="GD33" s="270"/>
      <c r="GE33" s="270"/>
      <c r="GF33" s="270"/>
      <c r="GG33" s="270"/>
      <c r="GH33" s="270"/>
    </row>
    <row r="34" spans="1:190" s="93" customFormat="1" ht="15" x14ac:dyDescent="0.2">
      <c r="A34" s="402" t="s">
        <v>424</v>
      </c>
      <c r="B34" s="282"/>
      <c r="C34" s="110" t="s">
        <v>374</v>
      </c>
      <c r="D34" s="99" t="s">
        <v>694</v>
      </c>
      <c r="E34" s="274"/>
      <c r="F34" s="279"/>
      <c r="G34" s="279"/>
      <c r="H34" s="270"/>
      <c r="I34" s="270"/>
      <c r="J34" s="270"/>
      <c r="K34" s="270"/>
      <c r="L34" s="270"/>
      <c r="M34" s="270"/>
      <c r="N34" s="270"/>
      <c r="O34" s="270"/>
      <c r="P34" s="270"/>
      <c r="Q34" s="270"/>
      <c r="R34" s="270"/>
      <c r="S34" s="270"/>
      <c r="T34" s="270"/>
      <c r="U34" s="270"/>
      <c r="V34" s="270"/>
      <c r="W34" s="270"/>
      <c r="X34" s="270"/>
      <c r="Y34" s="270"/>
      <c r="Z34" s="270"/>
      <c r="AA34" s="270"/>
      <c r="AB34" s="270"/>
      <c r="AC34" s="270"/>
      <c r="AD34" s="270"/>
      <c r="AE34" s="270"/>
      <c r="AF34" s="270"/>
      <c r="AG34" s="270"/>
      <c r="AH34" s="270"/>
      <c r="AI34" s="270"/>
      <c r="AJ34" s="270"/>
      <c r="AK34" s="270"/>
      <c r="AL34" s="270"/>
      <c r="AM34" s="270"/>
      <c r="AN34" s="270"/>
      <c r="AO34" s="270"/>
      <c r="AP34" s="270"/>
      <c r="AQ34" s="270"/>
      <c r="AR34" s="270"/>
      <c r="AS34" s="270"/>
      <c r="AT34" s="270"/>
      <c r="AU34" s="270"/>
      <c r="AV34" s="270"/>
      <c r="AW34" s="270"/>
      <c r="AX34" s="270"/>
      <c r="AY34" s="270"/>
      <c r="AZ34" s="270"/>
      <c r="BA34" s="270"/>
      <c r="BB34" s="270"/>
      <c r="BC34" s="270"/>
      <c r="BD34" s="270"/>
      <c r="BE34" s="270"/>
      <c r="BF34" s="270"/>
      <c r="BG34" s="270"/>
      <c r="BH34" s="270"/>
      <c r="BI34" s="270"/>
      <c r="BJ34" s="270"/>
      <c r="BK34" s="270"/>
      <c r="BL34" s="270"/>
      <c r="BM34" s="270"/>
      <c r="BN34" s="270"/>
      <c r="BO34" s="270"/>
      <c r="BP34" s="270"/>
      <c r="BQ34" s="270"/>
      <c r="BR34" s="270"/>
      <c r="BS34" s="270"/>
      <c r="BT34" s="270"/>
      <c r="BU34" s="270"/>
      <c r="BV34" s="270"/>
      <c r="BW34" s="270"/>
      <c r="BX34" s="270"/>
      <c r="BY34" s="270"/>
      <c r="BZ34" s="270"/>
      <c r="CA34" s="270"/>
      <c r="CB34" s="270"/>
      <c r="CC34" s="270"/>
      <c r="CD34" s="270"/>
      <c r="CE34" s="270"/>
      <c r="CF34" s="270"/>
      <c r="CG34" s="270"/>
      <c r="CH34" s="270"/>
      <c r="CI34" s="270"/>
      <c r="CJ34" s="270"/>
      <c r="CK34" s="270"/>
      <c r="CL34" s="270"/>
      <c r="CM34" s="270"/>
      <c r="CN34" s="270"/>
      <c r="CO34" s="270"/>
      <c r="CP34" s="270"/>
      <c r="CQ34" s="270"/>
      <c r="CR34" s="270"/>
      <c r="CS34" s="270"/>
      <c r="CT34" s="270"/>
      <c r="CU34" s="270"/>
      <c r="CV34" s="270"/>
      <c r="CW34" s="270"/>
      <c r="CX34" s="270"/>
      <c r="CY34" s="270"/>
      <c r="CZ34" s="270"/>
      <c r="DA34" s="270"/>
      <c r="DB34" s="270"/>
      <c r="DC34" s="270"/>
      <c r="DD34" s="270"/>
      <c r="DE34" s="270"/>
      <c r="DF34" s="270"/>
      <c r="DG34" s="270"/>
      <c r="DH34" s="270"/>
      <c r="DI34" s="270"/>
      <c r="DJ34" s="270"/>
      <c r="DK34" s="270"/>
      <c r="DL34" s="270"/>
      <c r="DM34" s="270"/>
      <c r="DN34" s="270"/>
      <c r="DO34" s="270"/>
      <c r="DP34" s="270"/>
      <c r="DQ34" s="270"/>
      <c r="DR34" s="270"/>
      <c r="DS34" s="270"/>
      <c r="DT34" s="270"/>
      <c r="DU34" s="270"/>
      <c r="DV34" s="270"/>
      <c r="DW34" s="270"/>
      <c r="DX34" s="270"/>
      <c r="DY34" s="270"/>
      <c r="DZ34" s="270"/>
      <c r="EA34" s="270"/>
      <c r="EB34" s="270"/>
      <c r="EC34" s="270"/>
      <c r="ED34" s="270"/>
      <c r="EE34" s="270"/>
      <c r="EF34" s="270"/>
      <c r="EG34" s="270"/>
      <c r="EH34" s="270"/>
      <c r="EI34" s="270"/>
      <c r="EJ34" s="270"/>
      <c r="EK34" s="270"/>
      <c r="EL34" s="270"/>
      <c r="EM34" s="270"/>
      <c r="EN34" s="270"/>
      <c r="EO34" s="270"/>
      <c r="EP34" s="270"/>
      <c r="EQ34" s="270"/>
      <c r="ER34" s="270"/>
      <c r="ES34" s="270"/>
      <c r="ET34" s="270"/>
      <c r="EU34" s="270"/>
      <c r="EV34" s="270"/>
      <c r="EW34" s="270"/>
      <c r="EX34" s="270"/>
      <c r="EY34" s="270"/>
      <c r="EZ34" s="270"/>
      <c r="FA34" s="270"/>
      <c r="FB34" s="270"/>
      <c r="FC34" s="270"/>
      <c r="FD34" s="270"/>
      <c r="FE34" s="270"/>
      <c r="FF34" s="270"/>
      <c r="FG34" s="270"/>
      <c r="FH34" s="270"/>
      <c r="FI34" s="270"/>
      <c r="FJ34" s="270"/>
      <c r="FK34" s="270"/>
      <c r="FL34" s="270"/>
      <c r="FM34" s="270"/>
      <c r="FN34" s="270"/>
      <c r="FO34" s="270"/>
      <c r="FP34" s="270"/>
      <c r="FQ34" s="270"/>
      <c r="FR34" s="270"/>
      <c r="FS34" s="270"/>
      <c r="FT34" s="270"/>
      <c r="FU34" s="270"/>
      <c r="FV34" s="270"/>
      <c r="FW34" s="270"/>
      <c r="FX34" s="270"/>
      <c r="FY34" s="270"/>
      <c r="FZ34" s="270"/>
      <c r="GA34" s="270"/>
      <c r="GB34" s="270"/>
      <c r="GC34" s="270"/>
      <c r="GD34" s="270"/>
      <c r="GE34" s="270"/>
      <c r="GF34" s="270"/>
      <c r="GG34" s="270"/>
      <c r="GH34" s="270"/>
    </row>
    <row r="35" spans="1:190" s="270" customFormat="1" ht="15" customHeight="1" x14ac:dyDescent="0.2">
      <c r="A35" s="282"/>
      <c r="B35" s="282"/>
      <c r="D35" s="293"/>
      <c r="F35" s="279"/>
      <c r="G35" s="279"/>
    </row>
    <row r="36" spans="1:190" s="270" customFormat="1" ht="15" customHeight="1" x14ac:dyDescent="0.2">
      <c r="A36" s="282"/>
      <c r="B36" s="282"/>
      <c r="C36" s="728"/>
      <c r="D36" s="729"/>
      <c r="E36" s="729"/>
      <c r="F36" s="729"/>
      <c r="G36" s="729"/>
      <c r="H36" s="730"/>
    </row>
    <row r="37" spans="1:190" s="270" customFormat="1" ht="15" customHeight="1" x14ac:dyDescent="0.2">
      <c r="A37" s="282"/>
      <c r="B37" s="282"/>
      <c r="D37" s="293"/>
      <c r="F37" s="279"/>
      <c r="G37" s="279"/>
    </row>
    <row r="38" spans="1:190" s="270" customFormat="1" ht="73.5" customHeight="1" x14ac:dyDescent="0.2">
      <c r="A38" s="282"/>
      <c r="B38" s="282"/>
      <c r="C38" s="731" t="s">
        <v>751</v>
      </c>
      <c r="D38" s="732"/>
      <c r="E38" s="732"/>
      <c r="F38" s="732"/>
      <c r="G38" s="732"/>
      <c r="H38" s="733"/>
      <c r="L38" s="521"/>
    </row>
    <row r="39" spans="1:190" s="270" customFormat="1" ht="15" customHeight="1" x14ac:dyDescent="0.2">
      <c r="A39" s="282"/>
      <c r="B39" s="282"/>
      <c r="D39" s="293"/>
      <c r="F39" s="279"/>
      <c r="G39" s="279"/>
    </row>
    <row r="40" spans="1:190" s="270" customFormat="1" ht="15" customHeight="1" x14ac:dyDescent="0.2">
      <c r="A40" s="282"/>
      <c r="B40" s="282"/>
      <c r="C40" s="268" t="s">
        <v>339</v>
      </c>
      <c r="D40" s="293"/>
      <c r="F40" s="279"/>
      <c r="G40" s="279"/>
    </row>
    <row r="41" spans="1:190" s="270" customFormat="1" ht="15" customHeight="1" x14ac:dyDescent="0.2">
      <c r="A41" s="282"/>
      <c r="B41" s="282"/>
      <c r="C41" s="95" t="s">
        <v>340</v>
      </c>
      <c r="D41" s="290">
        <f>ROUNDDOWN(D20*D30,-2)</f>
        <v>280000</v>
      </c>
      <c r="E41" s="270" t="s">
        <v>342</v>
      </c>
      <c r="F41" s="279"/>
      <c r="G41" s="279"/>
      <c r="J41" s="391" t="s">
        <v>235</v>
      </c>
      <c r="K41" s="391" t="s">
        <v>236</v>
      </c>
    </row>
    <row r="42" spans="1:190" s="270" customFormat="1" ht="15" customHeight="1" x14ac:dyDescent="0.2">
      <c r="A42" s="282"/>
      <c r="B42" s="282"/>
      <c r="C42" s="95" t="s">
        <v>341</v>
      </c>
      <c r="D42" s="290">
        <f>IF(ISERROR(ROUNDDOWN(D15/D29/(E31+E32),-2)),0,ROUNDDOWN(D15/D29/(E31+E32),-2))</f>
        <v>170000</v>
      </c>
      <c r="E42" s="270" t="s">
        <v>343</v>
      </c>
      <c r="F42" s="279"/>
      <c r="G42" s="279"/>
    </row>
    <row r="43" spans="1:190" s="270" customFormat="1" ht="15" customHeight="1" x14ac:dyDescent="0.2">
      <c r="A43" s="282"/>
      <c r="B43" s="282"/>
      <c r="C43" s="95" t="s">
        <v>344</v>
      </c>
      <c r="D43" s="290">
        <f>MIN(D41:D42)</f>
        <v>170000</v>
      </c>
      <c r="E43" s="270" t="s">
        <v>345</v>
      </c>
      <c r="F43" s="279"/>
      <c r="G43" s="279"/>
    </row>
    <row r="44" spans="1:190" s="270" customFormat="1" ht="15" customHeight="1" x14ac:dyDescent="0.2">
      <c r="A44" s="402" t="s">
        <v>424</v>
      </c>
      <c r="B44" s="282"/>
      <c r="C44" s="95" t="s">
        <v>529</v>
      </c>
      <c r="D44" s="101">
        <v>150000</v>
      </c>
      <c r="F44" s="279"/>
      <c r="G44" s="279"/>
      <c r="L44" s="521"/>
    </row>
    <row r="45" spans="1:190" s="270" customFormat="1" ht="15" customHeight="1" x14ac:dyDescent="0.2">
      <c r="B45" s="282"/>
      <c r="C45" s="95" t="s">
        <v>407</v>
      </c>
      <c r="D45" s="101" t="s">
        <v>236</v>
      </c>
      <c r="F45" s="279"/>
      <c r="G45" s="279"/>
    </row>
    <row r="46" spans="1:190" s="270" customFormat="1" ht="15" customHeight="1" x14ac:dyDescent="0.2">
      <c r="A46" s="282"/>
      <c r="B46" s="282"/>
      <c r="C46" s="95" t="s">
        <v>483</v>
      </c>
      <c r="D46" s="314">
        <f>IF(OR(D41=0,D33=0),0,D44*(E31+E32)/12)</f>
        <v>1165.7818884139053</v>
      </c>
      <c r="E46" s="270" t="s">
        <v>484</v>
      </c>
      <c r="F46" s="279"/>
      <c r="G46" s="279"/>
    </row>
    <row r="47" spans="1:190" s="270" customFormat="1" ht="5.25" customHeight="1" x14ac:dyDescent="0.2">
      <c r="A47" s="282"/>
      <c r="B47" s="282"/>
      <c r="C47" s="488"/>
      <c r="D47" s="487"/>
      <c r="F47" s="279"/>
      <c r="G47" s="279"/>
    </row>
    <row r="48" spans="1:190" s="270" customFormat="1" ht="84.75" customHeight="1" x14ac:dyDescent="0.2">
      <c r="A48" s="282"/>
      <c r="B48" s="282"/>
      <c r="C48" s="731" t="s">
        <v>531</v>
      </c>
      <c r="D48" s="732"/>
      <c r="E48" s="732"/>
      <c r="F48" s="732"/>
      <c r="G48" s="732"/>
      <c r="H48" s="733"/>
      <c r="L48" s="521"/>
    </row>
    <row r="49" spans="1:190" s="270" customFormat="1" ht="8.25" customHeight="1" x14ac:dyDescent="0.2">
      <c r="A49" s="282"/>
      <c r="B49" s="282"/>
      <c r="C49" s="488"/>
      <c r="D49" s="487"/>
      <c r="F49" s="279"/>
      <c r="G49" s="279"/>
    </row>
    <row r="50" spans="1:190" s="270" customFormat="1" ht="15" customHeight="1" x14ac:dyDescent="0.2">
      <c r="A50" s="282"/>
      <c r="B50" s="282"/>
      <c r="C50" s="95" t="s">
        <v>485</v>
      </c>
      <c r="D50" s="349">
        <f>IF(D46=0,0,D15/(D46*12))</f>
        <v>1.5872037057041506</v>
      </c>
      <c r="E50" s="313" t="str">
        <f>IF(D50=0,"",IF(D50&lt;1,"Warning: Estimated DSC is below 1.0",IF(D50&lt;1.1,"Warning: DSC is between 1.0 and 1.1","")))</f>
        <v/>
      </c>
      <c r="F50" s="279"/>
      <c r="G50" s="279"/>
    </row>
    <row r="51" spans="1:190" s="270" customFormat="1" ht="15" customHeight="1" x14ac:dyDescent="0.2">
      <c r="A51" s="282"/>
      <c r="B51" s="282"/>
      <c r="D51" s="293"/>
      <c r="F51" s="279"/>
      <c r="G51" s="279"/>
    </row>
    <row r="52" spans="1:190" s="270" customFormat="1" ht="15" customHeight="1" x14ac:dyDescent="0.2">
      <c r="A52" s="282"/>
      <c r="B52" s="282"/>
      <c r="C52" s="268" t="s">
        <v>348</v>
      </c>
      <c r="D52" s="293"/>
      <c r="F52" s="279"/>
      <c r="G52" s="279"/>
    </row>
    <row r="53" spans="1:190" s="93" customFormat="1" ht="15" customHeight="1" x14ac:dyDescent="0.2">
      <c r="A53" s="402" t="s">
        <v>424</v>
      </c>
      <c r="B53" s="282"/>
      <c r="C53" s="95" t="s">
        <v>350</v>
      </c>
      <c r="D53" s="292">
        <v>0.02</v>
      </c>
      <c r="E53" s="312" t="s">
        <v>349</v>
      </c>
      <c r="F53" s="279"/>
      <c r="G53" s="279"/>
      <c r="H53" s="270"/>
      <c r="I53" s="270"/>
      <c r="J53" s="270"/>
      <c r="K53" s="270"/>
      <c r="L53" s="270"/>
      <c r="M53" s="270"/>
      <c r="N53" s="270"/>
      <c r="O53" s="270"/>
      <c r="P53" s="270"/>
      <c r="Q53" s="270"/>
      <c r="R53" s="270"/>
      <c r="S53" s="270"/>
      <c r="T53" s="270"/>
      <c r="U53" s="270"/>
      <c r="V53" s="270"/>
      <c r="W53" s="270"/>
      <c r="X53" s="270"/>
      <c r="Y53" s="270"/>
      <c r="Z53" s="270"/>
      <c r="AA53" s="270"/>
      <c r="AB53" s="270"/>
      <c r="AC53" s="270"/>
      <c r="AD53" s="270"/>
      <c r="AE53" s="270"/>
      <c r="AF53" s="270"/>
      <c r="AG53" s="270"/>
      <c r="AH53" s="270"/>
      <c r="AI53" s="270"/>
      <c r="AJ53" s="270"/>
      <c r="AK53" s="270"/>
      <c r="AL53" s="270"/>
      <c r="AM53" s="270"/>
      <c r="AN53" s="270"/>
      <c r="AO53" s="270"/>
      <c r="AP53" s="270"/>
      <c r="AQ53" s="270"/>
      <c r="AR53" s="270"/>
      <c r="AS53" s="270"/>
      <c r="AT53" s="270"/>
      <c r="AU53" s="270"/>
      <c r="AV53" s="270"/>
      <c r="AW53" s="270"/>
      <c r="AX53" s="270"/>
      <c r="AY53" s="270"/>
      <c r="AZ53" s="270"/>
      <c r="BA53" s="270"/>
      <c r="BB53" s="270"/>
      <c r="BC53" s="270"/>
      <c r="BD53" s="270"/>
      <c r="BE53" s="270"/>
      <c r="BF53" s="270"/>
      <c r="BG53" s="270"/>
      <c r="BH53" s="270"/>
      <c r="BI53" s="270"/>
      <c r="BJ53" s="270"/>
      <c r="BK53" s="270"/>
      <c r="BL53" s="270"/>
      <c r="BM53" s="270"/>
      <c r="BN53" s="270"/>
      <c r="BO53" s="270"/>
      <c r="BP53" s="270"/>
      <c r="BQ53" s="270"/>
      <c r="BR53" s="270"/>
      <c r="BS53" s="270"/>
      <c r="BT53" s="270"/>
      <c r="BU53" s="270"/>
      <c r="BV53" s="270"/>
      <c r="BW53" s="270"/>
      <c r="BX53" s="270"/>
      <c r="BY53" s="270"/>
      <c r="BZ53" s="270"/>
      <c r="CA53" s="270"/>
      <c r="CB53" s="270"/>
      <c r="CC53" s="270"/>
      <c r="CD53" s="270"/>
      <c r="CE53" s="270"/>
      <c r="CF53" s="270"/>
      <c r="CG53" s="270"/>
      <c r="CH53" s="270"/>
      <c r="CI53" s="270"/>
      <c r="CJ53" s="270"/>
      <c r="CK53" s="270"/>
      <c r="CL53" s="270"/>
      <c r="CM53" s="270"/>
      <c r="CN53" s="270"/>
      <c r="CO53" s="270"/>
      <c r="CP53" s="270"/>
      <c r="CQ53" s="270"/>
      <c r="CR53" s="270"/>
      <c r="CS53" s="270"/>
      <c r="CT53" s="270"/>
      <c r="CU53" s="270"/>
      <c r="CV53" s="270"/>
      <c r="CW53" s="270"/>
      <c r="CX53" s="270"/>
      <c r="CY53" s="270"/>
      <c r="CZ53" s="270"/>
      <c r="DA53" s="270"/>
      <c r="DB53" s="270"/>
      <c r="DC53" s="270"/>
      <c r="DD53" s="270"/>
      <c r="DE53" s="270"/>
      <c r="DF53" s="270"/>
      <c r="DG53" s="270"/>
      <c r="DH53" s="270"/>
      <c r="DI53" s="270"/>
      <c r="DJ53" s="270"/>
      <c r="DK53" s="270"/>
      <c r="DL53" s="270"/>
      <c r="DM53" s="270"/>
      <c r="DN53" s="270"/>
      <c r="DO53" s="270"/>
      <c r="DP53" s="270"/>
      <c r="DQ53" s="270"/>
      <c r="DR53" s="270"/>
      <c r="DS53" s="270"/>
      <c r="DT53" s="270"/>
      <c r="DU53" s="270"/>
      <c r="DV53" s="270"/>
      <c r="DW53" s="270"/>
      <c r="DX53" s="270"/>
      <c r="DY53" s="270"/>
      <c r="DZ53" s="270"/>
      <c r="EA53" s="270"/>
      <c r="EB53" s="270"/>
      <c r="EC53" s="270"/>
      <c r="ED53" s="270"/>
      <c r="EE53" s="270"/>
      <c r="EF53" s="270"/>
      <c r="EG53" s="270"/>
      <c r="EH53" s="270"/>
      <c r="EI53" s="270"/>
      <c r="EJ53" s="270"/>
      <c r="EK53" s="270"/>
      <c r="EL53" s="270"/>
      <c r="EM53" s="270"/>
      <c r="EN53" s="270"/>
      <c r="EO53" s="270"/>
      <c r="EP53" s="270"/>
      <c r="EQ53" s="270"/>
      <c r="ER53" s="270"/>
      <c r="ES53" s="270"/>
      <c r="ET53" s="270"/>
      <c r="EU53" s="270"/>
      <c r="EV53" s="270"/>
      <c r="EW53" s="270"/>
      <c r="EX53" s="270"/>
      <c r="EY53" s="270"/>
      <c r="EZ53" s="270"/>
      <c r="FA53" s="270"/>
      <c r="FB53" s="270"/>
      <c r="FC53" s="270"/>
      <c r="FD53" s="270"/>
      <c r="FE53" s="270"/>
      <c r="FF53" s="270"/>
      <c r="FG53" s="270"/>
      <c r="FH53" s="270"/>
      <c r="FI53" s="270"/>
      <c r="FJ53" s="270"/>
      <c r="FK53" s="270"/>
      <c r="FL53" s="270"/>
      <c r="FM53" s="270"/>
      <c r="FN53" s="270"/>
      <c r="FO53" s="270"/>
      <c r="FP53" s="270"/>
      <c r="FQ53" s="270"/>
      <c r="FR53" s="270"/>
      <c r="FS53" s="270"/>
      <c r="FT53" s="270"/>
      <c r="FU53" s="270"/>
      <c r="FV53" s="270"/>
      <c r="FW53" s="270"/>
      <c r="FX53" s="270"/>
      <c r="FY53" s="270"/>
      <c r="FZ53" s="270"/>
      <c r="GA53" s="270"/>
      <c r="GB53" s="270"/>
      <c r="GC53" s="270"/>
      <c r="GD53" s="270"/>
      <c r="GE53" s="270"/>
      <c r="GF53" s="270"/>
      <c r="GG53" s="270"/>
      <c r="GH53" s="270"/>
    </row>
    <row r="54" spans="1:190" s="270" customFormat="1" ht="15" customHeight="1" x14ac:dyDescent="0.2">
      <c r="A54" s="282"/>
      <c r="B54" s="282"/>
      <c r="C54" s="95" t="s">
        <v>351</v>
      </c>
      <c r="D54" s="290">
        <f>ROUND(D44*D53,0)</f>
        <v>3000</v>
      </c>
      <c r="F54" s="279"/>
      <c r="G54" s="279"/>
    </row>
    <row r="55" spans="1:190" s="270" customFormat="1" ht="15" customHeight="1" x14ac:dyDescent="0.2">
      <c r="A55" s="282"/>
      <c r="B55" s="282"/>
      <c r="C55" s="95" t="s">
        <v>569</v>
      </c>
      <c r="D55" s="290">
        <f>ROUND('Development Costs'!D67,0)</f>
        <v>3000</v>
      </c>
      <c r="E55" s="318" t="str">
        <f>IF(D54=D55,"","Differs from calculated amount above")</f>
        <v/>
      </c>
      <c r="F55" s="279"/>
      <c r="G55" s="279"/>
      <c r="L55" s="521"/>
    </row>
    <row r="56" spans="1:190" s="270" customFormat="1" ht="15" customHeight="1" x14ac:dyDescent="0.2">
      <c r="A56" s="282"/>
      <c r="B56" s="282"/>
      <c r="D56" s="293"/>
      <c r="F56" s="279"/>
      <c r="G56" s="279"/>
    </row>
    <row r="57" spans="1:190" s="270" customFormat="1" ht="15" customHeight="1" x14ac:dyDescent="0.2">
      <c r="A57" s="402" t="s">
        <v>424</v>
      </c>
      <c r="B57" s="282"/>
      <c r="C57" s="268" t="s">
        <v>352</v>
      </c>
      <c r="D57" s="294"/>
      <c r="E57" s="269"/>
    </row>
    <row r="58" spans="1:190" s="93" customFormat="1" ht="15" customHeight="1" x14ac:dyDescent="0.2">
      <c r="A58" s="282"/>
      <c r="B58" s="282"/>
      <c r="C58" s="95" t="s">
        <v>353</v>
      </c>
      <c r="D58" s="101"/>
      <c r="E58" s="274"/>
      <c r="F58" s="270"/>
      <c r="G58" s="270"/>
      <c r="H58" s="270"/>
      <c r="I58" s="270"/>
      <c r="J58" s="270"/>
      <c r="K58" s="270"/>
      <c r="L58" s="270"/>
      <c r="M58" s="270"/>
      <c r="N58" s="270"/>
      <c r="O58" s="270"/>
      <c r="P58" s="270"/>
      <c r="Q58" s="270"/>
      <c r="R58" s="270"/>
      <c r="S58" s="270"/>
      <c r="T58" s="270"/>
      <c r="U58" s="270"/>
      <c r="V58" s="270"/>
      <c r="W58" s="270"/>
      <c r="X58" s="270"/>
      <c r="Y58" s="270"/>
      <c r="Z58" s="270"/>
      <c r="AA58" s="270"/>
      <c r="AB58" s="270"/>
      <c r="AC58" s="270"/>
      <c r="AD58" s="270"/>
      <c r="AE58" s="270"/>
      <c r="AF58" s="270"/>
      <c r="AG58" s="270"/>
      <c r="AH58" s="270"/>
      <c r="AI58" s="270"/>
      <c r="AJ58" s="270"/>
      <c r="AK58" s="270"/>
      <c r="AL58" s="270"/>
      <c r="AM58" s="270"/>
      <c r="AN58" s="270"/>
      <c r="AO58" s="270"/>
      <c r="AP58" s="270"/>
      <c r="AQ58" s="270"/>
      <c r="AR58" s="270"/>
      <c r="AS58" s="270"/>
      <c r="AT58" s="270"/>
      <c r="AU58" s="270"/>
      <c r="AV58" s="270"/>
      <c r="AW58" s="270"/>
      <c r="AX58" s="270"/>
      <c r="AY58" s="270"/>
      <c r="AZ58" s="270"/>
      <c r="BA58" s="270"/>
      <c r="BB58" s="270"/>
      <c r="BC58" s="270"/>
      <c r="BD58" s="270"/>
      <c r="BE58" s="270"/>
      <c r="BF58" s="270"/>
      <c r="BG58" s="270"/>
      <c r="BH58" s="270"/>
      <c r="BI58" s="270"/>
      <c r="BJ58" s="270"/>
      <c r="BK58" s="270"/>
      <c r="BL58" s="270"/>
      <c r="BM58" s="270"/>
      <c r="BN58" s="270"/>
      <c r="BO58" s="270"/>
      <c r="BP58" s="270"/>
      <c r="BQ58" s="270"/>
      <c r="BR58" s="270"/>
      <c r="BS58" s="270"/>
      <c r="BT58" s="270"/>
      <c r="BU58" s="270"/>
      <c r="BV58" s="270"/>
      <c r="BW58" s="270"/>
      <c r="BX58" s="270"/>
      <c r="BY58" s="270"/>
      <c r="BZ58" s="270"/>
      <c r="CA58" s="270"/>
      <c r="CB58" s="270"/>
      <c r="CC58" s="270"/>
      <c r="CD58" s="270"/>
      <c r="CE58" s="270"/>
      <c r="CF58" s="270"/>
      <c r="CG58" s="270"/>
      <c r="CH58" s="270"/>
      <c r="CI58" s="270"/>
      <c r="CJ58" s="270"/>
      <c r="CK58" s="270"/>
      <c r="CL58" s="270"/>
      <c r="CM58" s="270"/>
      <c r="CN58" s="270"/>
      <c r="CO58" s="270"/>
      <c r="CP58" s="270"/>
      <c r="CQ58" s="270"/>
      <c r="CR58" s="270"/>
      <c r="CS58" s="270"/>
      <c r="CT58" s="270"/>
      <c r="CU58" s="270"/>
      <c r="CV58" s="270"/>
      <c r="CW58" s="270"/>
      <c r="CX58" s="270"/>
      <c r="CY58" s="270"/>
      <c r="CZ58" s="270"/>
      <c r="DA58" s="270"/>
      <c r="DB58" s="270"/>
      <c r="DC58" s="270"/>
      <c r="DD58" s="270"/>
      <c r="DE58" s="270"/>
      <c r="DF58" s="270"/>
      <c r="DG58" s="270"/>
      <c r="DH58" s="270"/>
      <c r="DI58" s="270"/>
      <c r="DJ58" s="270"/>
      <c r="DK58" s="270"/>
      <c r="DL58" s="270"/>
      <c r="DM58" s="270"/>
      <c r="DN58" s="270"/>
      <c r="DO58" s="270"/>
      <c r="DP58" s="270"/>
      <c r="DQ58" s="270"/>
      <c r="DR58" s="270"/>
      <c r="DS58" s="270"/>
      <c r="DT58" s="270"/>
      <c r="DU58" s="270"/>
      <c r="DV58" s="270"/>
      <c r="DW58" s="270"/>
      <c r="DX58" s="270"/>
      <c r="DY58" s="270"/>
      <c r="DZ58" s="270"/>
      <c r="EA58" s="270"/>
      <c r="EB58" s="270"/>
      <c r="EC58" s="270"/>
      <c r="ED58" s="270"/>
      <c r="EE58" s="270"/>
      <c r="EF58" s="270"/>
      <c r="EG58" s="270"/>
      <c r="EH58" s="270"/>
      <c r="EI58" s="270"/>
      <c r="EJ58" s="270"/>
      <c r="EK58" s="270"/>
      <c r="EL58" s="270"/>
      <c r="EM58" s="270"/>
      <c r="EN58" s="270"/>
      <c r="EO58" s="270"/>
      <c r="EP58" s="270"/>
      <c r="EQ58" s="270"/>
      <c r="ER58" s="270"/>
      <c r="ES58" s="270"/>
      <c r="ET58" s="270"/>
      <c r="EU58" s="270"/>
      <c r="EV58" s="270"/>
      <c r="EW58" s="270"/>
      <c r="EX58" s="270"/>
      <c r="EY58" s="270"/>
      <c r="EZ58" s="270"/>
      <c r="FA58" s="270"/>
      <c r="FB58" s="270"/>
      <c r="FC58" s="270"/>
      <c r="FD58" s="270"/>
      <c r="FE58" s="270"/>
      <c r="FF58" s="270"/>
      <c r="FG58" s="270"/>
      <c r="FH58" s="270"/>
      <c r="FI58" s="270"/>
      <c r="FJ58" s="270"/>
      <c r="FK58" s="270"/>
      <c r="FL58" s="270"/>
      <c r="FM58" s="270"/>
      <c r="FN58" s="270"/>
      <c r="FO58" s="270"/>
      <c r="FP58" s="270"/>
      <c r="FQ58" s="270"/>
      <c r="FR58" s="270"/>
      <c r="FS58" s="270"/>
      <c r="FT58" s="270"/>
      <c r="FU58" s="270"/>
      <c r="FV58" s="270"/>
      <c r="FW58" s="270"/>
      <c r="FX58" s="270"/>
      <c r="FY58" s="270"/>
      <c r="FZ58" s="270"/>
      <c r="GA58" s="270"/>
      <c r="GB58" s="270"/>
      <c r="GC58" s="270"/>
      <c r="GD58" s="270"/>
      <c r="GE58" s="270"/>
      <c r="GF58" s="270"/>
      <c r="GG58" s="270"/>
      <c r="GH58" s="270"/>
    </row>
    <row r="59" spans="1:190" s="93" customFormat="1" ht="15" customHeight="1" x14ac:dyDescent="0.2">
      <c r="A59" s="282"/>
      <c r="B59" s="282"/>
      <c r="C59" s="95" t="s">
        <v>407</v>
      </c>
      <c r="D59" s="101"/>
      <c r="E59" s="274"/>
      <c r="F59" s="270"/>
      <c r="G59" s="270"/>
      <c r="H59" s="270"/>
      <c r="I59" s="270"/>
      <c r="J59" s="270"/>
      <c r="K59" s="270"/>
      <c r="L59" s="270"/>
      <c r="M59" s="270"/>
      <c r="N59" s="270"/>
      <c r="O59" s="270"/>
      <c r="P59" s="270"/>
      <c r="Q59" s="270"/>
      <c r="R59" s="270"/>
      <c r="S59" s="270"/>
      <c r="T59" s="270"/>
      <c r="U59" s="270"/>
      <c r="V59" s="270"/>
      <c r="W59" s="270"/>
      <c r="X59" s="270"/>
      <c r="Y59" s="270"/>
      <c r="Z59" s="270"/>
      <c r="AA59" s="270"/>
      <c r="AB59" s="270"/>
      <c r="AC59" s="270"/>
      <c r="AD59" s="270"/>
      <c r="AE59" s="270"/>
      <c r="AF59" s="270"/>
      <c r="AG59" s="270"/>
      <c r="AH59" s="270"/>
      <c r="AI59" s="270"/>
      <c r="AJ59" s="270"/>
      <c r="AK59" s="270"/>
      <c r="AL59" s="270"/>
      <c r="AM59" s="270"/>
      <c r="AN59" s="270"/>
      <c r="AO59" s="270"/>
      <c r="AP59" s="270"/>
      <c r="AQ59" s="270"/>
      <c r="AR59" s="270"/>
      <c r="AS59" s="270"/>
      <c r="AT59" s="270"/>
      <c r="AU59" s="270"/>
      <c r="AV59" s="270"/>
      <c r="AW59" s="270"/>
      <c r="AX59" s="270"/>
      <c r="AY59" s="270"/>
      <c r="AZ59" s="270"/>
      <c r="BA59" s="270"/>
      <c r="BB59" s="270"/>
      <c r="BC59" s="270"/>
      <c r="BD59" s="270"/>
      <c r="BE59" s="270"/>
      <c r="BF59" s="270"/>
      <c r="BG59" s="270"/>
      <c r="BH59" s="270"/>
      <c r="BI59" s="270"/>
      <c r="BJ59" s="270"/>
      <c r="BK59" s="270"/>
      <c r="BL59" s="270"/>
      <c r="BM59" s="270"/>
      <c r="BN59" s="270"/>
      <c r="BO59" s="270"/>
      <c r="BP59" s="270"/>
      <c r="BQ59" s="270"/>
      <c r="BR59" s="270"/>
      <c r="BS59" s="270"/>
      <c r="BT59" s="270"/>
      <c r="BU59" s="270"/>
      <c r="BV59" s="270"/>
      <c r="BW59" s="270"/>
      <c r="BX59" s="270"/>
      <c r="BY59" s="270"/>
      <c r="BZ59" s="270"/>
      <c r="CA59" s="270"/>
      <c r="CB59" s="270"/>
      <c r="CC59" s="270"/>
      <c r="CD59" s="270"/>
      <c r="CE59" s="270"/>
      <c r="CF59" s="270"/>
      <c r="CG59" s="270"/>
      <c r="CH59" s="270"/>
      <c r="CI59" s="270"/>
      <c r="CJ59" s="270"/>
      <c r="CK59" s="270"/>
      <c r="CL59" s="270"/>
      <c r="CM59" s="270"/>
      <c r="CN59" s="270"/>
      <c r="CO59" s="270"/>
      <c r="CP59" s="270"/>
      <c r="CQ59" s="270"/>
      <c r="CR59" s="270"/>
      <c r="CS59" s="270"/>
      <c r="CT59" s="270"/>
      <c r="CU59" s="270"/>
      <c r="CV59" s="270"/>
      <c r="CW59" s="270"/>
      <c r="CX59" s="270"/>
      <c r="CY59" s="270"/>
      <c r="CZ59" s="270"/>
      <c r="DA59" s="270"/>
      <c r="DB59" s="270"/>
      <c r="DC59" s="270"/>
      <c r="DD59" s="270"/>
      <c r="DE59" s="270"/>
      <c r="DF59" s="270"/>
      <c r="DG59" s="270"/>
      <c r="DH59" s="270"/>
      <c r="DI59" s="270"/>
      <c r="DJ59" s="270"/>
      <c r="DK59" s="270"/>
      <c r="DL59" s="270"/>
      <c r="DM59" s="270"/>
      <c r="DN59" s="270"/>
      <c r="DO59" s="270"/>
      <c r="DP59" s="270"/>
      <c r="DQ59" s="270"/>
      <c r="DR59" s="270"/>
      <c r="DS59" s="270"/>
      <c r="DT59" s="270"/>
      <c r="DU59" s="270"/>
      <c r="DV59" s="270"/>
      <c r="DW59" s="270"/>
      <c r="DX59" s="270"/>
      <c r="DY59" s="270"/>
      <c r="DZ59" s="270"/>
      <c r="EA59" s="270"/>
      <c r="EB59" s="270"/>
      <c r="EC59" s="270"/>
      <c r="ED59" s="270"/>
      <c r="EE59" s="270"/>
      <c r="EF59" s="270"/>
      <c r="EG59" s="270"/>
      <c r="EH59" s="270"/>
      <c r="EI59" s="270"/>
      <c r="EJ59" s="270"/>
      <c r="EK59" s="270"/>
      <c r="EL59" s="270"/>
      <c r="EM59" s="270"/>
      <c r="EN59" s="270"/>
      <c r="EO59" s="270"/>
      <c r="EP59" s="270"/>
      <c r="EQ59" s="270"/>
      <c r="ER59" s="270"/>
      <c r="ES59" s="270"/>
      <c r="ET59" s="270"/>
      <c r="EU59" s="270"/>
      <c r="EV59" s="270"/>
      <c r="EW59" s="270"/>
      <c r="EX59" s="270"/>
      <c r="EY59" s="270"/>
      <c r="EZ59" s="270"/>
      <c r="FA59" s="270"/>
      <c r="FB59" s="270"/>
      <c r="FC59" s="270"/>
      <c r="FD59" s="270"/>
      <c r="FE59" s="270"/>
      <c r="FF59" s="270"/>
      <c r="FG59" s="270"/>
      <c r="FH59" s="270"/>
      <c r="FI59" s="270"/>
      <c r="FJ59" s="270"/>
      <c r="FK59" s="270"/>
      <c r="FL59" s="270"/>
      <c r="FM59" s="270"/>
      <c r="FN59" s="270"/>
      <c r="FO59" s="270"/>
      <c r="FP59" s="270"/>
      <c r="FQ59" s="270"/>
      <c r="FR59" s="270"/>
      <c r="FS59" s="270"/>
      <c r="FT59" s="270"/>
      <c r="FU59" s="270"/>
      <c r="FV59" s="270"/>
      <c r="FW59" s="270"/>
      <c r="FX59" s="270"/>
      <c r="FY59" s="270"/>
      <c r="FZ59" s="270"/>
      <c r="GA59" s="270"/>
      <c r="GB59" s="270"/>
      <c r="GC59" s="270"/>
      <c r="GD59" s="270"/>
      <c r="GE59" s="270"/>
      <c r="GF59" s="270"/>
      <c r="GG59" s="270"/>
      <c r="GH59" s="270"/>
    </row>
    <row r="60" spans="1:190" s="93" customFormat="1" ht="15" customHeight="1" x14ac:dyDescent="0.2">
      <c r="A60" s="282"/>
      <c r="B60" s="282"/>
      <c r="C60" s="95" t="s">
        <v>130</v>
      </c>
      <c r="D60" s="99"/>
      <c r="E60" s="274"/>
      <c r="F60" s="270"/>
      <c r="G60" s="270"/>
      <c r="H60" s="270"/>
      <c r="I60" s="270"/>
      <c r="J60" s="270"/>
      <c r="K60" s="270"/>
      <c r="L60" s="270"/>
      <c r="M60" s="270"/>
      <c r="N60" s="270"/>
      <c r="O60" s="270"/>
      <c r="P60" s="270"/>
      <c r="Q60" s="270"/>
      <c r="R60" s="270"/>
      <c r="S60" s="270"/>
      <c r="T60" s="270"/>
      <c r="U60" s="270"/>
      <c r="V60" s="270"/>
      <c r="W60" s="270"/>
      <c r="X60" s="270"/>
      <c r="Y60" s="270"/>
      <c r="Z60" s="270"/>
      <c r="AA60" s="270"/>
      <c r="AB60" s="270"/>
      <c r="AC60" s="270"/>
      <c r="AD60" s="270"/>
      <c r="AE60" s="270"/>
      <c r="AF60" s="270"/>
      <c r="AG60" s="270"/>
      <c r="AH60" s="270"/>
      <c r="AI60" s="270"/>
      <c r="AJ60" s="270"/>
      <c r="AK60" s="270"/>
      <c r="AL60" s="270"/>
      <c r="AM60" s="270"/>
      <c r="AN60" s="270"/>
      <c r="AO60" s="270"/>
      <c r="AP60" s="270"/>
      <c r="AQ60" s="270"/>
      <c r="AR60" s="270"/>
      <c r="AS60" s="270"/>
      <c r="AT60" s="270"/>
      <c r="AU60" s="270"/>
      <c r="AV60" s="270"/>
      <c r="AW60" s="270"/>
      <c r="AX60" s="270"/>
      <c r="AY60" s="270"/>
      <c r="AZ60" s="270"/>
      <c r="BA60" s="270"/>
      <c r="BB60" s="270"/>
      <c r="BC60" s="270"/>
      <c r="BD60" s="270"/>
      <c r="BE60" s="270"/>
      <c r="BF60" s="270"/>
      <c r="BG60" s="270"/>
      <c r="BH60" s="270"/>
      <c r="BI60" s="270"/>
      <c r="BJ60" s="270"/>
      <c r="BK60" s="270"/>
      <c r="BL60" s="270"/>
      <c r="BM60" s="270"/>
      <c r="BN60" s="270"/>
      <c r="BO60" s="270"/>
      <c r="BP60" s="270"/>
      <c r="BQ60" s="270"/>
      <c r="BR60" s="270"/>
      <c r="BS60" s="270"/>
      <c r="BT60" s="270"/>
      <c r="BU60" s="270"/>
      <c r="BV60" s="270"/>
      <c r="BW60" s="270"/>
      <c r="BX60" s="270"/>
      <c r="BY60" s="270"/>
      <c r="BZ60" s="270"/>
      <c r="CA60" s="270"/>
      <c r="CB60" s="270"/>
      <c r="CC60" s="270"/>
      <c r="CD60" s="270"/>
      <c r="CE60" s="270"/>
      <c r="CF60" s="270"/>
      <c r="CG60" s="270"/>
      <c r="CH60" s="270"/>
      <c r="CI60" s="270"/>
      <c r="CJ60" s="270"/>
      <c r="CK60" s="270"/>
      <c r="CL60" s="270"/>
      <c r="CM60" s="270"/>
      <c r="CN60" s="270"/>
      <c r="CO60" s="270"/>
      <c r="CP60" s="270"/>
      <c r="CQ60" s="270"/>
      <c r="CR60" s="270"/>
      <c r="CS60" s="270"/>
      <c r="CT60" s="270"/>
      <c r="CU60" s="270"/>
      <c r="CV60" s="270"/>
      <c r="CW60" s="270"/>
      <c r="CX60" s="270"/>
      <c r="CY60" s="270"/>
      <c r="CZ60" s="270"/>
      <c r="DA60" s="270"/>
      <c r="DB60" s="270"/>
      <c r="DC60" s="270"/>
      <c r="DD60" s="270"/>
      <c r="DE60" s="270"/>
      <c r="DF60" s="270"/>
      <c r="DG60" s="270"/>
      <c r="DH60" s="270"/>
      <c r="DI60" s="270"/>
      <c r="DJ60" s="270"/>
      <c r="DK60" s="270"/>
      <c r="DL60" s="270"/>
      <c r="DM60" s="270"/>
      <c r="DN60" s="270"/>
      <c r="DO60" s="270"/>
      <c r="DP60" s="270"/>
      <c r="DQ60" s="270"/>
      <c r="DR60" s="270"/>
      <c r="DS60" s="270"/>
      <c r="DT60" s="270"/>
      <c r="DU60" s="270"/>
      <c r="DV60" s="270"/>
      <c r="DW60" s="270"/>
      <c r="DX60" s="270"/>
      <c r="DY60" s="270"/>
      <c r="DZ60" s="270"/>
      <c r="EA60" s="270"/>
      <c r="EB60" s="270"/>
      <c r="EC60" s="270"/>
      <c r="ED60" s="270"/>
      <c r="EE60" s="270"/>
      <c r="EF60" s="270"/>
      <c r="EG60" s="270"/>
      <c r="EH60" s="270"/>
      <c r="EI60" s="270"/>
      <c r="EJ60" s="270"/>
      <c r="EK60" s="270"/>
      <c r="EL60" s="270"/>
      <c r="EM60" s="270"/>
      <c r="EN60" s="270"/>
      <c r="EO60" s="270"/>
      <c r="EP60" s="270"/>
      <c r="EQ60" s="270"/>
      <c r="ER60" s="270"/>
      <c r="ES60" s="270"/>
      <c r="ET60" s="270"/>
      <c r="EU60" s="270"/>
      <c r="EV60" s="270"/>
      <c r="EW60" s="270"/>
      <c r="EX60" s="270"/>
      <c r="EY60" s="270"/>
      <c r="EZ60" s="270"/>
      <c r="FA60" s="270"/>
      <c r="FB60" s="270"/>
      <c r="FC60" s="270"/>
      <c r="FD60" s="270"/>
      <c r="FE60" s="270"/>
      <c r="FF60" s="270"/>
      <c r="FG60" s="270"/>
      <c r="FH60" s="270"/>
      <c r="FI60" s="270"/>
      <c r="FJ60" s="270"/>
      <c r="FK60" s="270"/>
      <c r="FL60" s="270"/>
      <c r="FM60" s="270"/>
      <c r="FN60" s="270"/>
      <c r="FO60" s="270"/>
      <c r="FP60" s="270"/>
      <c r="FQ60" s="270"/>
      <c r="FR60" s="270"/>
      <c r="FS60" s="270"/>
      <c r="FT60" s="270"/>
      <c r="FU60" s="270"/>
      <c r="FV60" s="270"/>
      <c r="FW60" s="270"/>
      <c r="FX60" s="270"/>
      <c r="FY60" s="270"/>
      <c r="FZ60" s="270"/>
      <c r="GA60" s="270"/>
      <c r="GB60" s="270"/>
      <c r="GC60" s="270"/>
      <c r="GD60" s="270"/>
      <c r="GE60" s="270"/>
      <c r="GF60" s="270"/>
      <c r="GG60" s="270"/>
      <c r="GH60" s="270"/>
    </row>
    <row r="61" spans="1:190" s="93" customFormat="1" ht="15" customHeight="1" x14ac:dyDescent="0.2">
      <c r="A61" s="282"/>
      <c r="B61" s="282"/>
      <c r="C61" s="95" t="s">
        <v>11</v>
      </c>
      <c r="D61" s="292"/>
      <c r="E61" s="275"/>
      <c r="F61" s="270"/>
      <c r="G61" s="270"/>
      <c r="H61" s="270"/>
      <c r="I61" s="270"/>
      <c r="J61" s="270"/>
      <c r="K61" s="270"/>
      <c r="L61" s="270"/>
      <c r="M61" s="270"/>
      <c r="N61" s="270"/>
      <c r="O61" s="270"/>
      <c r="P61" s="270"/>
      <c r="Q61" s="270"/>
      <c r="R61" s="270"/>
      <c r="S61" s="270"/>
      <c r="T61" s="270"/>
      <c r="U61" s="270"/>
      <c r="V61" s="270"/>
      <c r="W61" s="270"/>
      <c r="X61" s="270"/>
      <c r="Y61" s="270"/>
      <c r="Z61" s="270"/>
      <c r="AA61" s="270"/>
      <c r="AB61" s="270"/>
      <c r="AC61" s="270"/>
      <c r="AD61" s="270"/>
      <c r="AE61" s="270"/>
      <c r="AF61" s="270"/>
      <c r="AG61" s="270"/>
      <c r="AH61" s="270"/>
      <c r="AI61" s="270"/>
      <c r="AJ61" s="270"/>
      <c r="AK61" s="270"/>
      <c r="AL61" s="270"/>
      <c r="AM61" s="270"/>
      <c r="AN61" s="270"/>
      <c r="AO61" s="270"/>
      <c r="AP61" s="270"/>
      <c r="AQ61" s="270"/>
      <c r="AR61" s="270"/>
      <c r="AS61" s="270"/>
      <c r="AT61" s="270"/>
      <c r="AU61" s="270"/>
      <c r="AV61" s="270"/>
      <c r="AW61" s="270"/>
      <c r="AX61" s="270"/>
      <c r="AY61" s="270"/>
      <c r="AZ61" s="270"/>
      <c r="BA61" s="270"/>
      <c r="BB61" s="270"/>
      <c r="BC61" s="270"/>
      <c r="BD61" s="270"/>
      <c r="BE61" s="270"/>
      <c r="BF61" s="270"/>
      <c r="BG61" s="270"/>
      <c r="BH61" s="270"/>
      <c r="BI61" s="270"/>
      <c r="BJ61" s="270"/>
      <c r="BK61" s="270"/>
      <c r="BL61" s="270"/>
      <c r="BM61" s="270"/>
      <c r="BN61" s="270"/>
      <c r="BO61" s="270"/>
      <c r="BP61" s="270"/>
      <c r="BQ61" s="270"/>
      <c r="BR61" s="270"/>
      <c r="BS61" s="270"/>
      <c r="BT61" s="270"/>
      <c r="BU61" s="270"/>
      <c r="BV61" s="270"/>
      <c r="BW61" s="270"/>
      <c r="BX61" s="270"/>
      <c r="BY61" s="270"/>
      <c r="BZ61" s="270"/>
      <c r="CA61" s="270"/>
      <c r="CB61" s="270"/>
      <c r="CC61" s="270"/>
      <c r="CD61" s="270"/>
      <c r="CE61" s="270"/>
      <c r="CF61" s="270"/>
      <c r="CG61" s="270"/>
      <c r="CH61" s="270"/>
      <c r="CI61" s="270"/>
      <c r="CJ61" s="270"/>
      <c r="CK61" s="270"/>
      <c r="CL61" s="270"/>
      <c r="CM61" s="270"/>
      <c r="CN61" s="270"/>
      <c r="CO61" s="270"/>
      <c r="CP61" s="270"/>
      <c r="CQ61" s="270"/>
      <c r="CR61" s="270"/>
      <c r="CS61" s="270"/>
      <c r="CT61" s="270"/>
      <c r="CU61" s="270"/>
      <c r="CV61" s="270"/>
      <c r="CW61" s="270"/>
      <c r="CX61" s="270"/>
      <c r="CY61" s="270"/>
      <c r="CZ61" s="270"/>
      <c r="DA61" s="270"/>
      <c r="DB61" s="270"/>
      <c r="DC61" s="270"/>
      <c r="DD61" s="270"/>
      <c r="DE61" s="270"/>
      <c r="DF61" s="270"/>
      <c r="DG61" s="270"/>
      <c r="DH61" s="270"/>
      <c r="DI61" s="270"/>
      <c r="DJ61" s="270"/>
      <c r="DK61" s="270"/>
      <c r="DL61" s="270"/>
      <c r="DM61" s="270"/>
      <c r="DN61" s="270"/>
      <c r="DO61" s="270"/>
      <c r="DP61" s="270"/>
      <c r="DQ61" s="270"/>
      <c r="DR61" s="270"/>
      <c r="DS61" s="270"/>
      <c r="DT61" s="270"/>
      <c r="DU61" s="270"/>
      <c r="DV61" s="270"/>
      <c r="DW61" s="270"/>
      <c r="DX61" s="270"/>
      <c r="DY61" s="270"/>
      <c r="DZ61" s="270"/>
      <c r="EA61" s="270"/>
      <c r="EB61" s="270"/>
      <c r="EC61" s="270"/>
      <c r="ED61" s="270"/>
      <c r="EE61" s="270"/>
      <c r="EF61" s="270"/>
      <c r="EG61" s="270"/>
      <c r="EH61" s="270"/>
      <c r="EI61" s="270"/>
      <c r="EJ61" s="270"/>
      <c r="EK61" s="270"/>
      <c r="EL61" s="270"/>
      <c r="EM61" s="270"/>
      <c r="EN61" s="270"/>
      <c r="EO61" s="270"/>
      <c r="EP61" s="270"/>
      <c r="EQ61" s="270"/>
      <c r="ER61" s="270"/>
      <c r="ES61" s="270"/>
      <c r="ET61" s="270"/>
      <c r="EU61" s="270"/>
      <c r="EV61" s="270"/>
      <c r="EW61" s="270"/>
      <c r="EX61" s="270"/>
      <c r="EY61" s="270"/>
      <c r="EZ61" s="270"/>
      <c r="FA61" s="270"/>
      <c r="FB61" s="270"/>
      <c r="FC61" s="270"/>
      <c r="FD61" s="270"/>
      <c r="FE61" s="270"/>
      <c r="FF61" s="270"/>
      <c r="FG61" s="270"/>
      <c r="FH61" s="270"/>
      <c r="FI61" s="270"/>
      <c r="FJ61" s="270"/>
      <c r="FK61" s="270"/>
      <c r="FL61" s="270"/>
      <c r="FM61" s="270"/>
      <c r="FN61" s="270"/>
      <c r="FO61" s="270"/>
      <c r="FP61" s="270"/>
      <c r="FQ61" s="270"/>
      <c r="FR61" s="270"/>
      <c r="FS61" s="270"/>
      <c r="FT61" s="270"/>
      <c r="FU61" s="270"/>
      <c r="FV61" s="270"/>
      <c r="FW61" s="270"/>
      <c r="FX61" s="270"/>
      <c r="FY61" s="270"/>
      <c r="FZ61" s="270"/>
      <c r="GA61" s="270"/>
      <c r="GB61" s="270"/>
      <c r="GC61" s="270"/>
      <c r="GD61" s="270"/>
      <c r="GE61" s="270"/>
      <c r="GF61" s="270"/>
      <c r="GG61" s="270"/>
      <c r="GH61" s="270"/>
    </row>
    <row r="62" spans="1:190" s="93" customFormat="1" ht="15" customHeight="1" x14ac:dyDescent="0.2">
      <c r="A62" s="282"/>
      <c r="B62" s="282"/>
      <c r="C62" s="95" t="s">
        <v>181</v>
      </c>
      <c r="D62" s="98"/>
      <c r="E62" s="276"/>
      <c r="F62" s="270"/>
      <c r="G62" s="270"/>
      <c r="H62" s="270"/>
      <c r="I62" s="270"/>
      <c r="J62" s="270"/>
      <c r="K62" s="270"/>
      <c r="L62" s="270"/>
      <c r="M62" s="270"/>
      <c r="N62" s="270"/>
      <c r="O62" s="270"/>
      <c r="P62" s="270"/>
      <c r="Q62" s="270"/>
      <c r="R62" s="270"/>
      <c r="S62" s="270"/>
      <c r="T62" s="270"/>
      <c r="U62" s="270"/>
      <c r="V62" s="270"/>
      <c r="W62" s="270"/>
      <c r="X62" s="270"/>
      <c r="Y62" s="270"/>
      <c r="Z62" s="270"/>
      <c r="AA62" s="270"/>
      <c r="AB62" s="270"/>
      <c r="AC62" s="270"/>
      <c r="AD62" s="270"/>
      <c r="AE62" s="270"/>
      <c r="AF62" s="270"/>
      <c r="AG62" s="270"/>
      <c r="AH62" s="270"/>
      <c r="AI62" s="270"/>
      <c r="AJ62" s="270"/>
      <c r="AK62" s="270"/>
      <c r="AL62" s="270"/>
      <c r="AM62" s="270"/>
      <c r="AN62" s="270"/>
      <c r="AO62" s="270"/>
      <c r="AP62" s="270"/>
      <c r="AQ62" s="270"/>
      <c r="AR62" s="270"/>
      <c r="AS62" s="270"/>
      <c r="AT62" s="270"/>
      <c r="AU62" s="270"/>
      <c r="AV62" s="270"/>
      <c r="AW62" s="270"/>
      <c r="AX62" s="270"/>
      <c r="AY62" s="270"/>
      <c r="AZ62" s="270"/>
      <c r="BA62" s="270"/>
      <c r="BB62" s="270"/>
      <c r="BC62" s="270"/>
      <c r="BD62" s="270"/>
      <c r="BE62" s="270"/>
      <c r="BF62" s="270"/>
      <c r="BG62" s="270"/>
      <c r="BH62" s="270"/>
      <c r="BI62" s="270"/>
      <c r="BJ62" s="270"/>
      <c r="BK62" s="270"/>
      <c r="BL62" s="270"/>
      <c r="BM62" s="270"/>
      <c r="BN62" s="270"/>
      <c r="BO62" s="270"/>
      <c r="BP62" s="270"/>
      <c r="BQ62" s="270"/>
      <c r="BR62" s="270"/>
      <c r="BS62" s="270"/>
      <c r="BT62" s="270"/>
      <c r="BU62" s="270"/>
      <c r="BV62" s="270"/>
      <c r="BW62" s="270"/>
      <c r="BX62" s="270"/>
      <c r="BY62" s="270"/>
      <c r="BZ62" s="270"/>
      <c r="CA62" s="270"/>
      <c r="CB62" s="270"/>
      <c r="CC62" s="270"/>
      <c r="CD62" s="270"/>
      <c r="CE62" s="270"/>
      <c r="CF62" s="270"/>
      <c r="CG62" s="270"/>
      <c r="CH62" s="270"/>
      <c r="CI62" s="270"/>
      <c r="CJ62" s="270"/>
      <c r="CK62" s="270"/>
      <c r="CL62" s="270"/>
      <c r="CM62" s="270"/>
      <c r="CN62" s="270"/>
      <c r="CO62" s="270"/>
      <c r="CP62" s="270"/>
      <c r="CQ62" s="270"/>
      <c r="CR62" s="270"/>
      <c r="CS62" s="270"/>
      <c r="CT62" s="270"/>
      <c r="CU62" s="270"/>
      <c r="CV62" s="270"/>
      <c r="CW62" s="270"/>
      <c r="CX62" s="270"/>
      <c r="CY62" s="270"/>
      <c r="CZ62" s="270"/>
      <c r="DA62" s="270"/>
      <c r="DB62" s="270"/>
      <c r="DC62" s="270"/>
      <c r="DD62" s="270"/>
      <c r="DE62" s="270"/>
      <c r="DF62" s="270"/>
      <c r="DG62" s="270"/>
      <c r="DH62" s="270"/>
      <c r="DI62" s="270"/>
      <c r="DJ62" s="270"/>
      <c r="DK62" s="270"/>
      <c r="DL62" s="270"/>
      <c r="DM62" s="270"/>
      <c r="DN62" s="270"/>
      <c r="DO62" s="270"/>
      <c r="DP62" s="270"/>
      <c r="DQ62" s="270"/>
      <c r="DR62" s="270"/>
      <c r="DS62" s="270"/>
      <c r="DT62" s="270"/>
      <c r="DU62" s="270"/>
      <c r="DV62" s="270"/>
      <c r="DW62" s="270"/>
      <c r="DX62" s="270"/>
      <c r="DY62" s="270"/>
      <c r="DZ62" s="270"/>
      <c r="EA62" s="270"/>
      <c r="EB62" s="270"/>
      <c r="EC62" s="270"/>
      <c r="ED62" s="270"/>
      <c r="EE62" s="270"/>
      <c r="EF62" s="270"/>
      <c r="EG62" s="270"/>
      <c r="EH62" s="270"/>
      <c r="EI62" s="270"/>
      <c r="EJ62" s="270"/>
      <c r="EK62" s="270"/>
      <c r="EL62" s="270"/>
      <c r="EM62" s="270"/>
      <c r="EN62" s="270"/>
      <c r="EO62" s="270"/>
      <c r="EP62" s="270"/>
      <c r="EQ62" s="270"/>
      <c r="ER62" s="270"/>
      <c r="ES62" s="270"/>
      <c r="ET62" s="270"/>
      <c r="EU62" s="270"/>
      <c r="EV62" s="270"/>
      <c r="EW62" s="270"/>
      <c r="EX62" s="270"/>
      <c r="EY62" s="270"/>
      <c r="EZ62" s="270"/>
      <c r="FA62" s="270"/>
      <c r="FB62" s="270"/>
      <c r="FC62" s="270"/>
      <c r="FD62" s="270"/>
      <c r="FE62" s="270"/>
      <c r="FF62" s="270"/>
      <c r="FG62" s="270"/>
      <c r="FH62" s="270"/>
      <c r="FI62" s="270"/>
      <c r="FJ62" s="270"/>
      <c r="FK62" s="270"/>
      <c r="FL62" s="270"/>
      <c r="FM62" s="270"/>
      <c r="FN62" s="270"/>
      <c r="FO62" s="270"/>
      <c r="FP62" s="270"/>
      <c r="FQ62" s="270"/>
      <c r="FR62" s="270"/>
      <c r="FS62" s="270"/>
      <c r="FT62" s="270"/>
      <c r="FU62" s="270"/>
      <c r="FV62" s="270"/>
      <c r="FW62" s="270"/>
      <c r="FX62" s="270"/>
      <c r="FY62" s="270"/>
      <c r="FZ62" s="270"/>
      <c r="GA62" s="270"/>
      <c r="GB62" s="270"/>
      <c r="GC62" s="270"/>
      <c r="GD62" s="270"/>
      <c r="GE62" s="270"/>
      <c r="GF62" s="270"/>
      <c r="GG62" s="270"/>
      <c r="GH62" s="270"/>
    </row>
    <row r="63" spans="1:190" s="93" customFormat="1" ht="15" customHeight="1" x14ac:dyDescent="0.2">
      <c r="A63" s="282"/>
      <c r="B63" s="282"/>
      <c r="C63" s="95" t="s">
        <v>354</v>
      </c>
      <c r="D63" s="314">
        <f>IF(OR(D58=0,D62=0),0,-PMT(D61/12,D62*12,D58))</f>
        <v>0</v>
      </c>
      <c r="E63" s="270"/>
      <c r="F63" s="270"/>
      <c r="G63" s="270"/>
      <c r="H63" s="270"/>
      <c r="I63" s="270"/>
      <c r="J63" s="270"/>
      <c r="K63" s="270"/>
      <c r="L63" s="270"/>
      <c r="M63" s="270"/>
      <c r="N63" s="270"/>
      <c r="O63" s="270"/>
      <c r="P63" s="270"/>
      <c r="Q63" s="270"/>
      <c r="R63" s="270"/>
      <c r="S63" s="270"/>
      <c r="T63" s="270"/>
      <c r="U63" s="270"/>
      <c r="V63" s="270"/>
      <c r="W63" s="270"/>
      <c r="X63" s="270"/>
      <c r="Y63" s="270"/>
      <c r="Z63" s="270"/>
      <c r="AA63" s="270"/>
      <c r="AB63" s="270"/>
      <c r="AC63" s="270"/>
      <c r="AD63" s="270"/>
      <c r="AE63" s="270"/>
      <c r="AF63" s="270"/>
      <c r="AG63" s="270"/>
      <c r="AH63" s="270"/>
      <c r="AI63" s="270"/>
      <c r="AJ63" s="270"/>
      <c r="AK63" s="270"/>
      <c r="AL63" s="270"/>
      <c r="AM63" s="270"/>
      <c r="AN63" s="270"/>
      <c r="AO63" s="270"/>
      <c r="AP63" s="270"/>
      <c r="AQ63" s="270"/>
      <c r="AR63" s="270"/>
      <c r="AS63" s="270"/>
      <c r="AT63" s="270"/>
      <c r="AU63" s="270"/>
      <c r="AV63" s="270"/>
      <c r="AW63" s="270"/>
      <c r="AX63" s="270"/>
      <c r="AY63" s="270"/>
      <c r="AZ63" s="270"/>
      <c r="BA63" s="270"/>
      <c r="BB63" s="270"/>
      <c r="BC63" s="270"/>
      <c r="BD63" s="270"/>
      <c r="BE63" s="270"/>
      <c r="BF63" s="270"/>
      <c r="BG63" s="270"/>
      <c r="BH63" s="270"/>
      <c r="BI63" s="270"/>
      <c r="BJ63" s="270"/>
      <c r="BK63" s="270"/>
      <c r="BL63" s="270"/>
      <c r="BM63" s="270"/>
      <c r="BN63" s="270"/>
      <c r="BO63" s="270"/>
      <c r="BP63" s="270"/>
      <c r="BQ63" s="270"/>
      <c r="BR63" s="270"/>
      <c r="BS63" s="270"/>
      <c r="BT63" s="270"/>
      <c r="BU63" s="270"/>
      <c r="BV63" s="270"/>
      <c r="BW63" s="270"/>
      <c r="BX63" s="270"/>
      <c r="BY63" s="270"/>
      <c r="BZ63" s="270"/>
      <c r="CA63" s="270"/>
      <c r="CB63" s="270"/>
      <c r="CC63" s="270"/>
      <c r="CD63" s="270"/>
      <c r="CE63" s="270"/>
      <c r="CF63" s="270"/>
      <c r="CG63" s="270"/>
      <c r="CH63" s="270"/>
      <c r="CI63" s="270"/>
      <c r="CJ63" s="270"/>
      <c r="CK63" s="270"/>
      <c r="CL63" s="270"/>
      <c r="CM63" s="270"/>
      <c r="CN63" s="270"/>
      <c r="CO63" s="270"/>
      <c r="CP63" s="270"/>
      <c r="CQ63" s="270"/>
      <c r="CR63" s="270"/>
      <c r="CS63" s="270"/>
      <c r="CT63" s="270"/>
      <c r="CU63" s="270"/>
      <c r="CV63" s="270"/>
      <c r="CW63" s="270"/>
      <c r="CX63" s="270"/>
      <c r="CY63" s="270"/>
      <c r="CZ63" s="270"/>
      <c r="DA63" s="270"/>
      <c r="DB63" s="270"/>
      <c r="DC63" s="270"/>
      <c r="DD63" s="270"/>
      <c r="DE63" s="270"/>
      <c r="DF63" s="270"/>
      <c r="DG63" s="270"/>
      <c r="DH63" s="270"/>
      <c r="DI63" s="270"/>
      <c r="DJ63" s="270"/>
      <c r="DK63" s="270"/>
      <c r="DL63" s="270"/>
      <c r="DM63" s="270"/>
      <c r="DN63" s="270"/>
      <c r="DO63" s="270"/>
      <c r="DP63" s="270"/>
      <c r="DQ63" s="270"/>
      <c r="DR63" s="270"/>
      <c r="DS63" s="270"/>
      <c r="DT63" s="270"/>
      <c r="DU63" s="270"/>
      <c r="DV63" s="270"/>
      <c r="DW63" s="270"/>
      <c r="DX63" s="270"/>
      <c r="DY63" s="270"/>
      <c r="DZ63" s="270"/>
      <c r="EA63" s="270"/>
      <c r="EB63" s="270"/>
      <c r="EC63" s="270"/>
      <c r="ED63" s="270"/>
      <c r="EE63" s="270"/>
      <c r="EF63" s="270"/>
      <c r="EG63" s="270"/>
      <c r="EH63" s="270"/>
      <c r="EI63" s="270"/>
      <c r="EJ63" s="270"/>
      <c r="EK63" s="270"/>
      <c r="EL63" s="270"/>
      <c r="EM63" s="270"/>
      <c r="EN63" s="270"/>
      <c r="EO63" s="270"/>
      <c r="EP63" s="270"/>
      <c r="EQ63" s="270"/>
      <c r="ER63" s="270"/>
      <c r="ES63" s="270"/>
      <c r="ET63" s="270"/>
      <c r="EU63" s="270"/>
      <c r="EV63" s="270"/>
      <c r="EW63" s="270"/>
      <c r="EX63" s="270"/>
      <c r="EY63" s="270"/>
      <c r="EZ63" s="270"/>
      <c r="FA63" s="270"/>
      <c r="FB63" s="270"/>
      <c r="FC63" s="270"/>
      <c r="FD63" s="270"/>
      <c r="FE63" s="270"/>
      <c r="FF63" s="270"/>
      <c r="FG63" s="270"/>
      <c r="FH63" s="270"/>
      <c r="FI63" s="270"/>
      <c r="FJ63" s="270"/>
      <c r="FK63" s="270"/>
      <c r="FL63" s="270"/>
      <c r="FM63" s="270"/>
      <c r="FN63" s="270"/>
      <c r="FO63" s="270"/>
      <c r="FP63" s="270"/>
      <c r="FQ63" s="270"/>
      <c r="FR63" s="270"/>
      <c r="FS63" s="270"/>
      <c r="FT63" s="270"/>
      <c r="FU63" s="270"/>
      <c r="FV63" s="270"/>
      <c r="FW63" s="270"/>
      <c r="FX63" s="270"/>
      <c r="FY63" s="270"/>
      <c r="FZ63" s="270"/>
      <c r="GA63" s="270"/>
      <c r="GB63" s="270"/>
      <c r="GC63" s="270"/>
      <c r="GD63" s="270"/>
      <c r="GE63" s="270"/>
      <c r="GF63" s="270"/>
      <c r="GG63" s="270"/>
      <c r="GH63" s="270"/>
    </row>
    <row r="64" spans="1:190" s="270" customFormat="1" ht="15" customHeight="1" x14ac:dyDescent="0.2">
      <c r="A64" s="282"/>
      <c r="B64" s="282"/>
      <c r="D64" s="293"/>
    </row>
    <row r="65" spans="1:190" s="270" customFormat="1" ht="15" customHeight="1" x14ac:dyDescent="0.2">
      <c r="A65" s="515" t="s">
        <v>424</v>
      </c>
      <c r="B65" s="282"/>
      <c r="C65" s="269" t="s">
        <v>358</v>
      </c>
      <c r="D65" s="315">
        <f>ROUND('Pro Forma Assumptions'!$D$24,0)</f>
        <v>30</v>
      </c>
      <c r="E65" s="270" t="s">
        <v>359</v>
      </c>
      <c r="L65" s="521"/>
    </row>
    <row r="66" spans="1:190" s="270" customFormat="1" ht="15" customHeight="1" x14ac:dyDescent="0.2">
      <c r="A66" s="282"/>
      <c r="B66" s="282"/>
      <c r="D66" s="293"/>
    </row>
    <row r="67" spans="1:190" s="270" customFormat="1" ht="15" customHeight="1" x14ac:dyDescent="0.2">
      <c r="A67" s="402" t="s">
        <v>424</v>
      </c>
      <c r="B67" s="282"/>
      <c r="C67" s="268" t="s">
        <v>355</v>
      </c>
      <c r="D67" s="293"/>
    </row>
    <row r="68" spans="1:190" s="270" customFormat="1" ht="15" customHeight="1" x14ac:dyDescent="0.2">
      <c r="A68" s="282"/>
      <c r="B68" s="282"/>
      <c r="C68" s="95" t="s">
        <v>366</v>
      </c>
      <c r="D68" s="99" t="s">
        <v>260</v>
      </c>
      <c r="E68" s="318"/>
    </row>
    <row r="69" spans="1:190" s="93" customFormat="1" ht="15" customHeight="1" x14ac:dyDescent="0.2">
      <c r="A69" s="282"/>
      <c r="B69" s="282"/>
      <c r="C69" s="95" t="str">
        <f>"Loan Amount for "&amp;D68</f>
        <v>Loan Amount for HOME</v>
      </c>
      <c r="D69" s="101">
        <v>1400000</v>
      </c>
      <c r="E69" s="274"/>
      <c r="F69" s="270"/>
      <c r="G69" s="270"/>
      <c r="H69" s="270"/>
      <c r="I69" s="270"/>
      <c r="J69" s="270"/>
      <c r="K69" s="270"/>
      <c r="L69" s="270"/>
      <c r="M69" s="270"/>
      <c r="N69" s="270"/>
      <c r="O69" s="270"/>
      <c r="P69" s="270"/>
      <c r="Q69" s="270"/>
      <c r="R69" s="270"/>
      <c r="S69" s="270"/>
      <c r="T69" s="270"/>
      <c r="U69" s="270"/>
      <c r="V69" s="270"/>
      <c r="W69" s="270"/>
      <c r="X69" s="270"/>
      <c r="Y69" s="270"/>
      <c r="Z69" s="270"/>
      <c r="AA69" s="270"/>
      <c r="AB69" s="270"/>
      <c r="AC69" s="270"/>
      <c r="AD69" s="270"/>
      <c r="AE69" s="270"/>
      <c r="AF69" s="270"/>
      <c r="AG69" s="270"/>
      <c r="AH69" s="270"/>
      <c r="AI69" s="270"/>
      <c r="AJ69" s="270"/>
      <c r="AK69" s="270"/>
      <c r="AL69" s="270"/>
      <c r="AM69" s="270"/>
      <c r="AN69" s="270"/>
      <c r="AO69" s="270"/>
      <c r="AP69" s="270"/>
      <c r="AQ69" s="270"/>
      <c r="AR69" s="270"/>
      <c r="AS69" s="270"/>
      <c r="AT69" s="270"/>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0"/>
      <c r="BW69" s="270"/>
      <c r="BX69" s="270"/>
      <c r="BY69" s="270"/>
      <c r="BZ69" s="270"/>
      <c r="CA69" s="270"/>
      <c r="CB69" s="270"/>
      <c r="CC69" s="270"/>
      <c r="CD69" s="270"/>
      <c r="CE69" s="270"/>
      <c r="CF69" s="270"/>
      <c r="CG69" s="270"/>
      <c r="CH69" s="270"/>
      <c r="CI69" s="270"/>
      <c r="CJ69" s="270"/>
      <c r="CK69" s="270"/>
      <c r="CL69" s="270"/>
      <c r="CM69" s="270"/>
      <c r="CN69" s="270"/>
      <c r="CO69" s="270"/>
      <c r="CP69" s="270"/>
      <c r="CQ69" s="270"/>
      <c r="CR69" s="270"/>
      <c r="CS69" s="270"/>
      <c r="CT69" s="270"/>
      <c r="CU69" s="270"/>
      <c r="CV69" s="270"/>
      <c r="CW69" s="270"/>
      <c r="CX69" s="270"/>
      <c r="CY69" s="270"/>
      <c r="CZ69" s="270"/>
      <c r="DA69" s="270"/>
      <c r="DB69" s="270"/>
      <c r="DC69" s="270"/>
      <c r="DD69" s="270"/>
      <c r="DE69" s="270"/>
      <c r="DF69" s="270"/>
      <c r="DG69" s="270"/>
      <c r="DH69" s="270"/>
      <c r="DI69" s="270"/>
      <c r="DJ69" s="270"/>
      <c r="DK69" s="270"/>
      <c r="DL69" s="270"/>
      <c r="DM69" s="270"/>
      <c r="DN69" s="270"/>
      <c r="DO69" s="270"/>
      <c r="DP69" s="270"/>
      <c r="DQ69" s="270"/>
      <c r="DR69" s="270"/>
      <c r="DS69" s="270"/>
      <c r="DT69" s="270"/>
      <c r="DU69" s="270"/>
      <c r="DV69" s="270"/>
      <c r="DW69" s="270"/>
      <c r="DX69" s="270"/>
      <c r="DY69" s="270"/>
      <c r="DZ69" s="270"/>
      <c r="EA69" s="270"/>
      <c r="EB69" s="270"/>
      <c r="EC69" s="270"/>
      <c r="ED69" s="270"/>
      <c r="EE69" s="270"/>
      <c r="EF69" s="270"/>
      <c r="EG69" s="270"/>
      <c r="EH69" s="270"/>
      <c r="EI69" s="270"/>
      <c r="EJ69" s="270"/>
      <c r="EK69" s="270"/>
      <c r="EL69" s="270"/>
      <c r="EM69" s="270"/>
      <c r="EN69" s="270"/>
      <c r="EO69" s="270"/>
      <c r="EP69" s="270"/>
      <c r="EQ69" s="270"/>
      <c r="ER69" s="270"/>
      <c r="ES69" s="270"/>
      <c r="ET69" s="270"/>
      <c r="EU69" s="270"/>
      <c r="EV69" s="270"/>
      <c r="EW69" s="270"/>
      <c r="EX69" s="270"/>
      <c r="EY69" s="270"/>
      <c r="EZ69" s="270"/>
      <c r="FA69" s="270"/>
      <c r="FB69" s="270"/>
      <c r="FC69" s="270"/>
      <c r="FD69" s="270"/>
      <c r="FE69" s="270"/>
      <c r="FF69" s="270"/>
      <c r="FG69" s="270"/>
      <c r="FH69" s="270"/>
      <c r="FI69" s="270"/>
      <c r="FJ69" s="270"/>
      <c r="FK69" s="270"/>
      <c r="FL69" s="270"/>
      <c r="FM69" s="270"/>
      <c r="FN69" s="270"/>
      <c r="FO69" s="270"/>
      <c r="FP69" s="270"/>
      <c r="FQ69" s="270"/>
      <c r="FR69" s="270"/>
      <c r="FS69" s="270"/>
      <c r="FT69" s="270"/>
      <c r="FU69" s="270"/>
      <c r="FV69" s="270"/>
      <c r="FW69" s="270"/>
      <c r="FX69" s="270"/>
      <c r="FY69" s="270"/>
      <c r="FZ69" s="270"/>
      <c r="GA69" s="270"/>
      <c r="GB69" s="270"/>
      <c r="GC69" s="270"/>
      <c r="GD69" s="270"/>
      <c r="GE69" s="270"/>
      <c r="GF69" s="270"/>
      <c r="GG69" s="270"/>
      <c r="GH69" s="270"/>
    </row>
    <row r="70" spans="1:190" s="93" customFormat="1" ht="15" customHeight="1" x14ac:dyDescent="0.2">
      <c r="A70" s="282"/>
      <c r="B70" s="282"/>
      <c r="C70" s="95" t="s">
        <v>407</v>
      </c>
      <c r="D70" s="101" t="s">
        <v>235</v>
      </c>
      <c r="E70" s="274"/>
      <c r="F70" s="270"/>
      <c r="G70" s="270"/>
      <c r="H70" s="270"/>
      <c r="I70" s="270"/>
      <c r="J70" s="270"/>
      <c r="K70" s="270"/>
      <c r="L70" s="270"/>
      <c r="M70" s="270"/>
      <c r="N70" s="270"/>
      <c r="O70" s="270"/>
      <c r="P70" s="270"/>
      <c r="Q70" s="270"/>
      <c r="R70" s="270"/>
      <c r="S70" s="270"/>
      <c r="T70" s="270"/>
      <c r="U70" s="270"/>
      <c r="V70" s="270"/>
      <c r="W70" s="270"/>
      <c r="X70" s="270"/>
      <c r="Y70" s="270"/>
      <c r="Z70" s="270"/>
      <c r="AA70" s="270"/>
      <c r="AB70" s="270"/>
      <c r="AC70" s="270"/>
      <c r="AD70" s="270"/>
      <c r="AE70" s="270"/>
      <c r="AF70" s="270"/>
      <c r="AG70" s="270"/>
      <c r="AH70" s="270"/>
      <c r="AI70" s="270"/>
      <c r="AJ70" s="270"/>
      <c r="AK70" s="270"/>
      <c r="AL70" s="270"/>
      <c r="AM70" s="270"/>
      <c r="AN70" s="270"/>
      <c r="AO70" s="270"/>
      <c r="AP70" s="270"/>
      <c r="AQ70" s="270"/>
      <c r="AR70" s="270"/>
      <c r="AS70" s="270"/>
      <c r="AT70" s="270"/>
      <c r="AU70" s="270"/>
      <c r="AV70" s="270"/>
      <c r="AW70" s="270"/>
      <c r="AX70" s="270"/>
      <c r="AY70" s="270"/>
      <c r="AZ70" s="270"/>
      <c r="BA70" s="270"/>
      <c r="BB70" s="270"/>
      <c r="BC70" s="270"/>
      <c r="BD70" s="270"/>
      <c r="BE70" s="270"/>
      <c r="BF70" s="270"/>
      <c r="BG70" s="270"/>
      <c r="BH70" s="270"/>
      <c r="BI70" s="270"/>
      <c r="BJ70" s="270"/>
      <c r="BK70" s="270"/>
      <c r="BL70" s="270"/>
      <c r="BM70" s="270"/>
      <c r="BN70" s="270"/>
      <c r="BO70" s="270"/>
      <c r="BP70" s="270"/>
      <c r="BQ70" s="270"/>
      <c r="BR70" s="270"/>
      <c r="BS70" s="270"/>
      <c r="BT70" s="270"/>
      <c r="BU70" s="270"/>
      <c r="BV70" s="270"/>
      <c r="BW70" s="270"/>
      <c r="BX70" s="270"/>
      <c r="BY70" s="270"/>
      <c r="BZ70" s="270"/>
      <c r="CA70" s="270"/>
      <c r="CB70" s="270"/>
      <c r="CC70" s="270"/>
      <c r="CD70" s="270"/>
      <c r="CE70" s="270"/>
      <c r="CF70" s="270"/>
      <c r="CG70" s="270"/>
      <c r="CH70" s="270"/>
      <c r="CI70" s="270"/>
      <c r="CJ70" s="270"/>
      <c r="CK70" s="270"/>
      <c r="CL70" s="270"/>
      <c r="CM70" s="270"/>
      <c r="CN70" s="270"/>
      <c r="CO70" s="270"/>
      <c r="CP70" s="270"/>
      <c r="CQ70" s="270"/>
      <c r="CR70" s="270"/>
      <c r="CS70" s="270"/>
      <c r="CT70" s="270"/>
      <c r="CU70" s="270"/>
      <c r="CV70" s="270"/>
      <c r="CW70" s="270"/>
      <c r="CX70" s="270"/>
      <c r="CY70" s="270"/>
      <c r="CZ70" s="270"/>
      <c r="DA70" s="270"/>
      <c r="DB70" s="270"/>
      <c r="DC70" s="270"/>
      <c r="DD70" s="270"/>
      <c r="DE70" s="270"/>
      <c r="DF70" s="270"/>
      <c r="DG70" s="270"/>
      <c r="DH70" s="270"/>
      <c r="DI70" s="270"/>
      <c r="DJ70" s="270"/>
      <c r="DK70" s="270"/>
      <c r="DL70" s="270"/>
      <c r="DM70" s="270"/>
      <c r="DN70" s="270"/>
      <c r="DO70" s="270"/>
      <c r="DP70" s="270"/>
      <c r="DQ70" s="270"/>
      <c r="DR70" s="270"/>
      <c r="DS70" s="270"/>
      <c r="DT70" s="270"/>
      <c r="DU70" s="270"/>
      <c r="DV70" s="270"/>
      <c r="DW70" s="270"/>
      <c r="DX70" s="270"/>
      <c r="DY70" s="270"/>
      <c r="DZ70" s="270"/>
      <c r="EA70" s="270"/>
      <c r="EB70" s="270"/>
      <c r="EC70" s="270"/>
      <c r="ED70" s="270"/>
      <c r="EE70" s="270"/>
      <c r="EF70" s="270"/>
      <c r="EG70" s="270"/>
      <c r="EH70" s="270"/>
      <c r="EI70" s="270"/>
      <c r="EJ70" s="270"/>
      <c r="EK70" s="270"/>
      <c r="EL70" s="270"/>
      <c r="EM70" s="270"/>
      <c r="EN70" s="270"/>
      <c r="EO70" s="270"/>
      <c r="EP70" s="270"/>
      <c r="EQ70" s="270"/>
      <c r="ER70" s="270"/>
      <c r="ES70" s="270"/>
      <c r="ET70" s="270"/>
      <c r="EU70" s="270"/>
      <c r="EV70" s="270"/>
      <c r="EW70" s="270"/>
      <c r="EX70" s="270"/>
      <c r="EY70" s="270"/>
      <c r="EZ70" s="270"/>
      <c r="FA70" s="270"/>
      <c r="FB70" s="270"/>
      <c r="FC70" s="270"/>
      <c r="FD70" s="270"/>
      <c r="FE70" s="270"/>
      <c r="FF70" s="270"/>
      <c r="FG70" s="270"/>
      <c r="FH70" s="270"/>
      <c r="FI70" s="270"/>
      <c r="FJ70" s="270"/>
      <c r="FK70" s="270"/>
      <c r="FL70" s="270"/>
      <c r="FM70" s="270"/>
      <c r="FN70" s="270"/>
      <c r="FO70" s="270"/>
      <c r="FP70" s="270"/>
      <c r="FQ70" s="270"/>
      <c r="FR70" s="270"/>
      <c r="FS70" s="270"/>
      <c r="FT70" s="270"/>
      <c r="FU70" s="270"/>
      <c r="FV70" s="270"/>
      <c r="FW70" s="270"/>
      <c r="FX70" s="270"/>
      <c r="FY70" s="270"/>
      <c r="FZ70" s="270"/>
      <c r="GA70" s="270"/>
      <c r="GB70" s="270"/>
      <c r="GC70" s="270"/>
      <c r="GD70" s="270"/>
      <c r="GE70" s="270"/>
      <c r="GF70" s="270"/>
      <c r="GG70" s="270"/>
      <c r="GH70" s="270"/>
    </row>
    <row r="71" spans="1:190" s="93" customFormat="1" ht="15" customHeight="1" x14ac:dyDescent="0.2">
      <c r="A71" s="282"/>
      <c r="B71" s="282"/>
      <c r="C71" s="95" t="str">
        <f>"Lender for "&amp;D68</f>
        <v>Lender for HOME</v>
      </c>
      <c r="D71" s="99" t="s">
        <v>695</v>
      </c>
      <c r="E71" s="274"/>
      <c r="F71" s="270"/>
      <c r="G71" s="270"/>
      <c r="H71" s="270"/>
      <c r="I71" s="270"/>
      <c r="J71" s="270"/>
      <c r="K71" s="270"/>
      <c r="L71" s="270"/>
      <c r="M71" s="270"/>
      <c r="N71" s="270"/>
      <c r="O71" s="270"/>
      <c r="P71" s="270"/>
      <c r="Q71" s="270"/>
      <c r="R71" s="270"/>
      <c r="S71" s="270"/>
      <c r="T71" s="270"/>
      <c r="U71" s="270"/>
      <c r="V71" s="270"/>
      <c r="W71" s="270"/>
      <c r="X71" s="270"/>
      <c r="Y71" s="270"/>
      <c r="Z71" s="270"/>
      <c r="AA71" s="270"/>
      <c r="AB71" s="270"/>
      <c r="AC71" s="270"/>
      <c r="AD71" s="270"/>
      <c r="AE71" s="270"/>
      <c r="AF71" s="270"/>
      <c r="AG71" s="270"/>
      <c r="AH71" s="270"/>
      <c r="AI71" s="270"/>
      <c r="AJ71" s="270"/>
      <c r="AK71" s="270"/>
      <c r="AL71" s="270"/>
      <c r="AM71" s="270"/>
      <c r="AN71" s="270"/>
      <c r="AO71" s="270"/>
      <c r="AP71" s="270"/>
      <c r="AQ71" s="270"/>
      <c r="AR71" s="270"/>
      <c r="AS71" s="270"/>
      <c r="AT71" s="270"/>
      <c r="AU71" s="270"/>
      <c r="AV71" s="270"/>
      <c r="AW71" s="270"/>
      <c r="AX71" s="270"/>
      <c r="AY71" s="270"/>
      <c r="AZ71" s="270"/>
      <c r="BA71" s="270"/>
      <c r="BB71" s="270"/>
      <c r="BC71" s="270"/>
      <c r="BD71" s="270"/>
      <c r="BE71" s="270"/>
      <c r="BF71" s="270"/>
      <c r="BG71" s="270"/>
      <c r="BH71" s="270"/>
      <c r="BI71" s="270"/>
      <c r="BJ71" s="270"/>
      <c r="BK71" s="270"/>
      <c r="BL71" s="270"/>
      <c r="BM71" s="270"/>
      <c r="BN71" s="270"/>
      <c r="BO71" s="270"/>
      <c r="BP71" s="270"/>
      <c r="BQ71" s="270"/>
      <c r="BR71" s="270"/>
      <c r="BS71" s="270"/>
      <c r="BT71" s="270"/>
      <c r="BU71" s="270"/>
      <c r="BV71" s="270"/>
      <c r="BW71" s="270"/>
      <c r="BX71" s="270"/>
      <c r="BY71" s="270"/>
      <c r="BZ71" s="270"/>
      <c r="CA71" s="270"/>
      <c r="CB71" s="270"/>
      <c r="CC71" s="270"/>
      <c r="CD71" s="270"/>
      <c r="CE71" s="270"/>
      <c r="CF71" s="270"/>
      <c r="CG71" s="270"/>
      <c r="CH71" s="270"/>
      <c r="CI71" s="270"/>
      <c r="CJ71" s="270"/>
      <c r="CK71" s="270"/>
      <c r="CL71" s="270"/>
      <c r="CM71" s="270"/>
      <c r="CN71" s="270"/>
      <c r="CO71" s="270"/>
      <c r="CP71" s="270"/>
      <c r="CQ71" s="270"/>
      <c r="CR71" s="270"/>
      <c r="CS71" s="270"/>
      <c r="CT71" s="270"/>
      <c r="CU71" s="270"/>
      <c r="CV71" s="270"/>
      <c r="CW71" s="270"/>
      <c r="CX71" s="270"/>
      <c r="CY71" s="270"/>
      <c r="CZ71" s="270"/>
      <c r="DA71" s="270"/>
      <c r="DB71" s="270"/>
      <c r="DC71" s="270"/>
      <c r="DD71" s="270"/>
      <c r="DE71" s="270"/>
      <c r="DF71" s="270"/>
      <c r="DG71" s="270"/>
      <c r="DH71" s="270"/>
      <c r="DI71" s="270"/>
      <c r="DJ71" s="270"/>
      <c r="DK71" s="270"/>
      <c r="DL71" s="270"/>
      <c r="DM71" s="270"/>
      <c r="DN71" s="270"/>
      <c r="DO71" s="270"/>
      <c r="DP71" s="270"/>
      <c r="DQ71" s="270"/>
      <c r="DR71" s="270"/>
      <c r="DS71" s="270"/>
      <c r="DT71" s="270"/>
      <c r="DU71" s="270"/>
      <c r="DV71" s="270"/>
      <c r="DW71" s="270"/>
      <c r="DX71" s="270"/>
      <c r="DY71" s="270"/>
      <c r="DZ71" s="270"/>
      <c r="EA71" s="270"/>
      <c r="EB71" s="270"/>
      <c r="EC71" s="270"/>
      <c r="ED71" s="270"/>
      <c r="EE71" s="270"/>
      <c r="EF71" s="270"/>
      <c r="EG71" s="270"/>
      <c r="EH71" s="270"/>
      <c r="EI71" s="270"/>
      <c r="EJ71" s="270"/>
      <c r="EK71" s="270"/>
      <c r="EL71" s="270"/>
      <c r="EM71" s="270"/>
      <c r="EN71" s="270"/>
      <c r="EO71" s="270"/>
      <c r="EP71" s="270"/>
      <c r="EQ71" s="270"/>
      <c r="ER71" s="270"/>
      <c r="ES71" s="270"/>
      <c r="ET71" s="270"/>
      <c r="EU71" s="270"/>
      <c r="EV71" s="270"/>
      <c r="EW71" s="270"/>
      <c r="EX71" s="270"/>
      <c r="EY71" s="270"/>
      <c r="EZ71" s="270"/>
      <c r="FA71" s="270"/>
      <c r="FB71" s="270"/>
      <c r="FC71" s="270"/>
      <c r="FD71" s="270"/>
      <c r="FE71" s="270"/>
      <c r="FF71" s="270"/>
      <c r="FG71" s="270"/>
      <c r="FH71" s="270"/>
      <c r="FI71" s="270"/>
      <c r="FJ71" s="270"/>
      <c r="FK71" s="270"/>
      <c r="FL71" s="270"/>
      <c r="FM71" s="270"/>
      <c r="FN71" s="270"/>
      <c r="FO71" s="270"/>
      <c r="FP71" s="270"/>
      <c r="FQ71" s="270"/>
      <c r="FR71" s="270"/>
      <c r="FS71" s="270"/>
      <c r="FT71" s="270"/>
      <c r="FU71" s="270"/>
      <c r="FV71" s="270"/>
      <c r="FW71" s="270"/>
      <c r="FX71" s="270"/>
      <c r="FY71" s="270"/>
      <c r="FZ71" s="270"/>
      <c r="GA71" s="270"/>
      <c r="GB71" s="270"/>
      <c r="GC71" s="270"/>
      <c r="GD71" s="270"/>
      <c r="GE71" s="270"/>
      <c r="GF71" s="270"/>
      <c r="GG71" s="270"/>
      <c r="GH71" s="270"/>
    </row>
    <row r="72" spans="1:190" s="93" customFormat="1" ht="15" customHeight="1" x14ac:dyDescent="0.2">
      <c r="A72" s="282"/>
      <c r="B72" s="282"/>
      <c r="C72" s="95" t="str">
        <f>"Interest Rate for "&amp;D68</f>
        <v>Interest Rate for HOME</v>
      </c>
      <c r="D72" s="292">
        <v>0</v>
      </c>
      <c r="E72" s="275"/>
      <c r="F72" s="270"/>
      <c r="G72" s="270"/>
      <c r="H72" s="270"/>
      <c r="I72" s="270"/>
      <c r="J72" s="270"/>
      <c r="K72" s="270"/>
      <c r="L72" s="270"/>
      <c r="M72" s="270"/>
      <c r="N72" s="270"/>
      <c r="O72" s="270"/>
      <c r="P72" s="270"/>
      <c r="Q72" s="270"/>
      <c r="R72" s="270"/>
      <c r="S72" s="270"/>
      <c r="T72" s="270"/>
      <c r="U72" s="270"/>
      <c r="V72" s="270"/>
      <c r="W72" s="270"/>
      <c r="X72" s="270"/>
      <c r="Y72" s="270"/>
      <c r="Z72" s="270"/>
      <c r="AA72" s="270"/>
      <c r="AB72" s="270"/>
      <c r="AC72" s="270"/>
      <c r="AD72" s="270"/>
      <c r="AE72" s="270"/>
      <c r="AF72" s="270"/>
      <c r="AG72" s="270"/>
      <c r="AH72" s="270"/>
      <c r="AI72" s="270"/>
      <c r="AJ72" s="270"/>
      <c r="AK72" s="270"/>
      <c r="AL72" s="270"/>
      <c r="AM72" s="270"/>
      <c r="AN72" s="270"/>
      <c r="AO72" s="270"/>
      <c r="AP72" s="270"/>
      <c r="AQ72" s="270"/>
      <c r="AR72" s="270"/>
      <c r="AS72" s="270"/>
      <c r="AT72" s="270"/>
      <c r="AU72" s="270"/>
      <c r="AV72" s="270"/>
      <c r="AW72" s="270"/>
      <c r="AX72" s="270"/>
      <c r="AY72" s="270"/>
      <c r="AZ72" s="270"/>
      <c r="BA72" s="270"/>
      <c r="BB72" s="270"/>
      <c r="BC72" s="270"/>
      <c r="BD72" s="270"/>
      <c r="BE72" s="270"/>
      <c r="BF72" s="270"/>
      <c r="BG72" s="270"/>
      <c r="BH72" s="270"/>
      <c r="BI72" s="270"/>
      <c r="BJ72" s="270"/>
      <c r="BK72" s="270"/>
      <c r="BL72" s="270"/>
      <c r="BM72" s="270"/>
      <c r="BN72" s="270"/>
      <c r="BO72" s="270"/>
      <c r="BP72" s="270"/>
      <c r="BQ72" s="270"/>
      <c r="BR72" s="270"/>
      <c r="BS72" s="270"/>
      <c r="BT72" s="270"/>
      <c r="BU72" s="270"/>
      <c r="BV72" s="270"/>
      <c r="BW72" s="270"/>
      <c r="BX72" s="270"/>
      <c r="BY72" s="270"/>
      <c r="BZ72" s="270"/>
      <c r="CA72" s="270"/>
      <c r="CB72" s="270"/>
      <c r="CC72" s="270"/>
      <c r="CD72" s="270"/>
      <c r="CE72" s="270"/>
      <c r="CF72" s="270"/>
      <c r="CG72" s="270"/>
      <c r="CH72" s="270"/>
      <c r="CI72" s="270"/>
      <c r="CJ72" s="270"/>
      <c r="CK72" s="270"/>
      <c r="CL72" s="270"/>
      <c r="CM72" s="270"/>
      <c r="CN72" s="270"/>
      <c r="CO72" s="270"/>
      <c r="CP72" s="270"/>
      <c r="CQ72" s="270"/>
      <c r="CR72" s="270"/>
      <c r="CS72" s="270"/>
      <c r="CT72" s="270"/>
      <c r="CU72" s="270"/>
      <c r="CV72" s="270"/>
      <c r="CW72" s="270"/>
      <c r="CX72" s="270"/>
      <c r="CY72" s="270"/>
      <c r="CZ72" s="270"/>
      <c r="DA72" s="270"/>
      <c r="DB72" s="270"/>
      <c r="DC72" s="270"/>
      <c r="DD72" s="270"/>
      <c r="DE72" s="270"/>
      <c r="DF72" s="270"/>
      <c r="DG72" s="270"/>
      <c r="DH72" s="270"/>
      <c r="DI72" s="270"/>
      <c r="DJ72" s="270"/>
      <c r="DK72" s="270"/>
      <c r="DL72" s="270"/>
      <c r="DM72" s="270"/>
      <c r="DN72" s="270"/>
      <c r="DO72" s="270"/>
      <c r="DP72" s="270"/>
      <c r="DQ72" s="270"/>
      <c r="DR72" s="270"/>
      <c r="DS72" s="270"/>
      <c r="DT72" s="270"/>
      <c r="DU72" s="270"/>
      <c r="DV72" s="270"/>
      <c r="DW72" s="270"/>
      <c r="DX72" s="270"/>
      <c r="DY72" s="270"/>
      <c r="DZ72" s="270"/>
      <c r="EA72" s="270"/>
      <c r="EB72" s="270"/>
      <c r="EC72" s="270"/>
      <c r="ED72" s="270"/>
      <c r="EE72" s="270"/>
      <c r="EF72" s="270"/>
      <c r="EG72" s="270"/>
      <c r="EH72" s="270"/>
      <c r="EI72" s="270"/>
      <c r="EJ72" s="270"/>
      <c r="EK72" s="270"/>
      <c r="EL72" s="270"/>
      <c r="EM72" s="270"/>
      <c r="EN72" s="270"/>
      <c r="EO72" s="270"/>
      <c r="EP72" s="270"/>
      <c r="EQ72" s="270"/>
      <c r="ER72" s="270"/>
      <c r="ES72" s="270"/>
      <c r="ET72" s="270"/>
      <c r="EU72" s="270"/>
      <c r="EV72" s="270"/>
      <c r="EW72" s="270"/>
      <c r="EX72" s="270"/>
      <c r="EY72" s="270"/>
      <c r="EZ72" s="270"/>
      <c r="FA72" s="270"/>
      <c r="FB72" s="270"/>
      <c r="FC72" s="270"/>
      <c r="FD72" s="270"/>
      <c r="FE72" s="270"/>
      <c r="FF72" s="270"/>
      <c r="FG72" s="270"/>
      <c r="FH72" s="270"/>
      <c r="FI72" s="270"/>
      <c r="FJ72" s="270"/>
      <c r="FK72" s="270"/>
      <c r="FL72" s="270"/>
      <c r="FM72" s="270"/>
      <c r="FN72" s="270"/>
      <c r="FO72" s="270"/>
      <c r="FP72" s="270"/>
      <c r="FQ72" s="270"/>
      <c r="FR72" s="270"/>
      <c r="FS72" s="270"/>
      <c r="FT72" s="270"/>
      <c r="FU72" s="270"/>
      <c r="FV72" s="270"/>
      <c r="FW72" s="270"/>
      <c r="FX72" s="270"/>
      <c r="FY72" s="270"/>
      <c r="FZ72" s="270"/>
      <c r="GA72" s="270"/>
      <c r="GB72" s="270"/>
      <c r="GC72" s="270"/>
      <c r="GD72" s="270"/>
      <c r="GE72" s="270"/>
      <c r="GF72" s="270"/>
      <c r="GG72" s="270"/>
      <c r="GH72" s="270"/>
    </row>
    <row r="73" spans="1:190" s="93" customFormat="1" ht="15" customHeight="1" x14ac:dyDescent="0.2">
      <c r="A73" s="282"/>
      <c r="B73" s="282"/>
      <c r="C73" s="95" t="str">
        <f>"Loan Term (Maturity) for "&amp;D68</f>
        <v>Loan Term (Maturity) for HOME</v>
      </c>
      <c r="D73" s="102">
        <v>30</v>
      </c>
      <c r="E73" s="318" t="str">
        <f>IF(OR(D73=0,ROUND(D73,0)&gt;=D65),"","Warning: Loan matures prior to sale of the property")</f>
        <v/>
      </c>
      <c r="F73" s="270"/>
      <c r="G73" s="270"/>
      <c r="H73" s="270"/>
      <c r="I73" s="270"/>
      <c r="J73" s="270"/>
      <c r="K73" s="270"/>
      <c r="L73" s="521"/>
      <c r="M73" s="270"/>
      <c r="N73" s="270"/>
      <c r="O73" s="270"/>
      <c r="P73" s="270"/>
      <c r="Q73" s="270"/>
      <c r="R73" s="270"/>
      <c r="S73" s="270"/>
      <c r="T73" s="270"/>
      <c r="U73" s="270"/>
      <c r="V73" s="270"/>
      <c r="W73" s="270"/>
      <c r="X73" s="270"/>
      <c r="Y73" s="270"/>
      <c r="Z73" s="270"/>
      <c r="AA73" s="270"/>
      <c r="AB73" s="270"/>
      <c r="AC73" s="270"/>
      <c r="AD73" s="270"/>
      <c r="AE73" s="270"/>
      <c r="AF73" s="270"/>
      <c r="AG73" s="270"/>
      <c r="AH73" s="270"/>
      <c r="AI73" s="270"/>
      <c r="AJ73" s="270"/>
      <c r="AK73" s="270"/>
      <c r="AL73" s="270"/>
      <c r="AM73" s="270"/>
      <c r="AN73" s="270"/>
      <c r="AO73" s="270"/>
      <c r="AP73" s="270"/>
      <c r="AQ73" s="270"/>
      <c r="AR73" s="270"/>
      <c r="AS73" s="270"/>
      <c r="AT73" s="270"/>
      <c r="AU73" s="270"/>
      <c r="AV73" s="270"/>
      <c r="AW73" s="270"/>
      <c r="AX73" s="270"/>
      <c r="AY73" s="270"/>
      <c r="AZ73" s="270"/>
      <c r="BA73" s="270"/>
      <c r="BB73" s="270"/>
      <c r="BC73" s="270"/>
      <c r="BD73" s="270"/>
      <c r="BE73" s="270"/>
      <c r="BF73" s="270"/>
      <c r="BG73" s="270"/>
      <c r="BH73" s="270"/>
      <c r="BI73" s="270"/>
      <c r="BJ73" s="270"/>
      <c r="BK73" s="270"/>
      <c r="BL73" s="270"/>
      <c r="BM73" s="270"/>
      <c r="BN73" s="270"/>
      <c r="BO73" s="270"/>
      <c r="BP73" s="270"/>
      <c r="BQ73" s="270"/>
      <c r="BR73" s="270"/>
      <c r="BS73" s="270"/>
      <c r="BT73" s="270"/>
      <c r="BU73" s="270"/>
      <c r="BV73" s="270"/>
      <c r="BW73" s="270"/>
      <c r="BX73" s="270"/>
      <c r="BY73" s="270"/>
      <c r="BZ73" s="270"/>
      <c r="CA73" s="270"/>
      <c r="CB73" s="270"/>
      <c r="CC73" s="270"/>
      <c r="CD73" s="270"/>
      <c r="CE73" s="270"/>
      <c r="CF73" s="270"/>
      <c r="CG73" s="270"/>
      <c r="CH73" s="270"/>
      <c r="CI73" s="270"/>
      <c r="CJ73" s="270"/>
      <c r="CK73" s="270"/>
      <c r="CL73" s="270"/>
      <c r="CM73" s="270"/>
      <c r="CN73" s="270"/>
      <c r="CO73" s="270"/>
      <c r="CP73" s="270"/>
      <c r="CQ73" s="270"/>
      <c r="CR73" s="270"/>
      <c r="CS73" s="270"/>
      <c r="CT73" s="270"/>
      <c r="CU73" s="270"/>
      <c r="CV73" s="270"/>
      <c r="CW73" s="270"/>
      <c r="CX73" s="270"/>
      <c r="CY73" s="270"/>
      <c r="CZ73" s="270"/>
      <c r="DA73" s="270"/>
      <c r="DB73" s="270"/>
      <c r="DC73" s="270"/>
      <c r="DD73" s="270"/>
      <c r="DE73" s="270"/>
      <c r="DF73" s="270"/>
      <c r="DG73" s="270"/>
      <c r="DH73" s="270"/>
      <c r="DI73" s="270"/>
      <c r="DJ73" s="270"/>
      <c r="DK73" s="270"/>
      <c r="DL73" s="270"/>
      <c r="DM73" s="270"/>
      <c r="DN73" s="270"/>
      <c r="DO73" s="270"/>
      <c r="DP73" s="270"/>
      <c r="DQ73" s="270"/>
      <c r="DR73" s="270"/>
      <c r="DS73" s="270"/>
      <c r="DT73" s="270"/>
      <c r="DU73" s="270"/>
      <c r="DV73" s="270"/>
      <c r="DW73" s="270"/>
      <c r="DX73" s="270"/>
      <c r="DY73" s="270"/>
      <c r="DZ73" s="270"/>
      <c r="EA73" s="270"/>
      <c r="EB73" s="270"/>
      <c r="EC73" s="270"/>
      <c r="ED73" s="270"/>
      <c r="EE73" s="270"/>
      <c r="EF73" s="270"/>
      <c r="EG73" s="270"/>
      <c r="EH73" s="270"/>
      <c r="EI73" s="270"/>
      <c r="EJ73" s="270"/>
      <c r="EK73" s="270"/>
      <c r="EL73" s="270"/>
      <c r="EM73" s="270"/>
      <c r="EN73" s="270"/>
      <c r="EO73" s="270"/>
      <c r="EP73" s="270"/>
      <c r="EQ73" s="270"/>
      <c r="ER73" s="270"/>
      <c r="ES73" s="270"/>
      <c r="ET73" s="270"/>
      <c r="EU73" s="270"/>
      <c r="EV73" s="270"/>
      <c r="EW73" s="270"/>
      <c r="EX73" s="270"/>
      <c r="EY73" s="270"/>
      <c r="EZ73" s="270"/>
      <c r="FA73" s="270"/>
      <c r="FB73" s="270"/>
      <c r="FC73" s="270"/>
      <c r="FD73" s="270"/>
      <c r="FE73" s="270"/>
      <c r="FF73" s="270"/>
      <c r="FG73" s="270"/>
      <c r="FH73" s="270"/>
      <c r="FI73" s="270"/>
      <c r="FJ73" s="270"/>
      <c r="FK73" s="270"/>
      <c r="FL73" s="270"/>
      <c r="FM73" s="270"/>
      <c r="FN73" s="270"/>
      <c r="FO73" s="270"/>
      <c r="FP73" s="270"/>
      <c r="FQ73" s="270"/>
      <c r="FR73" s="270"/>
      <c r="FS73" s="270"/>
      <c r="FT73" s="270"/>
      <c r="FU73" s="270"/>
      <c r="FV73" s="270"/>
      <c r="FW73" s="270"/>
      <c r="FX73" s="270"/>
      <c r="FY73" s="270"/>
      <c r="FZ73" s="270"/>
      <c r="GA73" s="270"/>
      <c r="GB73" s="270"/>
      <c r="GC73" s="270"/>
      <c r="GD73" s="270"/>
      <c r="GE73" s="270"/>
      <c r="GF73" s="270"/>
      <c r="GG73" s="270"/>
      <c r="GH73" s="270"/>
    </row>
    <row r="74" spans="1:190" s="270" customFormat="1" ht="15" customHeight="1" x14ac:dyDescent="0.2">
      <c r="A74" s="282"/>
      <c r="B74" s="282"/>
      <c r="C74" s="295" t="s">
        <v>357</v>
      </c>
      <c r="D74" s="293"/>
      <c r="E74" s="277"/>
    </row>
    <row r="75" spans="1:190" s="270" customFormat="1" ht="15" customHeight="1" x14ac:dyDescent="0.2">
      <c r="A75" s="282"/>
      <c r="B75" s="282"/>
      <c r="C75" s="295"/>
      <c r="D75" s="293"/>
    </row>
    <row r="76" spans="1:190" s="270" customFormat="1" ht="15" customHeight="1" x14ac:dyDescent="0.2">
      <c r="A76" s="282"/>
      <c r="B76" s="282"/>
      <c r="D76" s="293"/>
    </row>
    <row r="77" spans="1:190" s="270" customFormat="1" ht="15" customHeight="1" x14ac:dyDescent="0.2">
      <c r="A77" s="402" t="s">
        <v>424</v>
      </c>
      <c r="B77" s="282"/>
      <c r="C77" s="268" t="s">
        <v>356</v>
      </c>
      <c r="D77" s="293"/>
    </row>
    <row r="78" spans="1:190" s="270" customFormat="1" ht="15" customHeight="1" x14ac:dyDescent="0.2">
      <c r="A78" s="282"/>
      <c r="B78" s="282"/>
      <c r="C78" s="95" t="s">
        <v>367</v>
      </c>
      <c r="D78" s="99"/>
      <c r="E78" s="318"/>
    </row>
    <row r="79" spans="1:190" s="93" customFormat="1" ht="15" customHeight="1" x14ac:dyDescent="0.2">
      <c r="A79" s="282"/>
      <c r="B79" s="282"/>
      <c r="C79" s="95" t="str">
        <f>"Loan Amount for "&amp;D78</f>
        <v xml:space="preserve">Loan Amount for </v>
      </c>
      <c r="D79" s="101"/>
      <c r="E79" s="274"/>
      <c r="F79" s="270"/>
      <c r="G79" s="270"/>
      <c r="H79" s="270"/>
      <c r="I79" s="270"/>
      <c r="J79" s="270"/>
      <c r="K79" s="270"/>
      <c r="L79" s="270"/>
      <c r="M79" s="270"/>
      <c r="N79" s="270"/>
      <c r="O79" s="270"/>
      <c r="P79" s="270"/>
      <c r="Q79" s="270"/>
      <c r="R79" s="270"/>
      <c r="S79" s="270"/>
      <c r="T79" s="270"/>
      <c r="U79" s="270"/>
      <c r="V79" s="270"/>
      <c r="W79" s="270"/>
      <c r="X79" s="270"/>
      <c r="Y79" s="270"/>
      <c r="Z79" s="270"/>
      <c r="AA79" s="270"/>
      <c r="AB79" s="270"/>
      <c r="AC79" s="270"/>
      <c r="AD79" s="270"/>
      <c r="AE79" s="270"/>
      <c r="AF79" s="270"/>
      <c r="AG79" s="270"/>
      <c r="AH79" s="270"/>
      <c r="AI79" s="270"/>
      <c r="AJ79" s="270"/>
      <c r="AK79" s="270"/>
      <c r="AL79" s="270"/>
      <c r="AM79" s="270"/>
      <c r="AN79" s="270"/>
      <c r="AO79" s="270"/>
      <c r="AP79" s="270"/>
      <c r="AQ79" s="270"/>
      <c r="AR79" s="270"/>
      <c r="AS79" s="270"/>
      <c r="AT79" s="270"/>
      <c r="AU79" s="270"/>
      <c r="AV79" s="270"/>
      <c r="AW79" s="270"/>
      <c r="AX79" s="270"/>
      <c r="AY79" s="270"/>
      <c r="AZ79" s="270"/>
      <c r="BA79" s="270"/>
      <c r="BB79" s="270"/>
      <c r="BC79" s="270"/>
      <c r="BD79" s="270"/>
      <c r="BE79" s="270"/>
      <c r="BF79" s="270"/>
      <c r="BG79" s="270"/>
      <c r="BH79" s="270"/>
      <c r="BI79" s="270"/>
      <c r="BJ79" s="270"/>
      <c r="BK79" s="270"/>
      <c r="BL79" s="270"/>
      <c r="BM79" s="270"/>
      <c r="BN79" s="270"/>
      <c r="BO79" s="270"/>
      <c r="BP79" s="270"/>
      <c r="BQ79" s="270"/>
      <c r="BR79" s="270"/>
      <c r="BS79" s="270"/>
      <c r="BT79" s="270"/>
      <c r="BU79" s="270"/>
      <c r="BV79" s="270"/>
      <c r="BW79" s="270"/>
      <c r="BX79" s="270"/>
      <c r="BY79" s="270"/>
      <c r="BZ79" s="270"/>
      <c r="CA79" s="270"/>
      <c r="CB79" s="270"/>
      <c r="CC79" s="270"/>
      <c r="CD79" s="270"/>
      <c r="CE79" s="270"/>
      <c r="CF79" s="270"/>
      <c r="CG79" s="270"/>
      <c r="CH79" s="270"/>
      <c r="CI79" s="270"/>
      <c r="CJ79" s="270"/>
      <c r="CK79" s="270"/>
      <c r="CL79" s="270"/>
      <c r="CM79" s="270"/>
      <c r="CN79" s="270"/>
      <c r="CO79" s="270"/>
      <c r="CP79" s="270"/>
      <c r="CQ79" s="270"/>
      <c r="CR79" s="270"/>
      <c r="CS79" s="270"/>
      <c r="CT79" s="270"/>
      <c r="CU79" s="270"/>
      <c r="CV79" s="270"/>
      <c r="CW79" s="270"/>
      <c r="CX79" s="270"/>
      <c r="CY79" s="270"/>
      <c r="CZ79" s="270"/>
      <c r="DA79" s="270"/>
      <c r="DB79" s="270"/>
      <c r="DC79" s="270"/>
      <c r="DD79" s="270"/>
      <c r="DE79" s="270"/>
      <c r="DF79" s="270"/>
      <c r="DG79" s="270"/>
      <c r="DH79" s="270"/>
      <c r="DI79" s="270"/>
      <c r="DJ79" s="270"/>
      <c r="DK79" s="270"/>
      <c r="DL79" s="270"/>
      <c r="DM79" s="270"/>
      <c r="DN79" s="270"/>
      <c r="DO79" s="270"/>
      <c r="DP79" s="270"/>
      <c r="DQ79" s="270"/>
      <c r="DR79" s="270"/>
      <c r="DS79" s="270"/>
      <c r="DT79" s="270"/>
      <c r="DU79" s="270"/>
      <c r="DV79" s="270"/>
      <c r="DW79" s="270"/>
      <c r="DX79" s="270"/>
      <c r="DY79" s="270"/>
      <c r="DZ79" s="270"/>
      <c r="EA79" s="270"/>
      <c r="EB79" s="270"/>
      <c r="EC79" s="270"/>
      <c r="ED79" s="270"/>
      <c r="EE79" s="270"/>
      <c r="EF79" s="270"/>
      <c r="EG79" s="270"/>
      <c r="EH79" s="270"/>
      <c r="EI79" s="270"/>
      <c r="EJ79" s="270"/>
      <c r="EK79" s="270"/>
      <c r="EL79" s="270"/>
      <c r="EM79" s="270"/>
      <c r="EN79" s="270"/>
      <c r="EO79" s="270"/>
      <c r="EP79" s="270"/>
      <c r="EQ79" s="270"/>
      <c r="ER79" s="270"/>
      <c r="ES79" s="270"/>
      <c r="ET79" s="270"/>
      <c r="EU79" s="270"/>
      <c r="EV79" s="270"/>
      <c r="EW79" s="270"/>
      <c r="EX79" s="270"/>
      <c r="EY79" s="270"/>
      <c r="EZ79" s="270"/>
      <c r="FA79" s="270"/>
      <c r="FB79" s="270"/>
      <c r="FC79" s="270"/>
      <c r="FD79" s="270"/>
      <c r="FE79" s="270"/>
      <c r="FF79" s="270"/>
      <c r="FG79" s="270"/>
      <c r="FH79" s="270"/>
      <c r="FI79" s="270"/>
      <c r="FJ79" s="270"/>
      <c r="FK79" s="270"/>
      <c r="FL79" s="270"/>
      <c r="FM79" s="270"/>
      <c r="FN79" s="270"/>
      <c r="FO79" s="270"/>
      <c r="FP79" s="270"/>
      <c r="FQ79" s="270"/>
      <c r="FR79" s="270"/>
      <c r="FS79" s="270"/>
      <c r="FT79" s="270"/>
      <c r="FU79" s="270"/>
      <c r="FV79" s="270"/>
      <c r="FW79" s="270"/>
      <c r="FX79" s="270"/>
      <c r="FY79" s="270"/>
      <c r="FZ79" s="270"/>
      <c r="GA79" s="270"/>
      <c r="GB79" s="270"/>
      <c r="GC79" s="270"/>
      <c r="GD79" s="270"/>
      <c r="GE79" s="270"/>
      <c r="GF79" s="270"/>
      <c r="GG79" s="270"/>
      <c r="GH79" s="270"/>
    </row>
    <row r="80" spans="1:190" s="93" customFormat="1" ht="15" customHeight="1" x14ac:dyDescent="0.2">
      <c r="A80" s="282"/>
      <c r="B80" s="282"/>
      <c r="C80" s="95" t="s">
        <v>407</v>
      </c>
      <c r="D80" s="101"/>
      <c r="E80" s="274"/>
      <c r="F80" s="270"/>
      <c r="G80" s="270"/>
      <c r="H80" s="270"/>
      <c r="I80" s="270"/>
      <c r="J80" s="270"/>
      <c r="K80" s="270"/>
      <c r="L80" s="270"/>
      <c r="M80" s="270"/>
      <c r="N80" s="270"/>
      <c r="O80" s="270"/>
      <c r="P80" s="270"/>
      <c r="Q80" s="270"/>
      <c r="R80" s="270"/>
      <c r="S80" s="270"/>
      <c r="T80" s="270"/>
      <c r="U80" s="270"/>
      <c r="V80" s="270"/>
      <c r="W80" s="270"/>
      <c r="X80" s="270"/>
      <c r="Y80" s="270"/>
      <c r="Z80" s="270"/>
      <c r="AA80" s="270"/>
      <c r="AB80" s="270"/>
      <c r="AC80" s="270"/>
      <c r="AD80" s="270"/>
      <c r="AE80" s="270"/>
      <c r="AF80" s="270"/>
      <c r="AG80" s="270"/>
      <c r="AH80" s="270"/>
      <c r="AI80" s="270"/>
      <c r="AJ80" s="270"/>
      <c r="AK80" s="270"/>
      <c r="AL80" s="270"/>
      <c r="AM80" s="270"/>
      <c r="AN80" s="270"/>
      <c r="AO80" s="270"/>
      <c r="AP80" s="270"/>
      <c r="AQ80" s="270"/>
      <c r="AR80" s="270"/>
      <c r="AS80" s="270"/>
      <c r="AT80" s="270"/>
      <c r="AU80" s="270"/>
      <c r="AV80" s="270"/>
      <c r="AW80" s="270"/>
      <c r="AX80" s="270"/>
      <c r="AY80" s="270"/>
      <c r="AZ80" s="270"/>
      <c r="BA80" s="270"/>
      <c r="BB80" s="270"/>
      <c r="BC80" s="270"/>
      <c r="BD80" s="270"/>
      <c r="BE80" s="270"/>
      <c r="BF80" s="270"/>
      <c r="BG80" s="270"/>
      <c r="BH80" s="270"/>
      <c r="BI80" s="270"/>
      <c r="BJ80" s="270"/>
      <c r="BK80" s="270"/>
      <c r="BL80" s="270"/>
      <c r="BM80" s="270"/>
      <c r="BN80" s="270"/>
      <c r="BO80" s="270"/>
      <c r="BP80" s="270"/>
      <c r="BQ80" s="270"/>
      <c r="BR80" s="270"/>
      <c r="BS80" s="270"/>
      <c r="BT80" s="270"/>
      <c r="BU80" s="270"/>
      <c r="BV80" s="270"/>
      <c r="BW80" s="270"/>
      <c r="BX80" s="270"/>
      <c r="BY80" s="270"/>
      <c r="BZ80" s="270"/>
      <c r="CA80" s="270"/>
      <c r="CB80" s="270"/>
      <c r="CC80" s="270"/>
      <c r="CD80" s="270"/>
      <c r="CE80" s="270"/>
      <c r="CF80" s="270"/>
      <c r="CG80" s="270"/>
      <c r="CH80" s="270"/>
      <c r="CI80" s="270"/>
      <c r="CJ80" s="270"/>
      <c r="CK80" s="270"/>
      <c r="CL80" s="270"/>
      <c r="CM80" s="270"/>
      <c r="CN80" s="270"/>
      <c r="CO80" s="270"/>
      <c r="CP80" s="270"/>
      <c r="CQ80" s="270"/>
      <c r="CR80" s="270"/>
      <c r="CS80" s="270"/>
      <c r="CT80" s="270"/>
      <c r="CU80" s="270"/>
      <c r="CV80" s="270"/>
      <c r="CW80" s="270"/>
      <c r="CX80" s="270"/>
      <c r="CY80" s="270"/>
      <c r="CZ80" s="270"/>
      <c r="DA80" s="270"/>
      <c r="DB80" s="270"/>
      <c r="DC80" s="270"/>
      <c r="DD80" s="270"/>
      <c r="DE80" s="270"/>
      <c r="DF80" s="270"/>
      <c r="DG80" s="270"/>
      <c r="DH80" s="270"/>
      <c r="DI80" s="270"/>
      <c r="DJ80" s="270"/>
      <c r="DK80" s="270"/>
      <c r="DL80" s="270"/>
      <c r="DM80" s="270"/>
      <c r="DN80" s="270"/>
      <c r="DO80" s="270"/>
      <c r="DP80" s="270"/>
      <c r="DQ80" s="270"/>
      <c r="DR80" s="270"/>
      <c r="DS80" s="270"/>
      <c r="DT80" s="270"/>
      <c r="DU80" s="270"/>
      <c r="DV80" s="270"/>
      <c r="DW80" s="270"/>
      <c r="DX80" s="270"/>
      <c r="DY80" s="270"/>
      <c r="DZ80" s="270"/>
      <c r="EA80" s="270"/>
      <c r="EB80" s="270"/>
      <c r="EC80" s="270"/>
      <c r="ED80" s="270"/>
      <c r="EE80" s="270"/>
      <c r="EF80" s="270"/>
      <c r="EG80" s="270"/>
      <c r="EH80" s="270"/>
      <c r="EI80" s="270"/>
      <c r="EJ80" s="270"/>
      <c r="EK80" s="270"/>
      <c r="EL80" s="270"/>
      <c r="EM80" s="270"/>
      <c r="EN80" s="270"/>
      <c r="EO80" s="270"/>
      <c r="EP80" s="270"/>
      <c r="EQ80" s="270"/>
      <c r="ER80" s="270"/>
      <c r="ES80" s="270"/>
      <c r="ET80" s="270"/>
      <c r="EU80" s="270"/>
      <c r="EV80" s="270"/>
      <c r="EW80" s="270"/>
      <c r="EX80" s="270"/>
      <c r="EY80" s="270"/>
      <c r="EZ80" s="270"/>
      <c r="FA80" s="270"/>
      <c r="FB80" s="270"/>
      <c r="FC80" s="270"/>
      <c r="FD80" s="270"/>
      <c r="FE80" s="270"/>
      <c r="FF80" s="270"/>
      <c r="FG80" s="270"/>
      <c r="FH80" s="270"/>
      <c r="FI80" s="270"/>
      <c r="FJ80" s="270"/>
      <c r="FK80" s="270"/>
      <c r="FL80" s="270"/>
      <c r="FM80" s="270"/>
      <c r="FN80" s="270"/>
      <c r="FO80" s="270"/>
      <c r="FP80" s="270"/>
      <c r="FQ80" s="270"/>
      <c r="FR80" s="270"/>
      <c r="FS80" s="270"/>
      <c r="FT80" s="270"/>
      <c r="FU80" s="270"/>
      <c r="FV80" s="270"/>
      <c r="FW80" s="270"/>
      <c r="FX80" s="270"/>
      <c r="FY80" s="270"/>
      <c r="FZ80" s="270"/>
      <c r="GA80" s="270"/>
      <c r="GB80" s="270"/>
      <c r="GC80" s="270"/>
      <c r="GD80" s="270"/>
      <c r="GE80" s="270"/>
      <c r="GF80" s="270"/>
      <c r="GG80" s="270"/>
      <c r="GH80" s="270"/>
    </row>
    <row r="81" spans="1:190" s="93" customFormat="1" ht="15" customHeight="1" x14ac:dyDescent="0.2">
      <c r="A81" s="282"/>
      <c r="B81" s="282"/>
      <c r="C81" s="95" t="str">
        <f>"Lender for "&amp;D78</f>
        <v xml:space="preserve">Lender for </v>
      </c>
      <c r="D81" s="99"/>
      <c r="E81" s="274"/>
      <c r="F81" s="270"/>
      <c r="G81" s="270"/>
      <c r="H81" s="270"/>
      <c r="I81" s="270"/>
      <c r="J81" s="270"/>
      <c r="K81" s="270"/>
      <c r="L81" s="270"/>
      <c r="M81" s="270"/>
      <c r="N81" s="270"/>
      <c r="O81" s="270"/>
      <c r="P81" s="270"/>
      <c r="Q81" s="270"/>
      <c r="R81" s="270"/>
      <c r="S81" s="270"/>
      <c r="T81" s="270"/>
      <c r="U81" s="270"/>
      <c r="V81" s="270"/>
      <c r="W81" s="270"/>
      <c r="X81" s="270"/>
      <c r="Y81" s="270"/>
      <c r="Z81" s="270"/>
      <c r="AA81" s="270"/>
      <c r="AB81" s="270"/>
      <c r="AC81" s="270"/>
      <c r="AD81" s="270"/>
      <c r="AE81" s="270"/>
      <c r="AF81" s="270"/>
      <c r="AG81" s="270"/>
      <c r="AH81" s="270"/>
      <c r="AI81" s="270"/>
      <c r="AJ81" s="270"/>
      <c r="AK81" s="270"/>
      <c r="AL81" s="270"/>
      <c r="AM81" s="270"/>
      <c r="AN81" s="270"/>
      <c r="AO81" s="270"/>
      <c r="AP81" s="270"/>
      <c r="AQ81" s="270"/>
      <c r="AR81" s="270"/>
      <c r="AS81" s="270"/>
      <c r="AT81" s="270"/>
      <c r="AU81" s="270"/>
      <c r="AV81" s="270"/>
      <c r="AW81" s="270"/>
      <c r="AX81" s="270"/>
      <c r="AY81" s="270"/>
      <c r="AZ81" s="270"/>
      <c r="BA81" s="270"/>
      <c r="BB81" s="270"/>
      <c r="BC81" s="270"/>
      <c r="BD81" s="270"/>
      <c r="BE81" s="270"/>
      <c r="BF81" s="270"/>
      <c r="BG81" s="270"/>
      <c r="BH81" s="270"/>
      <c r="BI81" s="270"/>
      <c r="BJ81" s="270"/>
      <c r="BK81" s="270"/>
      <c r="BL81" s="270"/>
      <c r="BM81" s="270"/>
      <c r="BN81" s="270"/>
      <c r="BO81" s="270"/>
      <c r="BP81" s="270"/>
      <c r="BQ81" s="270"/>
      <c r="BR81" s="270"/>
      <c r="BS81" s="270"/>
      <c r="BT81" s="270"/>
      <c r="BU81" s="270"/>
      <c r="BV81" s="270"/>
      <c r="BW81" s="270"/>
      <c r="BX81" s="270"/>
      <c r="BY81" s="270"/>
      <c r="BZ81" s="270"/>
      <c r="CA81" s="270"/>
      <c r="CB81" s="270"/>
      <c r="CC81" s="270"/>
      <c r="CD81" s="270"/>
      <c r="CE81" s="270"/>
      <c r="CF81" s="270"/>
      <c r="CG81" s="270"/>
      <c r="CH81" s="270"/>
      <c r="CI81" s="270"/>
      <c r="CJ81" s="270"/>
      <c r="CK81" s="270"/>
      <c r="CL81" s="270"/>
      <c r="CM81" s="270"/>
      <c r="CN81" s="270"/>
      <c r="CO81" s="270"/>
      <c r="CP81" s="270"/>
      <c r="CQ81" s="270"/>
      <c r="CR81" s="270"/>
      <c r="CS81" s="270"/>
      <c r="CT81" s="270"/>
      <c r="CU81" s="270"/>
      <c r="CV81" s="270"/>
      <c r="CW81" s="270"/>
      <c r="CX81" s="270"/>
      <c r="CY81" s="270"/>
      <c r="CZ81" s="270"/>
      <c r="DA81" s="270"/>
      <c r="DB81" s="270"/>
      <c r="DC81" s="270"/>
      <c r="DD81" s="270"/>
      <c r="DE81" s="270"/>
      <c r="DF81" s="270"/>
      <c r="DG81" s="270"/>
      <c r="DH81" s="270"/>
      <c r="DI81" s="270"/>
      <c r="DJ81" s="270"/>
      <c r="DK81" s="270"/>
      <c r="DL81" s="270"/>
      <c r="DM81" s="270"/>
      <c r="DN81" s="270"/>
      <c r="DO81" s="270"/>
      <c r="DP81" s="270"/>
      <c r="DQ81" s="270"/>
      <c r="DR81" s="270"/>
      <c r="DS81" s="270"/>
      <c r="DT81" s="270"/>
      <c r="DU81" s="270"/>
      <c r="DV81" s="270"/>
      <c r="DW81" s="270"/>
      <c r="DX81" s="270"/>
      <c r="DY81" s="270"/>
      <c r="DZ81" s="270"/>
      <c r="EA81" s="270"/>
      <c r="EB81" s="270"/>
      <c r="EC81" s="270"/>
      <c r="ED81" s="270"/>
      <c r="EE81" s="270"/>
      <c r="EF81" s="270"/>
      <c r="EG81" s="270"/>
      <c r="EH81" s="270"/>
      <c r="EI81" s="270"/>
      <c r="EJ81" s="270"/>
      <c r="EK81" s="270"/>
      <c r="EL81" s="270"/>
      <c r="EM81" s="270"/>
      <c r="EN81" s="270"/>
      <c r="EO81" s="270"/>
      <c r="EP81" s="270"/>
      <c r="EQ81" s="270"/>
      <c r="ER81" s="270"/>
      <c r="ES81" s="270"/>
      <c r="ET81" s="270"/>
      <c r="EU81" s="270"/>
      <c r="EV81" s="270"/>
      <c r="EW81" s="270"/>
      <c r="EX81" s="270"/>
      <c r="EY81" s="270"/>
      <c r="EZ81" s="270"/>
      <c r="FA81" s="270"/>
      <c r="FB81" s="270"/>
      <c r="FC81" s="270"/>
      <c r="FD81" s="270"/>
      <c r="FE81" s="270"/>
      <c r="FF81" s="270"/>
      <c r="FG81" s="270"/>
      <c r="FH81" s="270"/>
      <c r="FI81" s="270"/>
      <c r="FJ81" s="270"/>
      <c r="FK81" s="270"/>
      <c r="FL81" s="270"/>
      <c r="FM81" s="270"/>
      <c r="FN81" s="270"/>
      <c r="FO81" s="270"/>
      <c r="FP81" s="270"/>
      <c r="FQ81" s="270"/>
      <c r="FR81" s="270"/>
      <c r="FS81" s="270"/>
      <c r="FT81" s="270"/>
      <c r="FU81" s="270"/>
      <c r="FV81" s="270"/>
      <c r="FW81" s="270"/>
      <c r="FX81" s="270"/>
      <c r="FY81" s="270"/>
      <c r="FZ81" s="270"/>
      <c r="GA81" s="270"/>
      <c r="GB81" s="270"/>
      <c r="GC81" s="270"/>
      <c r="GD81" s="270"/>
      <c r="GE81" s="270"/>
      <c r="GF81" s="270"/>
      <c r="GG81" s="270"/>
      <c r="GH81" s="270"/>
    </row>
    <row r="82" spans="1:190" s="93" customFormat="1" ht="15" customHeight="1" x14ac:dyDescent="0.2">
      <c r="A82" s="282"/>
      <c r="B82" s="282"/>
      <c r="C82" s="95" t="str">
        <f>"Interest Rate for "&amp;D78</f>
        <v xml:space="preserve">Interest Rate for </v>
      </c>
      <c r="D82" s="292"/>
      <c r="E82" s="275"/>
      <c r="F82" s="270"/>
      <c r="G82" s="270"/>
      <c r="H82" s="270"/>
      <c r="I82" s="270"/>
      <c r="J82" s="270"/>
      <c r="K82" s="270"/>
      <c r="L82" s="270"/>
      <c r="M82" s="270"/>
      <c r="N82" s="270"/>
      <c r="O82" s="270"/>
      <c r="P82" s="270"/>
      <c r="Q82" s="270"/>
      <c r="R82" s="270"/>
      <c r="S82" s="270"/>
      <c r="T82" s="270"/>
      <c r="U82" s="270"/>
      <c r="V82" s="270"/>
      <c r="W82" s="270"/>
      <c r="X82" s="270"/>
      <c r="Y82" s="270"/>
      <c r="Z82" s="270"/>
      <c r="AA82" s="270"/>
      <c r="AB82" s="270"/>
      <c r="AC82" s="270"/>
      <c r="AD82" s="270"/>
      <c r="AE82" s="270"/>
      <c r="AF82" s="270"/>
      <c r="AG82" s="270"/>
      <c r="AH82" s="270"/>
      <c r="AI82" s="270"/>
      <c r="AJ82" s="270"/>
      <c r="AK82" s="270"/>
      <c r="AL82" s="270"/>
      <c r="AM82" s="270"/>
      <c r="AN82" s="270"/>
      <c r="AO82" s="270"/>
      <c r="AP82" s="270"/>
      <c r="AQ82" s="270"/>
      <c r="AR82" s="270"/>
      <c r="AS82" s="270"/>
      <c r="AT82" s="270"/>
      <c r="AU82" s="270"/>
      <c r="AV82" s="270"/>
      <c r="AW82" s="270"/>
      <c r="AX82" s="270"/>
      <c r="AY82" s="270"/>
      <c r="AZ82" s="270"/>
      <c r="BA82" s="270"/>
      <c r="BB82" s="270"/>
      <c r="BC82" s="270"/>
      <c r="BD82" s="270"/>
      <c r="BE82" s="270"/>
      <c r="BF82" s="270"/>
      <c r="BG82" s="270"/>
      <c r="BH82" s="270"/>
      <c r="BI82" s="270"/>
      <c r="BJ82" s="270"/>
      <c r="BK82" s="270"/>
      <c r="BL82" s="270"/>
      <c r="BM82" s="270"/>
      <c r="BN82" s="270"/>
      <c r="BO82" s="270"/>
      <c r="BP82" s="270"/>
      <c r="BQ82" s="270"/>
      <c r="BR82" s="270"/>
      <c r="BS82" s="270"/>
      <c r="BT82" s="270"/>
      <c r="BU82" s="270"/>
      <c r="BV82" s="270"/>
      <c r="BW82" s="270"/>
      <c r="BX82" s="270"/>
      <c r="BY82" s="270"/>
      <c r="BZ82" s="270"/>
      <c r="CA82" s="270"/>
      <c r="CB82" s="270"/>
      <c r="CC82" s="270"/>
      <c r="CD82" s="270"/>
      <c r="CE82" s="270"/>
      <c r="CF82" s="270"/>
      <c r="CG82" s="270"/>
      <c r="CH82" s="270"/>
      <c r="CI82" s="270"/>
      <c r="CJ82" s="270"/>
      <c r="CK82" s="270"/>
      <c r="CL82" s="270"/>
      <c r="CM82" s="270"/>
      <c r="CN82" s="270"/>
      <c r="CO82" s="270"/>
      <c r="CP82" s="270"/>
      <c r="CQ82" s="270"/>
      <c r="CR82" s="270"/>
      <c r="CS82" s="270"/>
      <c r="CT82" s="270"/>
      <c r="CU82" s="270"/>
      <c r="CV82" s="270"/>
      <c r="CW82" s="270"/>
      <c r="CX82" s="270"/>
      <c r="CY82" s="270"/>
      <c r="CZ82" s="270"/>
      <c r="DA82" s="270"/>
      <c r="DB82" s="270"/>
      <c r="DC82" s="270"/>
      <c r="DD82" s="270"/>
      <c r="DE82" s="270"/>
      <c r="DF82" s="270"/>
      <c r="DG82" s="270"/>
      <c r="DH82" s="270"/>
      <c r="DI82" s="270"/>
      <c r="DJ82" s="270"/>
      <c r="DK82" s="270"/>
      <c r="DL82" s="270"/>
      <c r="DM82" s="270"/>
      <c r="DN82" s="270"/>
      <c r="DO82" s="270"/>
      <c r="DP82" s="270"/>
      <c r="DQ82" s="270"/>
      <c r="DR82" s="270"/>
      <c r="DS82" s="270"/>
      <c r="DT82" s="270"/>
      <c r="DU82" s="270"/>
      <c r="DV82" s="270"/>
      <c r="DW82" s="270"/>
      <c r="DX82" s="270"/>
      <c r="DY82" s="270"/>
      <c r="DZ82" s="270"/>
      <c r="EA82" s="270"/>
      <c r="EB82" s="270"/>
      <c r="EC82" s="270"/>
      <c r="ED82" s="270"/>
      <c r="EE82" s="270"/>
      <c r="EF82" s="270"/>
      <c r="EG82" s="270"/>
      <c r="EH82" s="270"/>
      <c r="EI82" s="270"/>
      <c r="EJ82" s="270"/>
      <c r="EK82" s="270"/>
      <c r="EL82" s="270"/>
      <c r="EM82" s="270"/>
      <c r="EN82" s="270"/>
      <c r="EO82" s="270"/>
      <c r="EP82" s="270"/>
      <c r="EQ82" s="270"/>
      <c r="ER82" s="270"/>
      <c r="ES82" s="270"/>
      <c r="ET82" s="270"/>
      <c r="EU82" s="270"/>
      <c r="EV82" s="270"/>
      <c r="EW82" s="270"/>
      <c r="EX82" s="270"/>
      <c r="EY82" s="270"/>
      <c r="EZ82" s="270"/>
      <c r="FA82" s="270"/>
      <c r="FB82" s="270"/>
      <c r="FC82" s="270"/>
      <c r="FD82" s="270"/>
      <c r="FE82" s="270"/>
      <c r="FF82" s="270"/>
      <c r="FG82" s="270"/>
      <c r="FH82" s="270"/>
      <c r="FI82" s="270"/>
      <c r="FJ82" s="270"/>
      <c r="FK82" s="270"/>
      <c r="FL82" s="270"/>
      <c r="FM82" s="270"/>
      <c r="FN82" s="270"/>
      <c r="FO82" s="270"/>
      <c r="FP82" s="270"/>
      <c r="FQ82" s="270"/>
      <c r="FR82" s="270"/>
      <c r="FS82" s="270"/>
      <c r="FT82" s="270"/>
      <c r="FU82" s="270"/>
      <c r="FV82" s="270"/>
      <c r="FW82" s="270"/>
      <c r="FX82" s="270"/>
      <c r="FY82" s="270"/>
      <c r="FZ82" s="270"/>
      <c r="GA82" s="270"/>
      <c r="GB82" s="270"/>
      <c r="GC82" s="270"/>
      <c r="GD82" s="270"/>
      <c r="GE82" s="270"/>
      <c r="GF82" s="270"/>
      <c r="GG82" s="270"/>
      <c r="GH82" s="270"/>
    </row>
    <row r="83" spans="1:190" s="93" customFormat="1" ht="15" customHeight="1" x14ac:dyDescent="0.2">
      <c r="A83" s="282"/>
      <c r="B83" s="282"/>
      <c r="C83" s="95" t="str">
        <f>"Loan Term (Maturity) for "&amp;D78</f>
        <v xml:space="preserve">Loan Term (Maturity) for </v>
      </c>
      <c r="D83" s="102"/>
      <c r="E83" s="318" t="str">
        <f>IF(ROUND(D83,0)&gt;=D75,"","Warning: Loan matures prior to sale of the property")</f>
        <v/>
      </c>
      <c r="F83" s="270"/>
      <c r="G83" s="270"/>
      <c r="H83" s="270"/>
      <c r="I83" s="270"/>
      <c r="J83" s="270"/>
      <c r="K83" s="270"/>
      <c r="L83" s="521"/>
      <c r="M83" s="270"/>
      <c r="N83" s="270"/>
      <c r="O83" s="270"/>
      <c r="P83" s="270"/>
      <c r="Q83" s="270"/>
      <c r="R83" s="270"/>
      <c r="S83" s="270"/>
      <c r="T83" s="270"/>
      <c r="U83" s="270"/>
      <c r="V83" s="270"/>
      <c r="W83" s="270"/>
      <c r="X83" s="270"/>
      <c r="Y83" s="270"/>
      <c r="Z83" s="270"/>
      <c r="AA83" s="270"/>
      <c r="AB83" s="270"/>
      <c r="AC83" s="270"/>
      <c r="AD83" s="270"/>
      <c r="AE83" s="270"/>
      <c r="AF83" s="270"/>
      <c r="AG83" s="270"/>
      <c r="AH83" s="270"/>
      <c r="AI83" s="270"/>
      <c r="AJ83" s="270"/>
      <c r="AK83" s="270"/>
      <c r="AL83" s="270"/>
      <c r="AM83" s="270"/>
      <c r="AN83" s="270"/>
      <c r="AO83" s="270"/>
      <c r="AP83" s="270"/>
      <c r="AQ83" s="270"/>
      <c r="AR83" s="270"/>
      <c r="AS83" s="270"/>
      <c r="AT83" s="270"/>
      <c r="AU83" s="270"/>
      <c r="AV83" s="270"/>
      <c r="AW83" s="270"/>
      <c r="AX83" s="270"/>
      <c r="AY83" s="270"/>
      <c r="AZ83" s="270"/>
      <c r="BA83" s="270"/>
      <c r="BB83" s="270"/>
      <c r="BC83" s="270"/>
      <c r="BD83" s="270"/>
      <c r="BE83" s="270"/>
    </row>
    <row r="84" spans="1:190" s="93" customFormat="1" ht="15" customHeight="1" x14ac:dyDescent="0.2">
      <c r="A84" s="282"/>
      <c r="B84" s="282"/>
      <c r="C84" s="295" t="s">
        <v>357</v>
      </c>
      <c r="D84" s="104"/>
      <c r="E84" s="277"/>
      <c r="F84" s="270"/>
      <c r="G84" s="270"/>
      <c r="H84" s="270"/>
      <c r="I84" s="270"/>
      <c r="J84" s="270"/>
      <c r="K84" s="270"/>
      <c r="L84" s="270"/>
      <c r="M84" s="270"/>
      <c r="N84" s="270"/>
      <c r="O84" s="270"/>
      <c r="P84" s="270"/>
      <c r="Q84" s="270"/>
      <c r="R84" s="270"/>
      <c r="S84" s="270"/>
      <c r="T84" s="270"/>
      <c r="U84" s="270"/>
      <c r="V84" s="270"/>
      <c r="W84" s="270"/>
      <c r="X84" s="270"/>
      <c r="Y84" s="270"/>
      <c r="Z84" s="270"/>
      <c r="AA84" s="270"/>
      <c r="AB84" s="270"/>
      <c r="AC84" s="270"/>
      <c r="AD84" s="270"/>
      <c r="AE84" s="270"/>
      <c r="AF84" s="270"/>
      <c r="AG84" s="270"/>
      <c r="AH84" s="270"/>
      <c r="AI84" s="270"/>
      <c r="AJ84" s="270"/>
      <c r="AK84" s="270"/>
      <c r="AL84" s="270"/>
      <c r="AM84" s="270"/>
      <c r="AN84" s="270"/>
      <c r="AO84" s="270"/>
      <c r="AP84" s="270"/>
      <c r="AQ84" s="270"/>
      <c r="AR84" s="270"/>
      <c r="AS84" s="270"/>
      <c r="AT84" s="270"/>
      <c r="AU84" s="270"/>
      <c r="AV84" s="270"/>
      <c r="AW84" s="270"/>
      <c r="AX84" s="270"/>
      <c r="AY84" s="270"/>
      <c r="AZ84" s="270"/>
      <c r="BA84" s="270"/>
      <c r="BB84" s="270"/>
      <c r="BC84" s="270"/>
      <c r="BD84" s="270"/>
      <c r="BE84" s="270"/>
    </row>
    <row r="87" spans="1:190" s="270" customFormat="1" ht="15" customHeight="1" x14ac:dyDescent="0.2">
      <c r="A87" s="402" t="s">
        <v>424</v>
      </c>
      <c r="B87" s="282"/>
      <c r="C87" s="268" t="s">
        <v>360</v>
      </c>
      <c r="D87" s="293"/>
    </row>
    <row r="88" spans="1:190" s="270" customFormat="1" ht="15" customHeight="1" x14ac:dyDescent="0.2">
      <c r="A88" s="282"/>
      <c r="B88" s="282"/>
      <c r="C88" s="95" t="s">
        <v>368</v>
      </c>
      <c r="D88" s="99"/>
      <c r="E88" s="318"/>
    </row>
    <row r="89" spans="1:190" s="93" customFormat="1" ht="15" customHeight="1" x14ac:dyDescent="0.2">
      <c r="A89" s="282"/>
      <c r="B89" s="282"/>
      <c r="C89" s="95" t="str">
        <f>"Loan Amount for "&amp;D88</f>
        <v xml:space="preserve">Loan Amount for </v>
      </c>
      <c r="D89" s="101"/>
      <c r="E89" s="274"/>
      <c r="F89" s="270"/>
      <c r="G89" s="270"/>
      <c r="H89" s="270"/>
      <c r="I89" s="270"/>
      <c r="J89" s="270"/>
      <c r="K89" s="270"/>
      <c r="L89" s="270"/>
      <c r="M89" s="270"/>
      <c r="N89" s="270"/>
      <c r="O89" s="270"/>
      <c r="P89" s="270"/>
      <c r="Q89" s="270"/>
      <c r="R89" s="270"/>
      <c r="S89" s="270"/>
      <c r="T89" s="270"/>
      <c r="U89" s="270"/>
      <c r="V89" s="270"/>
      <c r="W89" s="270"/>
      <c r="X89" s="270"/>
      <c r="Y89" s="270"/>
      <c r="Z89" s="270"/>
      <c r="AA89" s="270"/>
      <c r="AB89" s="270"/>
      <c r="AC89" s="270"/>
      <c r="AD89" s="270"/>
      <c r="AE89" s="270"/>
      <c r="AF89" s="270"/>
      <c r="AG89" s="270"/>
      <c r="AH89" s="270"/>
      <c r="AI89" s="270"/>
      <c r="AJ89" s="270"/>
      <c r="AK89" s="270"/>
      <c r="AL89" s="270"/>
      <c r="AM89" s="270"/>
      <c r="AN89" s="270"/>
      <c r="AO89" s="270"/>
      <c r="AP89" s="270"/>
      <c r="AQ89" s="270"/>
      <c r="AR89" s="270"/>
      <c r="AS89" s="270"/>
      <c r="AT89" s="270"/>
      <c r="AU89" s="270"/>
      <c r="AV89" s="270"/>
      <c r="AW89" s="270"/>
      <c r="AX89" s="270"/>
      <c r="AY89" s="270"/>
      <c r="AZ89" s="270"/>
      <c r="BA89" s="270"/>
      <c r="BB89" s="270"/>
      <c r="BC89" s="270"/>
      <c r="BD89" s="270"/>
      <c r="BE89" s="270"/>
      <c r="BF89" s="270"/>
      <c r="BG89" s="270"/>
      <c r="BH89" s="270"/>
      <c r="BI89" s="270"/>
      <c r="BJ89" s="270"/>
      <c r="BK89" s="270"/>
      <c r="BL89" s="270"/>
      <c r="BM89" s="270"/>
      <c r="BN89" s="270"/>
      <c r="BO89" s="270"/>
      <c r="BP89" s="270"/>
      <c r="BQ89" s="270"/>
      <c r="BR89" s="270"/>
      <c r="BS89" s="270"/>
      <c r="BT89" s="270"/>
      <c r="BU89" s="270"/>
      <c r="BV89" s="270"/>
      <c r="BW89" s="270"/>
      <c r="BX89" s="270"/>
      <c r="BY89" s="270"/>
      <c r="BZ89" s="270"/>
      <c r="CA89" s="270"/>
      <c r="CB89" s="270"/>
      <c r="CC89" s="270"/>
      <c r="CD89" s="270"/>
      <c r="CE89" s="270"/>
      <c r="CF89" s="270"/>
      <c r="CG89" s="270"/>
      <c r="CH89" s="270"/>
      <c r="CI89" s="270"/>
      <c r="CJ89" s="270"/>
      <c r="CK89" s="270"/>
      <c r="CL89" s="270"/>
      <c r="CM89" s="270"/>
      <c r="CN89" s="270"/>
      <c r="CO89" s="270"/>
      <c r="CP89" s="270"/>
      <c r="CQ89" s="270"/>
      <c r="CR89" s="270"/>
      <c r="CS89" s="270"/>
      <c r="CT89" s="270"/>
      <c r="CU89" s="270"/>
      <c r="CV89" s="270"/>
      <c r="CW89" s="270"/>
      <c r="CX89" s="270"/>
      <c r="CY89" s="270"/>
      <c r="CZ89" s="270"/>
      <c r="DA89" s="270"/>
      <c r="DB89" s="270"/>
      <c r="DC89" s="270"/>
      <c r="DD89" s="270"/>
      <c r="DE89" s="270"/>
      <c r="DF89" s="270"/>
      <c r="DG89" s="270"/>
      <c r="DH89" s="270"/>
      <c r="DI89" s="270"/>
      <c r="DJ89" s="270"/>
      <c r="DK89" s="270"/>
      <c r="DL89" s="270"/>
      <c r="DM89" s="270"/>
      <c r="DN89" s="270"/>
      <c r="DO89" s="270"/>
      <c r="DP89" s="270"/>
      <c r="DQ89" s="270"/>
      <c r="DR89" s="270"/>
      <c r="DS89" s="270"/>
      <c r="DT89" s="270"/>
      <c r="DU89" s="270"/>
      <c r="DV89" s="270"/>
      <c r="DW89" s="270"/>
      <c r="DX89" s="270"/>
      <c r="DY89" s="270"/>
      <c r="DZ89" s="270"/>
      <c r="EA89" s="270"/>
      <c r="EB89" s="270"/>
      <c r="EC89" s="270"/>
      <c r="ED89" s="270"/>
      <c r="EE89" s="270"/>
      <c r="EF89" s="270"/>
      <c r="EG89" s="270"/>
      <c r="EH89" s="270"/>
      <c r="EI89" s="270"/>
      <c r="EJ89" s="270"/>
      <c r="EK89" s="270"/>
      <c r="EL89" s="270"/>
      <c r="EM89" s="270"/>
      <c r="EN89" s="270"/>
      <c r="EO89" s="270"/>
      <c r="EP89" s="270"/>
      <c r="EQ89" s="270"/>
      <c r="ER89" s="270"/>
      <c r="ES89" s="270"/>
      <c r="ET89" s="270"/>
      <c r="EU89" s="270"/>
      <c r="EV89" s="270"/>
      <c r="EW89" s="270"/>
      <c r="EX89" s="270"/>
      <c r="EY89" s="270"/>
      <c r="EZ89" s="270"/>
      <c r="FA89" s="270"/>
      <c r="FB89" s="270"/>
      <c r="FC89" s="270"/>
      <c r="FD89" s="270"/>
      <c r="FE89" s="270"/>
      <c r="FF89" s="270"/>
      <c r="FG89" s="270"/>
      <c r="FH89" s="270"/>
      <c r="FI89" s="270"/>
      <c r="FJ89" s="270"/>
      <c r="FK89" s="270"/>
      <c r="FL89" s="270"/>
      <c r="FM89" s="270"/>
      <c r="FN89" s="270"/>
      <c r="FO89" s="270"/>
      <c r="FP89" s="270"/>
      <c r="FQ89" s="270"/>
      <c r="FR89" s="270"/>
      <c r="FS89" s="270"/>
      <c r="FT89" s="270"/>
      <c r="FU89" s="270"/>
      <c r="FV89" s="270"/>
      <c r="FW89" s="270"/>
      <c r="FX89" s="270"/>
      <c r="FY89" s="270"/>
      <c r="FZ89" s="270"/>
      <c r="GA89" s="270"/>
      <c r="GB89" s="270"/>
      <c r="GC89" s="270"/>
      <c r="GD89" s="270"/>
      <c r="GE89" s="270"/>
      <c r="GF89" s="270"/>
      <c r="GG89" s="270"/>
      <c r="GH89" s="270"/>
    </row>
    <row r="90" spans="1:190" s="93" customFormat="1" ht="15" customHeight="1" x14ac:dyDescent="0.2">
      <c r="A90" s="282"/>
      <c r="B90" s="282"/>
      <c r="C90" s="95" t="s">
        <v>407</v>
      </c>
      <c r="D90" s="101"/>
      <c r="E90" s="274"/>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270"/>
      <c r="BG90" s="270"/>
      <c r="BH90" s="270"/>
      <c r="BI90" s="270"/>
      <c r="BJ90" s="270"/>
      <c r="BK90" s="270"/>
      <c r="BL90" s="270"/>
      <c r="BM90" s="270"/>
      <c r="BN90" s="270"/>
      <c r="BO90" s="270"/>
      <c r="BP90" s="270"/>
      <c r="BQ90" s="270"/>
      <c r="BR90" s="270"/>
      <c r="BS90" s="270"/>
      <c r="BT90" s="270"/>
      <c r="BU90" s="270"/>
      <c r="BV90" s="270"/>
      <c r="BW90" s="270"/>
      <c r="BX90" s="270"/>
      <c r="BY90" s="270"/>
      <c r="BZ90" s="270"/>
      <c r="CA90" s="270"/>
      <c r="CB90" s="270"/>
      <c r="CC90" s="270"/>
      <c r="CD90" s="270"/>
      <c r="CE90" s="270"/>
      <c r="CF90" s="270"/>
      <c r="CG90" s="270"/>
      <c r="CH90" s="270"/>
      <c r="CI90" s="270"/>
      <c r="CJ90" s="270"/>
      <c r="CK90" s="270"/>
      <c r="CL90" s="270"/>
      <c r="CM90" s="270"/>
      <c r="CN90" s="270"/>
      <c r="CO90" s="270"/>
      <c r="CP90" s="270"/>
      <c r="CQ90" s="270"/>
      <c r="CR90" s="270"/>
      <c r="CS90" s="270"/>
      <c r="CT90" s="270"/>
      <c r="CU90" s="270"/>
      <c r="CV90" s="270"/>
      <c r="CW90" s="270"/>
      <c r="CX90" s="270"/>
      <c r="CY90" s="270"/>
      <c r="CZ90" s="270"/>
      <c r="DA90" s="270"/>
      <c r="DB90" s="270"/>
      <c r="DC90" s="270"/>
      <c r="DD90" s="270"/>
      <c r="DE90" s="270"/>
      <c r="DF90" s="270"/>
      <c r="DG90" s="270"/>
      <c r="DH90" s="270"/>
      <c r="DI90" s="270"/>
      <c r="DJ90" s="270"/>
      <c r="DK90" s="270"/>
      <c r="DL90" s="270"/>
      <c r="DM90" s="270"/>
      <c r="DN90" s="270"/>
      <c r="DO90" s="270"/>
      <c r="DP90" s="270"/>
      <c r="DQ90" s="270"/>
      <c r="DR90" s="270"/>
      <c r="DS90" s="270"/>
      <c r="DT90" s="270"/>
      <c r="DU90" s="270"/>
      <c r="DV90" s="270"/>
      <c r="DW90" s="270"/>
      <c r="DX90" s="270"/>
      <c r="DY90" s="270"/>
      <c r="DZ90" s="270"/>
      <c r="EA90" s="270"/>
      <c r="EB90" s="270"/>
      <c r="EC90" s="270"/>
      <c r="ED90" s="270"/>
      <c r="EE90" s="270"/>
      <c r="EF90" s="270"/>
      <c r="EG90" s="270"/>
      <c r="EH90" s="270"/>
      <c r="EI90" s="270"/>
      <c r="EJ90" s="270"/>
      <c r="EK90" s="270"/>
      <c r="EL90" s="270"/>
      <c r="EM90" s="270"/>
      <c r="EN90" s="270"/>
      <c r="EO90" s="270"/>
      <c r="EP90" s="270"/>
      <c r="EQ90" s="270"/>
      <c r="ER90" s="270"/>
      <c r="ES90" s="270"/>
      <c r="ET90" s="270"/>
      <c r="EU90" s="270"/>
      <c r="EV90" s="270"/>
      <c r="EW90" s="270"/>
      <c r="EX90" s="270"/>
      <c r="EY90" s="270"/>
      <c r="EZ90" s="270"/>
      <c r="FA90" s="270"/>
      <c r="FB90" s="270"/>
      <c r="FC90" s="270"/>
      <c r="FD90" s="270"/>
      <c r="FE90" s="270"/>
      <c r="FF90" s="270"/>
      <c r="FG90" s="270"/>
      <c r="FH90" s="270"/>
      <c r="FI90" s="270"/>
      <c r="FJ90" s="270"/>
      <c r="FK90" s="270"/>
      <c r="FL90" s="270"/>
      <c r="FM90" s="270"/>
      <c r="FN90" s="270"/>
      <c r="FO90" s="270"/>
      <c r="FP90" s="270"/>
      <c r="FQ90" s="270"/>
      <c r="FR90" s="270"/>
      <c r="FS90" s="270"/>
      <c r="FT90" s="270"/>
      <c r="FU90" s="270"/>
      <c r="FV90" s="270"/>
      <c r="FW90" s="270"/>
      <c r="FX90" s="270"/>
      <c r="FY90" s="270"/>
      <c r="FZ90" s="270"/>
      <c r="GA90" s="270"/>
      <c r="GB90" s="270"/>
      <c r="GC90" s="270"/>
      <c r="GD90" s="270"/>
      <c r="GE90" s="270"/>
      <c r="GF90" s="270"/>
      <c r="GG90" s="270"/>
      <c r="GH90" s="270"/>
    </row>
    <row r="91" spans="1:190" s="93" customFormat="1" ht="15" customHeight="1" x14ac:dyDescent="0.2">
      <c r="A91" s="282"/>
      <c r="B91" s="282"/>
      <c r="C91" s="95" t="str">
        <f>"Lender for "&amp;D88</f>
        <v xml:space="preserve">Lender for </v>
      </c>
      <c r="D91" s="99"/>
      <c r="E91" s="274"/>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0"/>
      <c r="BC91" s="270"/>
      <c r="BD91" s="270"/>
      <c r="BE91" s="270"/>
      <c r="BF91" s="270"/>
      <c r="BG91" s="270"/>
      <c r="BH91" s="270"/>
      <c r="BI91" s="270"/>
      <c r="BJ91" s="270"/>
      <c r="BK91" s="270"/>
      <c r="BL91" s="270"/>
      <c r="BM91" s="270"/>
      <c r="BN91" s="270"/>
      <c r="BO91" s="270"/>
      <c r="BP91" s="270"/>
      <c r="BQ91" s="270"/>
      <c r="BR91" s="270"/>
      <c r="BS91" s="270"/>
      <c r="BT91" s="270"/>
      <c r="BU91" s="270"/>
      <c r="BV91" s="270"/>
      <c r="BW91" s="270"/>
      <c r="BX91" s="270"/>
      <c r="BY91" s="270"/>
      <c r="BZ91" s="270"/>
      <c r="CA91" s="270"/>
      <c r="CB91" s="270"/>
      <c r="CC91" s="270"/>
      <c r="CD91" s="270"/>
      <c r="CE91" s="270"/>
      <c r="CF91" s="270"/>
      <c r="CG91" s="270"/>
      <c r="CH91" s="270"/>
      <c r="CI91" s="270"/>
      <c r="CJ91" s="270"/>
      <c r="CK91" s="270"/>
      <c r="CL91" s="270"/>
      <c r="CM91" s="270"/>
      <c r="CN91" s="270"/>
      <c r="CO91" s="270"/>
      <c r="CP91" s="270"/>
      <c r="CQ91" s="270"/>
      <c r="CR91" s="270"/>
      <c r="CS91" s="270"/>
      <c r="CT91" s="270"/>
      <c r="CU91" s="270"/>
      <c r="CV91" s="270"/>
      <c r="CW91" s="270"/>
      <c r="CX91" s="270"/>
      <c r="CY91" s="270"/>
      <c r="CZ91" s="270"/>
      <c r="DA91" s="270"/>
      <c r="DB91" s="270"/>
      <c r="DC91" s="270"/>
      <c r="DD91" s="270"/>
      <c r="DE91" s="270"/>
      <c r="DF91" s="270"/>
      <c r="DG91" s="270"/>
      <c r="DH91" s="270"/>
      <c r="DI91" s="270"/>
      <c r="DJ91" s="270"/>
      <c r="DK91" s="270"/>
      <c r="DL91" s="270"/>
      <c r="DM91" s="270"/>
      <c r="DN91" s="270"/>
      <c r="DO91" s="270"/>
      <c r="DP91" s="270"/>
      <c r="DQ91" s="270"/>
      <c r="DR91" s="270"/>
      <c r="DS91" s="270"/>
      <c r="DT91" s="270"/>
      <c r="DU91" s="270"/>
      <c r="DV91" s="270"/>
      <c r="DW91" s="270"/>
      <c r="DX91" s="270"/>
      <c r="DY91" s="270"/>
      <c r="DZ91" s="270"/>
      <c r="EA91" s="270"/>
      <c r="EB91" s="270"/>
      <c r="EC91" s="270"/>
      <c r="ED91" s="270"/>
      <c r="EE91" s="270"/>
      <c r="EF91" s="270"/>
      <c r="EG91" s="270"/>
      <c r="EH91" s="270"/>
      <c r="EI91" s="270"/>
      <c r="EJ91" s="270"/>
      <c r="EK91" s="270"/>
      <c r="EL91" s="270"/>
      <c r="EM91" s="270"/>
      <c r="EN91" s="270"/>
      <c r="EO91" s="270"/>
      <c r="EP91" s="270"/>
      <c r="EQ91" s="270"/>
      <c r="ER91" s="270"/>
      <c r="ES91" s="270"/>
      <c r="ET91" s="270"/>
      <c r="EU91" s="270"/>
      <c r="EV91" s="270"/>
      <c r="EW91" s="270"/>
      <c r="EX91" s="270"/>
      <c r="EY91" s="270"/>
      <c r="EZ91" s="270"/>
      <c r="FA91" s="270"/>
      <c r="FB91" s="270"/>
      <c r="FC91" s="270"/>
      <c r="FD91" s="270"/>
      <c r="FE91" s="270"/>
      <c r="FF91" s="270"/>
      <c r="FG91" s="270"/>
      <c r="FH91" s="270"/>
      <c r="FI91" s="270"/>
      <c r="FJ91" s="270"/>
      <c r="FK91" s="270"/>
      <c r="FL91" s="270"/>
      <c r="FM91" s="270"/>
      <c r="FN91" s="270"/>
      <c r="FO91" s="270"/>
      <c r="FP91" s="270"/>
      <c r="FQ91" s="270"/>
      <c r="FR91" s="270"/>
      <c r="FS91" s="270"/>
      <c r="FT91" s="270"/>
      <c r="FU91" s="270"/>
      <c r="FV91" s="270"/>
      <c r="FW91" s="270"/>
      <c r="FX91" s="270"/>
      <c r="FY91" s="270"/>
      <c r="FZ91" s="270"/>
      <c r="GA91" s="270"/>
      <c r="GB91" s="270"/>
      <c r="GC91" s="270"/>
      <c r="GD91" s="270"/>
      <c r="GE91" s="270"/>
      <c r="GF91" s="270"/>
      <c r="GG91" s="270"/>
      <c r="GH91" s="270"/>
    </row>
    <row r="92" spans="1:190" s="93" customFormat="1" ht="15" customHeight="1" x14ac:dyDescent="0.2">
      <c r="A92" s="282"/>
      <c r="B92" s="282"/>
      <c r="C92" s="95" t="str">
        <f>"Interest Rate for "&amp;D88</f>
        <v xml:space="preserve">Interest Rate for </v>
      </c>
      <c r="D92" s="292"/>
      <c r="E92" s="275"/>
      <c r="F92" s="270"/>
      <c r="G92" s="270"/>
      <c r="H92" s="270"/>
      <c r="I92" s="270"/>
      <c r="J92" s="270"/>
      <c r="K92" s="270"/>
      <c r="L92" s="270"/>
      <c r="M92" s="270"/>
      <c r="N92" s="270"/>
      <c r="O92" s="270"/>
      <c r="P92" s="270"/>
      <c r="Q92" s="270"/>
      <c r="R92" s="270"/>
      <c r="S92" s="270"/>
      <c r="T92" s="270"/>
      <c r="U92" s="270"/>
      <c r="V92" s="270"/>
      <c r="W92" s="270"/>
      <c r="X92" s="270"/>
      <c r="Y92" s="270"/>
      <c r="Z92" s="270"/>
      <c r="AA92" s="270"/>
      <c r="AB92" s="270"/>
      <c r="AC92" s="270"/>
      <c r="AD92" s="270"/>
      <c r="AE92" s="270"/>
      <c r="AF92" s="270"/>
      <c r="AG92" s="270"/>
      <c r="AH92" s="270"/>
      <c r="AI92" s="270"/>
      <c r="AJ92" s="270"/>
      <c r="AK92" s="270"/>
      <c r="AL92" s="270"/>
      <c r="AM92" s="270"/>
      <c r="AN92" s="270"/>
      <c r="AO92" s="270"/>
      <c r="AP92" s="270"/>
      <c r="AQ92" s="270"/>
      <c r="AR92" s="270"/>
      <c r="AS92" s="270"/>
      <c r="AT92" s="270"/>
      <c r="AU92" s="270"/>
      <c r="AV92" s="270"/>
      <c r="AW92" s="270"/>
      <c r="AX92" s="270"/>
      <c r="AY92" s="270"/>
      <c r="AZ92" s="270"/>
      <c r="BA92" s="270"/>
      <c r="BB92" s="270"/>
      <c r="BC92" s="270"/>
      <c r="BD92" s="270"/>
      <c r="BE92" s="270"/>
      <c r="BF92" s="270"/>
      <c r="BG92" s="270"/>
      <c r="BH92" s="270"/>
      <c r="BI92" s="270"/>
      <c r="BJ92" s="270"/>
      <c r="BK92" s="270"/>
      <c r="BL92" s="270"/>
      <c r="BM92" s="270"/>
      <c r="BN92" s="270"/>
      <c r="BO92" s="270"/>
      <c r="BP92" s="270"/>
      <c r="BQ92" s="270"/>
      <c r="BR92" s="270"/>
      <c r="BS92" s="270"/>
      <c r="BT92" s="270"/>
      <c r="BU92" s="270"/>
      <c r="BV92" s="270"/>
      <c r="BW92" s="270"/>
      <c r="BX92" s="270"/>
      <c r="BY92" s="270"/>
      <c r="BZ92" s="270"/>
      <c r="CA92" s="270"/>
      <c r="CB92" s="270"/>
      <c r="CC92" s="270"/>
      <c r="CD92" s="270"/>
      <c r="CE92" s="270"/>
      <c r="CF92" s="270"/>
      <c r="CG92" s="270"/>
      <c r="CH92" s="270"/>
      <c r="CI92" s="270"/>
      <c r="CJ92" s="270"/>
      <c r="CK92" s="270"/>
      <c r="CL92" s="270"/>
      <c r="CM92" s="270"/>
      <c r="CN92" s="270"/>
      <c r="CO92" s="270"/>
      <c r="CP92" s="270"/>
      <c r="CQ92" s="270"/>
      <c r="CR92" s="270"/>
      <c r="CS92" s="270"/>
      <c r="CT92" s="270"/>
      <c r="CU92" s="270"/>
      <c r="CV92" s="270"/>
      <c r="CW92" s="270"/>
      <c r="CX92" s="270"/>
      <c r="CY92" s="270"/>
      <c r="CZ92" s="270"/>
      <c r="DA92" s="270"/>
      <c r="DB92" s="270"/>
      <c r="DC92" s="270"/>
      <c r="DD92" s="270"/>
      <c r="DE92" s="270"/>
      <c r="DF92" s="270"/>
      <c r="DG92" s="270"/>
      <c r="DH92" s="270"/>
      <c r="DI92" s="270"/>
      <c r="DJ92" s="270"/>
      <c r="DK92" s="270"/>
      <c r="DL92" s="270"/>
      <c r="DM92" s="270"/>
      <c r="DN92" s="270"/>
      <c r="DO92" s="270"/>
      <c r="DP92" s="270"/>
      <c r="DQ92" s="270"/>
      <c r="DR92" s="270"/>
      <c r="DS92" s="270"/>
      <c r="DT92" s="270"/>
      <c r="DU92" s="270"/>
      <c r="DV92" s="270"/>
      <c r="DW92" s="270"/>
      <c r="DX92" s="270"/>
      <c r="DY92" s="270"/>
      <c r="DZ92" s="270"/>
      <c r="EA92" s="270"/>
      <c r="EB92" s="270"/>
      <c r="EC92" s="270"/>
      <c r="ED92" s="270"/>
      <c r="EE92" s="270"/>
      <c r="EF92" s="270"/>
      <c r="EG92" s="270"/>
      <c r="EH92" s="270"/>
      <c r="EI92" s="270"/>
      <c r="EJ92" s="270"/>
      <c r="EK92" s="270"/>
      <c r="EL92" s="270"/>
      <c r="EM92" s="270"/>
      <c r="EN92" s="270"/>
      <c r="EO92" s="270"/>
      <c r="EP92" s="270"/>
      <c r="EQ92" s="270"/>
      <c r="ER92" s="270"/>
      <c r="ES92" s="270"/>
      <c r="ET92" s="270"/>
      <c r="EU92" s="270"/>
      <c r="EV92" s="270"/>
      <c r="EW92" s="270"/>
      <c r="EX92" s="270"/>
      <c r="EY92" s="270"/>
      <c r="EZ92" s="270"/>
      <c r="FA92" s="270"/>
      <c r="FB92" s="270"/>
      <c r="FC92" s="270"/>
      <c r="FD92" s="270"/>
      <c r="FE92" s="270"/>
      <c r="FF92" s="270"/>
      <c r="FG92" s="270"/>
      <c r="FH92" s="270"/>
      <c r="FI92" s="270"/>
      <c r="FJ92" s="270"/>
      <c r="FK92" s="270"/>
      <c r="FL92" s="270"/>
      <c r="FM92" s="270"/>
      <c r="FN92" s="270"/>
      <c r="FO92" s="270"/>
      <c r="FP92" s="270"/>
      <c r="FQ92" s="270"/>
      <c r="FR92" s="270"/>
      <c r="FS92" s="270"/>
      <c r="FT92" s="270"/>
      <c r="FU92" s="270"/>
      <c r="FV92" s="270"/>
      <c r="FW92" s="270"/>
      <c r="FX92" s="270"/>
      <c r="FY92" s="270"/>
      <c r="FZ92" s="270"/>
      <c r="GA92" s="270"/>
      <c r="GB92" s="270"/>
      <c r="GC92" s="270"/>
      <c r="GD92" s="270"/>
      <c r="GE92" s="270"/>
      <c r="GF92" s="270"/>
      <c r="GG92" s="270"/>
      <c r="GH92" s="270"/>
    </row>
    <row r="93" spans="1:190" s="93" customFormat="1" ht="15" customHeight="1" x14ac:dyDescent="0.2">
      <c r="A93" s="282"/>
      <c r="B93" s="282"/>
      <c r="C93" s="95" t="str">
        <f>"Loan Term (Maturity) for "&amp;D88</f>
        <v xml:space="preserve">Loan Term (Maturity) for </v>
      </c>
      <c r="D93" s="102"/>
      <c r="E93" s="318" t="str">
        <f>IF(ROUND(D93,0)&gt;=D85,"","Warning: Loan matures prior to sale of the property")</f>
        <v/>
      </c>
      <c r="F93" s="270"/>
      <c r="G93" s="270"/>
      <c r="H93" s="270"/>
      <c r="I93" s="270"/>
      <c r="J93" s="270"/>
      <c r="K93" s="270"/>
      <c r="L93" s="270"/>
      <c r="M93" s="270"/>
      <c r="N93" s="270"/>
      <c r="O93" s="270"/>
      <c r="P93" s="270"/>
      <c r="Q93" s="270"/>
      <c r="R93" s="270"/>
      <c r="S93" s="270"/>
      <c r="T93" s="270"/>
      <c r="U93" s="270"/>
      <c r="V93" s="270"/>
      <c r="W93" s="270"/>
      <c r="X93" s="270"/>
      <c r="Y93" s="270"/>
      <c r="Z93" s="270"/>
      <c r="AA93" s="270"/>
      <c r="AB93" s="270"/>
      <c r="AC93" s="270"/>
      <c r="AD93" s="270"/>
      <c r="AE93" s="270"/>
      <c r="AF93" s="270"/>
      <c r="AG93" s="270"/>
      <c r="AH93" s="270"/>
      <c r="AI93" s="270"/>
      <c r="AJ93" s="270"/>
      <c r="AK93" s="270"/>
      <c r="AL93" s="270"/>
      <c r="AM93" s="270"/>
      <c r="AN93" s="270"/>
      <c r="AO93" s="270"/>
      <c r="AP93" s="270"/>
      <c r="AQ93" s="270"/>
      <c r="AR93" s="270"/>
      <c r="AS93" s="270"/>
      <c r="AT93" s="270"/>
      <c r="AU93" s="270"/>
      <c r="AV93" s="270"/>
      <c r="AW93" s="270"/>
      <c r="AX93" s="270"/>
      <c r="AY93" s="270"/>
      <c r="AZ93" s="270"/>
      <c r="BA93" s="270"/>
      <c r="BB93" s="270"/>
      <c r="BC93" s="270"/>
      <c r="BD93" s="270"/>
      <c r="BE93" s="270"/>
    </row>
    <row r="94" spans="1:190" s="93" customFormat="1" ht="15" customHeight="1" x14ac:dyDescent="0.2">
      <c r="A94" s="282"/>
      <c r="B94" s="282"/>
      <c r="C94" s="295" t="s">
        <v>364</v>
      </c>
      <c r="D94" s="104"/>
      <c r="E94" s="277"/>
      <c r="F94" s="270"/>
      <c r="G94" s="270"/>
      <c r="H94" s="270"/>
      <c r="I94" s="270"/>
      <c r="J94" s="270"/>
      <c r="K94" s="270"/>
      <c r="L94" s="521"/>
      <c r="M94" s="270"/>
      <c r="N94" s="270"/>
      <c r="O94" s="270"/>
      <c r="P94" s="270"/>
      <c r="Q94" s="270"/>
      <c r="R94" s="270"/>
      <c r="S94" s="270"/>
      <c r="T94" s="270"/>
      <c r="U94" s="270"/>
      <c r="V94" s="270"/>
      <c r="W94" s="270"/>
      <c r="X94" s="270"/>
      <c r="Y94" s="270"/>
      <c r="Z94" s="270"/>
      <c r="AA94" s="270"/>
      <c r="AB94" s="270"/>
      <c r="AC94" s="270"/>
      <c r="AD94" s="270"/>
      <c r="AE94" s="270"/>
      <c r="AF94" s="270"/>
      <c r="AG94" s="270"/>
      <c r="AH94" s="270"/>
      <c r="AI94" s="270"/>
      <c r="AJ94" s="270"/>
      <c r="AK94" s="270"/>
      <c r="AL94" s="270"/>
      <c r="AM94" s="270"/>
      <c r="AN94" s="270"/>
      <c r="AO94" s="270"/>
      <c r="AP94" s="270"/>
      <c r="AQ94" s="270"/>
      <c r="AR94" s="270"/>
      <c r="AS94" s="270"/>
      <c r="AT94" s="270"/>
      <c r="AU94" s="270"/>
      <c r="AV94" s="270"/>
      <c r="AW94" s="270"/>
      <c r="AX94" s="270"/>
      <c r="AY94" s="270"/>
      <c r="AZ94" s="270"/>
      <c r="BA94" s="270"/>
      <c r="BB94" s="270"/>
      <c r="BC94" s="270"/>
      <c r="BD94" s="270"/>
      <c r="BE94" s="270"/>
    </row>
    <row r="95" spans="1:190" x14ac:dyDescent="0.2">
      <c r="C95" s="295" t="s">
        <v>570</v>
      </c>
    </row>
    <row r="98" spans="1:190" s="270" customFormat="1" ht="15" customHeight="1" x14ac:dyDescent="0.2">
      <c r="A98" s="402" t="s">
        <v>424</v>
      </c>
      <c r="B98" s="282"/>
      <c r="C98" s="268" t="s">
        <v>365</v>
      </c>
      <c r="D98" s="293"/>
    </row>
    <row r="99" spans="1:190" s="270" customFormat="1" ht="15" customHeight="1" x14ac:dyDescent="0.2">
      <c r="A99" s="282"/>
      <c r="B99" s="282"/>
      <c r="C99" s="95" t="s">
        <v>369</v>
      </c>
      <c r="D99" s="99"/>
      <c r="E99" s="318"/>
    </row>
    <row r="100" spans="1:190" s="93" customFormat="1" ht="15" customHeight="1" x14ac:dyDescent="0.2">
      <c r="A100" s="282"/>
      <c r="B100" s="282"/>
      <c r="C100" s="95" t="s">
        <v>361</v>
      </c>
      <c r="D100" s="101"/>
      <c r="E100" s="274"/>
      <c r="F100" s="270"/>
      <c r="G100" s="270"/>
      <c r="H100" s="270"/>
      <c r="I100" s="270"/>
      <c r="J100" s="270"/>
      <c r="K100" s="270"/>
      <c r="L100" s="270"/>
      <c r="M100" s="270"/>
      <c r="N100" s="270"/>
      <c r="O100" s="270"/>
      <c r="P100" s="270"/>
      <c r="Q100" s="270"/>
      <c r="R100" s="270"/>
      <c r="S100" s="270"/>
      <c r="T100" s="270"/>
      <c r="U100" s="270"/>
      <c r="V100" s="270"/>
      <c r="W100" s="270"/>
      <c r="X100" s="270"/>
      <c r="Y100" s="270"/>
      <c r="Z100" s="270"/>
      <c r="AA100" s="270"/>
      <c r="AB100" s="270"/>
      <c r="AC100" s="270"/>
      <c r="AD100" s="270"/>
      <c r="AE100" s="270"/>
      <c r="AF100" s="270"/>
      <c r="AG100" s="270"/>
      <c r="AH100" s="270"/>
      <c r="AI100" s="270"/>
      <c r="AJ100" s="270"/>
      <c r="AK100" s="270"/>
      <c r="AL100" s="270"/>
      <c r="AM100" s="27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70"/>
      <c r="BI100" s="270"/>
      <c r="BJ100" s="270"/>
      <c r="BK100" s="270"/>
      <c r="BL100" s="270"/>
      <c r="BM100" s="270"/>
      <c r="BN100" s="270"/>
      <c r="BO100" s="270"/>
      <c r="BP100" s="270"/>
      <c r="BQ100" s="270"/>
      <c r="BR100" s="270"/>
      <c r="BS100" s="270"/>
      <c r="BT100" s="270"/>
      <c r="BU100" s="270"/>
      <c r="BV100" s="270"/>
      <c r="BW100" s="270"/>
      <c r="BX100" s="270"/>
      <c r="BY100" s="270"/>
      <c r="BZ100" s="270"/>
      <c r="CA100" s="270"/>
      <c r="CB100" s="270"/>
      <c r="CC100" s="270"/>
      <c r="CD100" s="270"/>
      <c r="CE100" s="270"/>
      <c r="CF100" s="270"/>
      <c r="CG100" s="270"/>
      <c r="CH100" s="270"/>
      <c r="CI100" s="270"/>
      <c r="CJ100" s="270"/>
      <c r="CK100" s="270"/>
      <c r="CL100" s="270"/>
      <c r="CM100" s="270"/>
      <c r="CN100" s="270"/>
      <c r="CO100" s="270"/>
      <c r="CP100" s="270"/>
      <c r="CQ100" s="270"/>
      <c r="CR100" s="270"/>
      <c r="CS100" s="270"/>
      <c r="CT100" s="270"/>
      <c r="CU100" s="270"/>
      <c r="CV100" s="270"/>
      <c r="CW100" s="270"/>
      <c r="CX100" s="270"/>
      <c r="CY100" s="270"/>
      <c r="CZ100" s="270"/>
      <c r="DA100" s="270"/>
      <c r="DB100" s="270"/>
      <c r="DC100" s="270"/>
      <c r="DD100" s="270"/>
      <c r="DE100" s="270"/>
      <c r="DF100" s="270"/>
      <c r="DG100" s="270"/>
      <c r="DH100" s="270"/>
      <c r="DI100" s="270"/>
      <c r="DJ100" s="270"/>
      <c r="DK100" s="270"/>
      <c r="DL100" s="270"/>
      <c r="DM100" s="270"/>
      <c r="DN100" s="270"/>
      <c r="DO100" s="270"/>
      <c r="DP100" s="270"/>
      <c r="DQ100" s="270"/>
      <c r="DR100" s="270"/>
      <c r="DS100" s="270"/>
      <c r="DT100" s="270"/>
      <c r="DU100" s="270"/>
      <c r="DV100" s="270"/>
      <c r="DW100" s="270"/>
      <c r="DX100" s="270"/>
      <c r="DY100" s="270"/>
      <c r="DZ100" s="270"/>
      <c r="EA100" s="270"/>
      <c r="EB100" s="270"/>
      <c r="EC100" s="270"/>
      <c r="ED100" s="270"/>
      <c r="EE100" s="270"/>
      <c r="EF100" s="270"/>
      <c r="EG100" s="270"/>
      <c r="EH100" s="270"/>
      <c r="EI100" s="270"/>
      <c r="EJ100" s="270"/>
      <c r="EK100" s="270"/>
      <c r="EL100" s="270"/>
      <c r="EM100" s="270"/>
      <c r="EN100" s="270"/>
      <c r="EO100" s="270"/>
      <c r="EP100" s="270"/>
      <c r="EQ100" s="270"/>
      <c r="ER100" s="270"/>
      <c r="ES100" s="270"/>
      <c r="ET100" s="270"/>
      <c r="EU100" s="270"/>
      <c r="EV100" s="270"/>
      <c r="EW100" s="270"/>
      <c r="EX100" s="270"/>
      <c r="EY100" s="270"/>
      <c r="EZ100" s="270"/>
      <c r="FA100" s="270"/>
      <c r="FB100" s="270"/>
      <c r="FC100" s="270"/>
      <c r="FD100" s="270"/>
      <c r="FE100" s="270"/>
      <c r="FF100" s="270"/>
      <c r="FG100" s="270"/>
      <c r="FH100" s="270"/>
      <c r="FI100" s="270"/>
      <c r="FJ100" s="270"/>
      <c r="FK100" s="270"/>
      <c r="FL100" s="270"/>
      <c r="FM100" s="270"/>
      <c r="FN100" s="270"/>
      <c r="FO100" s="270"/>
      <c r="FP100" s="270"/>
      <c r="FQ100" s="270"/>
      <c r="FR100" s="270"/>
      <c r="FS100" s="270"/>
      <c r="FT100" s="270"/>
      <c r="FU100" s="270"/>
      <c r="FV100" s="270"/>
      <c r="FW100" s="270"/>
      <c r="FX100" s="270"/>
      <c r="FY100" s="270"/>
      <c r="FZ100" s="270"/>
      <c r="GA100" s="270"/>
      <c r="GB100" s="270"/>
      <c r="GC100" s="270"/>
      <c r="GD100" s="270"/>
      <c r="GE100" s="270"/>
      <c r="GF100" s="270"/>
      <c r="GG100" s="270"/>
      <c r="GH100" s="270"/>
    </row>
    <row r="101" spans="1:190" s="93" customFormat="1" ht="15" customHeight="1" x14ac:dyDescent="0.2">
      <c r="A101" s="282"/>
      <c r="B101" s="282"/>
      <c r="C101" s="95" t="s">
        <v>407</v>
      </c>
      <c r="D101" s="101"/>
      <c r="E101" s="274"/>
      <c r="F101" s="270"/>
      <c r="G101" s="270"/>
      <c r="H101" s="270"/>
      <c r="I101" s="270"/>
      <c r="J101" s="270"/>
      <c r="K101" s="270"/>
      <c r="L101" s="270"/>
      <c r="M101" s="270"/>
      <c r="N101" s="270"/>
      <c r="O101" s="270"/>
      <c r="P101" s="270"/>
      <c r="Q101" s="270"/>
      <c r="R101" s="270"/>
      <c r="S101" s="270"/>
      <c r="T101" s="270"/>
      <c r="U101" s="270"/>
      <c r="V101" s="270"/>
      <c r="W101" s="270"/>
      <c r="X101" s="270"/>
      <c r="Y101" s="270"/>
      <c r="Z101" s="270"/>
      <c r="AA101" s="270"/>
      <c r="AB101" s="270"/>
      <c r="AC101" s="270"/>
      <c r="AD101" s="270"/>
      <c r="AE101" s="270"/>
      <c r="AF101" s="270"/>
      <c r="AG101" s="270"/>
      <c r="AH101" s="270"/>
      <c r="AI101" s="270"/>
      <c r="AJ101" s="270"/>
      <c r="AK101" s="270"/>
      <c r="AL101" s="270"/>
      <c r="AM101" s="270"/>
      <c r="AN101" s="270"/>
      <c r="AO101" s="270"/>
      <c r="AP101" s="270"/>
      <c r="AQ101" s="270"/>
      <c r="AR101" s="270"/>
      <c r="AS101" s="270"/>
      <c r="AT101" s="270"/>
      <c r="AU101" s="270"/>
      <c r="AV101" s="270"/>
      <c r="AW101" s="270"/>
      <c r="AX101" s="270"/>
      <c r="AY101" s="270"/>
      <c r="AZ101" s="270"/>
      <c r="BA101" s="270"/>
      <c r="BB101" s="270"/>
      <c r="BC101" s="270"/>
      <c r="BD101" s="270"/>
      <c r="BE101" s="270"/>
      <c r="BF101" s="270"/>
      <c r="BG101" s="270"/>
      <c r="BH101" s="270"/>
      <c r="BI101" s="270"/>
      <c r="BJ101" s="270"/>
      <c r="BK101" s="270"/>
      <c r="BL101" s="270"/>
      <c r="BM101" s="270"/>
      <c r="BN101" s="270"/>
      <c r="BO101" s="270"/>
      <c r="BP101" s="270"/>
      <c r="BQ101" s="270"/>
      <c r="BR101" s="270"/>
      <c r="BS101" s="270"/>
      <c r="BT101" s="270"/>
      <c r="BU101" s="270"/>
      <c r="BV101" s="270"/>
      <c r="BW101" s="270"/>
      <c r="BX101" s="270"/>
      <c r="BY101" s="270"/>
      <c r="BZ101" s="270"/>
      <c r="CA101" s="270"/>
      <c r="CB101" s="270"/>
      <c r="CC101" s="270"/>
      <c r="CD101" s="270"/>
      <c r="CE101" s="270"/>
      <c r="CF101" s="270"/>
      <c r="CG101" s="270"/>
      <c r="CH101" s="270"/>
      <c r="CI101" s="270"/>
      <c r="CJ101" s="270"/>
      <c r="CK101" s="270"/>
      <c r="CL101" s="270"/>
      <c r="CM101" s="270"/>
      <c r="CN101" s="270"/>
      <c r="CO101" s="270"/>
      <c r="CP101" s="270"/>
      <c r="CQ101" s="270"/>
      <c r="CR101" s="270"/>
      <c r="CS101" s="270"/>
      <c r="CT101" s="270"/>
      <c r="CU101" s="270"/>
      <c r="CV101" s="270"/>
      <c r="CW101" s="270"/>
      <c r="CX101" s="270"/>
      <c r="CY101" s="270"/>
      <c r="CZ101" s="270"/>
      <c r="DA101" s="270"/>
      <c r="DB101" s="270"/>
      <c r="DC101" s="270"/>
      <c r="DD101" s="270"/>
      <c r="DE101" s="270"/>
      <c r="DF101" s="270"/>
      <c r="DG101" s="270"/>
      <c r="DH101" s="270"/>
      <c r="DI101" s="270"/>
      <c r="DJ101" s="270"/>
      <c r="DK101" s="270"/>
      <c r="DL101" s="270"/>
      <c r="DM101" s="270"/>
      <c r="DN101" s="270"/>
      <c r="DO101" s="270"/>
      <c r="DP101" s="270"/>
      <c r="DQ101" s="270"/>
      <c r="DR101" s="270"/>
      <c r="DS101" s="270"/>
      <c r="DT101" s="270"/>
      <c r="DU101" s="270"/>
      <c r="DV101" s="270"/>
      <c r="DW101" s="270"/>
      <c r="DX101" s="270"/>
      <c r="DY101" s="270"/>
      <c r="DZ101" s="270"/>
      <c r="EA101" s="270"/>
      <c r="EB101" s="270"/>
      <c r="EC101" s="270"/>
      <c r="ED101" s="270"/>
      <c r="EE101" s="270"/>
      <c r="EF101" s="270"/>
      <c r="EG101" s="270"/>
      <c r="EH101" s="270"/>
      <c r="EI101" s="270"/>
      <c r="EJ101" s="270"/>
      <c r="EK101" s="270"/>
      <c r="EL101" s="270"/>
      <c r="EM101" s="270"/>
      <c r="EN101" s="270"/>
      <c r="EO101" s="270"/>
      <c r="EP101" s="270"/>
      <c r="EQ101" s="270"/>
      <c r="ER101" s="270"/>
      <c r="ES101" s="270"/>
      <c r="ET101" s="270"/>
      <c r="EU101" s="270"/>
      <c r="EV101" s="270"/>
      <c r="EW101" s="270"/>
      <c r="EX101" s="270"/>
      <c r="EY101" s="270"/>
      <c r="EZ101" s="270"/>
      <c r="FA101" s="270"/>
      <c r="FB101" s="270"/>
      <c r="FC101" s="270"/>
      <c r="FD101" s="270"/>
      <c r="FE101" s="270"/>
      <c r="FF101" s="270"/>
      <c r="FG101" s="270"/>
      <c r="FH101" s="270"/>
      <c r="FI101" s="270"/>
      <c r="FJ101" s="270"/>
      <c r="FK101" s="270"/>
      <c r="FL101" s="270"/>
      <c r="FM101" s="270"/>
      <c r="FN101" s="270"/>
      <c r="FO101" s="270"/>
      <c r="FP101" s="270"/>
      <c r="FQ101" s="270"/>
      <c r="FR101" s="270"/>
      <c r="FS101" s="270"/>
      <c r="FT101" s="270"/>
      <c r="FU101" s="270"/>
      <c r="FV101" s="270"/>
      <c r="FW101" s="270"/>
      <c r="FX101" s="270"/>
      <c r="FY101" s="270"/>
      <c r="FZ101" s="270"/>
      <c r="GA101" s="270"/>
      <c r="GB101" s="270"/>
      <c r="GC101" s="270"/>
      <c r="GD101" s="270"/>
      <c r="GE101" s="270"/>
      <c r="GF101" s="270"/>
      <c r="GG101" s="270"/>
      <c r="GH101" s="270"/>
    </row>
    <row r="102" spans="1:190" s="93" customFormat="1" ht="15" customHeight="1" x14ac:dyDescent="0.2">
      <c r="A102" s="282"/>
      <c r="B102" s="282"/>
      <c r="C102" s="95" t="s">
        <v>184</v>
      </c>
      <c r="D102" s="99"/>
      <c r="E102" s="274"/>
      <c r="F102" s="270"/>
      <c r="G102" s="270"/>
      <c r="H102" s="270"/>
      <c r="I102" s="270"/>
      <c r="J102" s="270"/>
      <c r="K102" s="270"/>
      <c r="L102" s="270"/>
      <c r="M102" s="270"/>
      <c r="N102" s="270"/>
      <c r="O102" s="270"/>
      <c r="P102" s="270"/>
      <c r="Q102" s="270"/>
      <c r="R102" s="270"/>
      <c r="S102" s="270"/>
      <c r="T102" s="270"/>
      <c r="U102" s="270"/>
      <c r="V102" s="270"/>
      <c r="W102" s="270"/>
      <c r="X102" s="270"/>
      <c r="Y102" s="270"/>
      <c r="Z102" s="270"/>
      <c r="AA102" s="270"/>
      <c r="AB102" s="270"/>
      <c r="AC102" s="270"/>
      <c r="AD102" s="270"/>
      <c r="AE102" s="270"/>
      <c r="AF102" s="270"/>
      <c r="AG102" s="270"/>
      <c r="AH102" s="270"/>
      <c r="AI102" s="270"/>
      <c r="AJ102" s="270"/>
      <c r="AK102" s="270"/>
      <c r="AL102" s="270"/>
      <c r="AM102" s="270"/>
      <c r="AN102" s="270"/>
      <c r="AO102" s="270"/>
      <c r="AP102" s="270"/>
      <c r="AQ102" s="270"/>
      <c r="AR102" s="270"/>
      <c r="AS102" s="270"/>
      <c r="AT102" s="270"/>
      <c r="AU102" s="270"/>
      <c r="AV102" s="270"/>
      <c r="AW102" s="270"/>
      <c r="AX102" s="270"/>
      <c r="AY102" s="270"/>
      <c r="AZ102" s="270"/>
      <c r="BA102" s="270"/>
      <c r="BB102" s="270"/>
      <c r="BC102" s="270"/>
      <c r="BD102" s="270"/>
      <c r="BE102" s="270"/>
      <c r="BF102" s="270"/>
      <c r="BG102" s="270"/>
      <c r="BH102" s="270"/>
      <c r="BI102" s="270"/>
      <c r="BJ102" s="270"/>
      <c r="BK102" s="270"/>
      <c r="BL102" s="270"/>
      <c r="BM102" s="270"/>
      <c r="BN102" s="270"/>
      <c r="BO102" s="270"/>
      <c r="BP102" s="270"/>
      <c r="BQ102" s="270"/>
      <c r="BR102" s="270"/>
      <c r="BS102" s="270"/>
      <c r="BT102" s="270"/>
      <c r="BU102" s="270"/>
      <c r="BV102" s="270"/>
      <c r="BW102" s="270"/>
      <c r="BX102" s="270"/>
      <c r="BY102" s="270"/>
      <c r="BZ102" s="270"/>
      <c r="CA102" s="270"/>
      <c r="CB102" s="270"/>
      <c r="CC102" s="270"/>
      <c r="CD102" s="270"/>
      <c r="CE102" s="270"/>
      <c r="CF102" s="270"/>
      <c r="CG102" s="270"/>
      <c r="CH102" s="270"/>
      <c r="CI102" s="270"/>
      <c r="CJ102" s="270"/>
      <c r="CK102" s="270"/>
      <c r="CL102" s="270"/>
      <c r="CM102" s="270"/>
      <c r="CN102" s="270"/>
      <c r="CO102" s="270"/>
      <c r="CP102" s="270"/>
      <c r="CQ102" s="270"/>
      <c r="CR102" s="270"/>
      <c r="CS102" s="270"/>
      <c r="CT102" s="270"/>
      <c r="CU102" s="270"/>
      <c r="CV102" s="270"/>
      <c r="CW102" s="270"/>
      <c r="CX102" s="270"/>
      <c r="CY102" s="270"/>
      <c r="CZ102" s="270"/>
      <c r="DA102" s="270"/>
      <c r="DB102" s="270"/>
      <c r="DC102" s="270"/>
      <c r="DD102" s="270"/>
      <c r="DE102" s="270"/>
      <c r="DF102" s="270"/>
      <c r="DG102" s="270"/>
      <c r="DH102" s="270"/>
      <c r="DI102" s="270"/>
      <c r="DJ102" s="270"/>
      <c r="DK102" s="270"/>
      <c r="DL102" s="270"/>
      <c r="DM102" s="270"/>
      <c r="DN102" s="270"/>
      <c r="DO102" s="270"/>
      <c r="DP102" s="270"/>
      <c r="DQ102" s="270"/>
      <c r="DR102" s="270"/>
      <c r="DS102" s="270"/>
      <c r="DT102" s="270"/>
      <c r="DU102" s="270"/>
      <c r="DV102" s="270"/>
      <c r="DW102" s="270"/>
      <c r="DX102" s="270"/>
      <c r="DY102" s="270"/>
      <c r="DZ102" s="270"/>
      <c r="EA102" s="270"/>
      <c r="EB102" s="270"/>
      <c r="EC102" s="270"/>
      <c r="ED102" s="270"/>
      <c r="EE102" s="270"/>
      <c r="EF102" s="270"/>
      <c r="EG102" s="270"/>
      <c r="EH102" s="270"/>
      <c r="EI102" s="270"/>
      <c r="EJ102" s="270"/>
      <c r="EK102" s="270"/>
      <c r="EL102" s="270"/>
      <c r="EM102" s="270"/>
      <c r="EN102" s="270"/>
      <c r="EO102" s="270"/>
      <c r="EP102" s="270"/>
      <c r="EQ102" s="270"/>
      <c r="ER102" s="270"/>
      <c r="ES102" s="270"/>
      <c r="ET102" s="270"/>
      <c r="EU102" s="270"/>
      <c r="EV102" s="270"/>
      <c r="EW102" s="270"/>
      <c r="EX102" s="270"/>
      <c r="EY102" s="270"/>
      <c r="EZ102" s="270"/>
      <c r="FA102" s="270"/>
      <c r="FB102" s="270"/>
      <c r="FC102" s="270"/>
      <c r="FD102" s="270"/>
      <c r="FE102" s="270"/>
      <c r="FF102" s="270"/>
      <c r="FG102" s="270"/>
      <c r="FH102" s="270"/>
      <c r="FI102" s="270"/>
      <c r="FJ102" s="270"/>
      <c r="FK102" s="270"/>
      <c r="FL102" s="270"/>
      <c r="FM102" s="270"/>
      <c r="FN102" s="270"/>
      <c r="FO102" s="270"/>
      <c r="FP102" s="270"/>
      <c r="FQ102" s="270"/>
      <c r="FR102" s="270"/>
      <c r="FS102" s="270"/>
      <c r="FT102" s="270"/>
      <c r="FU102" s="270"/>
      <c r="FV102" s="270"/>
      <c r="FW102" s="270"/>
      <c r="FX102" s="270"/>
      <c r="FY102" s="270"/>
      <c r="FZ102" s="270"/>
      <c r="GA102" s="270"/>
      <c r="GB102" s="270"/>
      <c r="GC102" s="270"/>
      <c r="GD102" s="270"/>
      <c r="GE102" s="270"/>
      <c r="GF102" s="270"/>
      <c r="GG102" s="270"/>
      <c r="GH102" s="270"/>
    </row>
    <row r="103" spans="1:190" s="93" customFormat="1" ht="15" customHeight="1" x14ac:dyDescent="0.2">
      <c r="A103" s="282"/>
      <c r="B103" s="282"/>
      <c r="C103" s="95" t="s">
        <v>362</v>
      </c>
      <c r="D103" s="292"/>
      <c r="E103" s="275"/>
      <c r="F103" s="270"/>
      <c r="G103" s="270"/>
      <c r="H103" s="270"/>
      <c r="I103" s="270"/>
      <c r="J103" s="270"/>
      <c r="K103" s="270"/>
      <c r="L103" s="270"/>
      <c r="M103" s="270"/>
      <c r="N103" s="270"/>
      <c r="O103" s="270"/>
      <c r="P103" s="270"/>
      <c r="Q103" s="270"/>
      <c r="R103" s="270"/>
      <c r="S103" s="270"/>
      <c r="T103" s="270"/>
      <c r="U103" s="270"/>
      <c r="V103" s="270"/>
      <c r="W103" s="270"/>
      <c r="X103" s="270"/>
      <c r="Y103" s="270"/>
      <c r="Z103" s="270"/>
      <c r="AA103" s="270"/>
      <c r="AB103" s="270"/>
      <c r="AC103" s="270"/>
      <c r="AD103" s="270"/>
      <c r="AE103" s="270"/>
      <c r="AF103" s="270"/>
      <c r="AG103" s="270"/>
      <c r="AH103" s="270"/>
      <c r="AI103" s="270"/>
      <c r="AJ103" s="270"/>
      <c r="AK103" s="270"/>
      <c r="AL103" s="270"/>
      <c r="AM103" s="270"/>
      <c r="AN103" s="270"/>
      <c r="AO103" s="270"/>
      <c r="AP103" s="270"/>
      <c r="AQ103" s="270"/>
      <c r="AR103" s="270"/>
      <c r="AS103" s="270"/>
      <c r="AT103" s="270"/>
      <c r="AU103" s="270"/>
      <c r="AV103" s="270"/>
      <c r="AW103" s="270"/>
      <c r="AX103" s="270"/>
      <c r="AY103" s="270"/>
      <c r="AZ103" s="270"/>
      <c r="BA103" s="270"/>
      <c r="BB103" s="270"/>
      <c r="BC103" s="270"/>
      <c r="BD103" s="270"/>
      <c r="BE103" s="270"/>
      <c r="BF103" s="270"/>
      <c r="BG103" s="270"/>
      <c r="BH103" s="270"/>
      <c r="BI103" s="270"/>
      <c r="BJ103" s="270"/>
      <c r="BK103" s="270"/>
      <c r="BL103" s="270"/>
      <c r="BM103" s="270"/>
      <c r="BN103" s="270"/>
      <c r="BO103" s="270"/>
      <c r="BP103" s="270"/>
      <c r="BQ103" s="270"/>
      <c r="BR103" s="270"/>
      <c r="BS103" s="270"/>
      <c r="BT103" s="270"/>
      <c r="BU103" s="270"/>
      <c r="BV103" s="270"/>
      <c r="BW103" s="270"/>
      <c r="BX103" s="270"/>
      <c r="BY103" s="270"/>
      <c r="BZ103" s="270"/>
      <c r="CA103" s="270"/>
      <c r="CB103" s="270"/>
      <c r="CC103" s="270"/>
      <c r="CD103" s="270"/>
      <c r="CE103" s="270"/>
      <c r="CF103" s="270"/>
      <c r="CG103" s="270"/>
      <c r="CH103" s="270"/>
      <c r="CI103" s="270"/>
      <c r="CJ103" s="270"/>
      <c r="CK103" s="270"/>
      <c r="CL103" s="270"/>
      <c r="CM103" s="270"/>
      <c r="CN103" s="270"/>
      <c r="CO103" s="270"/>
      <c r="CP103" s="270"/>
      <c r="CQ103" s="270"/>
      <c r="CR103" s="270"/>
      <c r="CS103" s="270"/>
      <c r="CT103" s="270"/>
      <c r="CU103" s="270"/>
      <c r="CV103" s="270"/>
      <c r="CW103" s="270"/>
      <c r="CX103" s="270"/>
      <c r="CY103" s="270"/>
      <c r="CZ103" s="270"/>
      <c r="DA103" s="270"/>
      <c r="DB103" s="270"/>
      <c r="DC103" s="270"/>
      <c r="DD103" s="270"/>
      <c r="DE103" s="270"/>
      <c r="DF103" s="270"/>
      <c r="DG103" s="270"/>
      <c r="DH103" s="270"/>
      <c r="DI103" s="270"/>
      <c r="DJ103" s="270"/>
      <c r="DK103" s="270"/>
      <c r="DL103" s="270"/>
      <c r="DM103" s="270"/>
      <c r="DN103" s="270"/>
      <c r="DO103" s="270"/>
      <c r="DP103" s="270"/>
      <c r="DQ103" s="270"/>
      <c r="DR103" s="270"/>
      <c r="DS103" s="270"/>
      <c r="DT103" s="270"/>
      <c r="DU103" s="270"/>
      <c r="DV103" s="270"/>
      <c r="DW103" s="270"/>
      <c r="DX103" s="270"/>
      <c r="DY103" s="270"/>
      <c r="DZ103" s="270"/>
      <c r="EA103" s="270"/>
      <c r="EB103" s="270"/>
      <c r="EC103" s="270"/>
      <c r="ED103" s="270"/>
      <c r="EE103" s="270"/>
      <c r="EF103" s="270"/>
      <c r="EG103" s="270"/>
      <c r="EH103" s="270"/>
      <c r="EI103" s="270"/>
      <c r="EJ103" s="270"/>
      <c r="EK103" s="270"/>
      <c r="EL103" s="270"/>
      <c r="EM103" s="270"/>
      <c r="EN103" s="270"/>
      <c r="EO103" s="270"/>
      <c r="EP103" s="270"/>
      <c r="EQ103" s="270"/>
      <c r="ER103" s="270"/>
      <c r="ES103" s="270"/>
      <c r="ET103" s="270"/>
      <c r="EU103" s="270"/>
      <c r="EV103" s="270"/>
      <c r="EW103" s="270"/>
      <c r="EX103" s="270"/>
      <c r="EY103" s="270"/>
      <c r="EZ103" s="270"/>
      <c r="FA103" s="270"/>
      <c r="FB103" s="270"/>
      <c r="FC103" s="270"/>
      <c r="FD103" s="270"/>
      <c r="FE103" s="270"/>
      <c r="FF103" s="270"/>
      <c r="FG103" s="270"/>
      <c r="FH103" s="270"/>
      <c r="FI103" s="270"/>
      <c r="FJ103" s="270"/>
      <c r="FK103" s="270"/>
      <c r="FL103" s="270"/>
      <c r="FM103" s="270"/>
      <c r="FN103" s="270"/>
      <c r="FO103" s="270"/>
      <c r="FP103" s="270"/>
      <c r="FQ103" s="270"/>
      <c r="FR103" s="270"/>
      <c r="FS103" s="270"/>
      <c r="FT103" s="270"/>
      <c r="FU103" s="270"/>
      <c r="FV103" s="270"/>
      <c r="FW103" s="270"/>
      <c r="FX103" s="270"/>
      <c r="FY103" s="270"/>
      <c r="FZ103" s="270"/>
      <c r="GA103" s="270"/>
      <c r="GB103" s="270"/>
      <c r="GC103" s="270"/>
      <c r="GD103" s="270"/>
      <c r="GE103" s="270"/>
      <c r="GF103" s="270"/>
      <c r="GG103" s="270"/>
      <c r="GH103" s="270"/>
    </row>
    <row r="104" spans="1:190" s="93" customFormat="1" ht="15" customHeight="1" x14ac:dyDescent="0.2">
      <c r="A104" s="282"/>
      <c r="B104" s="282"/>
      <c r="C104" s="95" t="s">
        <v>363</v>
      </c>
      <c r="D104" s="102"/>
      <c r="E104" s="318" t="str">
        <f>IF(ROUND(D104,0)&gt;=D96,"","Warning: Loan matures prior to sale of the property")</f>
        <v/>
      </c>
      <c r="F104" s="270"/>
      <c r="G104" s="270"/>
      <c r="H104" s="270"/>
      <c r="I104" s="270"/>
      <c r="J104" s="270"/>
      <c r="K104" s="270"/>
      <c r="L104" s="521"/>
      <c r="M104" s="270"/>
      <c r="N104" s="270"/>
      <c r="O104" s="270"/>
      <c r="P104" s="270"/>
      <c r="Q104" s="270"/>
      <c r="R104" s="270"/>
      <c r="S104" s="270"/>
      <c r="T104" s="270"/>
      <c r="U104" s="270"/>
      <c r="V104" s="270"/>
      <c r="W104" s="270"/>
      <c r="X104" s="270"/>
      <c r="Y104" s="270"/>
      <c r="Z104" s="270"/>
      <c r="AA104" s="270"/>
      <c r="AB104" s="270"/>
      <c r="AC104" s="270"/>
      <c r="AD104" s="270"/>
      <c r="AE104" s="270"/>
      <c r="AF104" s="270"/>
      <c r="AG104" s="270"/>
      <c r="AH104" s="270"/>
      <c r="AI104" s="270"/>
      <c r="AJ104" s="270"/>
      <c r="AK104" s="270"/>
      <c r="AL104" s="270"/>
      <c r="AM104" s="270"/>
      <c r="AN104" s="270"/>
      <c r="AO104" s="270"/>
      <c r="AP104" s="270"/>
      <c r="AQ104" s="270"/>
      <c r="AR104" s="270"/>
      <c r="AS104" s="270"/>
      <c r="AT104" s="270"/>
      <c r="AU104" s="270"/>
      <c r="AV104" s="270"/>
      <c r="AW104" s="270"/>
      <c r="AX104" s="270"/>
      <c r="AY104" s="270"/>
      <c r="AZ104" s="270"/>
      <c r="BA104" s="270"/>
      <c r="BB104" s="270"/>
      <c r="BC104" s="270"/>
      <c r="BD104" s="270"/>
      <c r="BE104" s="270"/>
    </row>
    <row r="105" spans="1:190" s="93" customFormat="1" ht="15" customHeight="1" x14ac:dyDescent="0.2">
      <c r="A105" s="282"/>
      <c r="B105" s="282"/>
      <c r="C105" s="295" t="s">
        <v>364</v>
      </c>
      <c r="D105" s="104"/>
      <c r="E105" s="277"/>
      <c r="F105" s="270"/>
      <c r="G105" s="270"/>
      <c r="H105" s="270"/>
      <c r="I105" s="270"/>
      <c r="J105" s="270"/>
      <c r="K105" s="270"/>
      <c r="L105" s="270"/>
      <c r="M105" s="270"/>
      <c r="N105" s="270"/>
      <c r="O105" s="270"/>
      <c r="P105" s="270"/>
      <c r="Q105" s="270"/>
      <c r="R105" s="270"/>
      <c r="S105" s="270"/>
      <c r="T105" s="270"/>
      <c r="U105" s="270"/>
      <c r="V105" s="270"/>
      <c r="W105" s="270"/>
      <c r="X105" s="270"/>
      <c r="Y105" s="270"/>
      <c r="Z105" s="270"/>
      <c r="AA105" s="270"/>
      <c r="AB105" s="270"/>
      <c r="AC105" s="270"/>
      <c r="AD105" s="270"/>
      <c r="AE105" s="270"/>
      <c r="AF105" s="270"/>
      <c r="AG105" s="270"/>
      <c r="AH105" s="270"/>
      <c r="AI105" s="270"/>
      <c r="AJ105" s="270"/>
      <c r="AK105" s="270"/>
      <c r="AL105" s="270"/>
      <c r="AM105" s="270"/>
      <c r="AN105" s="270"/>
      <c r="AO105" s="270"/>
      <c r="AP105" s="270"/>
      <c r="AQ105" s="270"/>
      <c r="AR105" s="270"/>
      <c r="AS105" s="270"/>
      <c r="AT105" s="270"/>
      <c r="AU105" s="270"/>
      <c r="AV105" s="270"/>
      <c r="AW105" s="270"/>
      <c r="AX105" s="270"/>
      <c r="AY105" s="270"/>
      <c r="AZ105" s="270"/>
      <c r="BA105" s="270"/>
      <c r="BB105" s="270"/>
      <c r="BC105" s="270"/>
      <c r="BD105" s="270"/>
      <c r="BE105" s="270"/>
    </row>
    <row r="106" spans="1:190" x14ac:dyDescent="0.2">
      <c r="C106" s="295" t="s">
        <v>570</v>
      </c>
    </row>
    <row r="108" spans="1:190" x14ac:dyDescent="0.2">
      <c r="C108" s="728"/>
      <c r="D108" s="729"/>
      <c r="E108" s="729"/>
      <c r="F108" s="729"/>
      <c r="G108" s="729"/>
      <c r="H108" s="730"/>
    </row>
    <row r="110" spans="1:190" ht="15" x14ac:dyDescent="0.2">
      <c r="C110" s="44" t="s">
        <v>533</v>
      </c>
      <c r="D110" s="392"/>
      <c r="L110" s="520"/>
    </row>
  </sheetData>
  <sheetProtection formatColumns="0"/>
  <mergeCells count="9">
    <mergeCell ref="C108:H108"/>
    <mergeCell ref="C48:H48"/>
    <mergeCell ref="D1:F1"/>
    <mergeCell ref="E19:G19"/>
    <mergeCell ref="C38:H38"/>
    <mergeCell ref="C26:H26"/>
    <mergeCell ref="E21:H21"/>
    <mergeCell ref="C24:H24"/>
    <mergeCell ref="C36:H36"/>
  </mergeCells>
  <dataValidations count="1">
    <dataValidation type="list" allowBlank="1" showInputMessage="1" showErrorMessage="1" sqref="D45 D80 D90 D101 D70 D59" xr:uid="{00000000-0002-0000-0900-000000000000}">
      <formula1>$J$41:$K$41</formula1>
    </dataValidation>
  </dataValidations>
  <pageMargins left="0.7" right="0.7" top="0.75" bottom="0.75" header="0.3" footer="0.3"/>
  <pageSetup scale="58" fitToHeight="0" orientation="portrait" r:id="rId1"/>
  <rowBreaks count="1" manualBreakCount="1">
    <brk id="51" min="2"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6477" r:id="rId4" name="Button 93">
              <controlPr defaultSize="0" print="0" autoFill="0" autoPict="0" macro="[0]!HideFMS">
                <anchor moveWithCells="1" sizeWithCells="1">
                  <from>
                    <xdr:col>6</xdr:col>
                    <xdr:colOff>171450</xdr:colOff>
                    <xdr:row>9</xdr:row>
                    <xdr:rowOff>142875</xdr:rowOff>
                  </from>
                  <to>
                    <xdr:col>7</xdr:col>
                    <xdr:colOff>1123950</xdr:colOff>
                    <xdr:row>11</xdr:row>
                    <xdr:rowOff>95250</xdr:rowOff>
                  </to>
                </anchor>
              </controlPr>
            </control>
          </mc:Choice>
        </mc:AlternateContent>
        <mc:AlternateContent xmlns:mc="http://schemas.openxmlformats.org/markup-compatibility/2006">
          <mc:Choice Requires="x14">
            <control shapeId="16478" r:id="rId5" name="Button 94">
              <controlPr defaultSize="0" print="0" autoFill="0" autoPict="0" macro="[0]!ShowFMS">
                <anchor moveWithCells="1" sizeWithCells="1">
                  <from>
                    <xdr:col>6</xdr:col>
                    <xdr:colOff>171450</xdr:colOff>
                    <xdr:row>12</xdr:row>
                    <xdr:rowOff>95250</xdr:rowOff>
                  </from>
                  <to>
                    <xdr:col>7</xdr:col>
                    <xdr:colOff>1123950</xdr:colOff>
                    <xdr:row>14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BF56"/>
  <sheetViews>
    <sheetView showGridLines="0" zoomScaleNormal="100" workbookViewId="0">
      <selection activeCell="C5" sqref="C5:F5"/>
    </sheetView>
  </sheetViews>
  <sheetFormatPr defaultColWidth="15.7109375" defaultRowHeight="15" customHeight="1" x14ac:dyDescent="0.2"/>
  <cols>
    <col min="1" max="1" width="4.28515625" style="93" customWidth="1"/>
    <col min="2" max="2" width="1.7109375" style="93" customWidth="1"/>
    <col min="3" max="3" width="54.28515625" style="94" customWidth="1"/>
    <col min="4" max="4" width="21.5703125" style="94" customWidth="1"/>
    <col min="5" max="5" width="12" style="94" customWidth="1"/>
    <col min="6" max="6" width="56.140625" style="94" customWidth="1"/>
    <col min="7" max="7" width="1.42578125" style="93" customWidth="1"/>
    <col min="8" max="8" width="19.28515625" style="93" customWidth="1"/>
    <col min="9" max="14" width="15.7109375" style="93" customWidth="1"/>
    <col min="15" max="15" width="18" style="93" customWidth="1"/>
    <col min="16" max="17" width="6.85546875" style="93" customWidth="1"/>
    <col min="18" max="16384" width="15.7109375" style="93"/>
  </cols>
  <sheetData>
    <row r="1" spans="1:17" ht="30" customHeight="1" x14ac:dyDescent="0.2">
      <c r="C1" s="92" t="s">
        <v>346</v>
      </c>
      <c r="D1" s="93"/>
      <c r="E1" s="556"/>
      <c r="F1" s="549" t="s">
        <v>59</v>
      </c>
    </row>
    <row r="2" spans="1:17" ht="15" customHeight="1" x14ac:dyDescent="0.2">
      <c r="C2" s="93"/>
      <c r="D2" s="93"/>
      <c r="E2" s="93"/>
      <c r="F2" s="93"/>
      <c r="H2" s="321"/>
    </row>
    <row r="3" spans="1:17" ht="15.75" customHeight="1" x14ac:dyDescent="0.2">
      <c r="C3" s="455" t="str">
        <f>Requirements!C4</f>
        <v>Project Name - Sample Project : 20 Units</v>
      </c>
      <c r="H3" s="523"/>
    </row>
    <row r="4" spans="1:17" ht="15" customHeight="1" x14ac:dyDescent="0.2">
      <c r="H4" s="326"/>
      <c r="O4" s="737" t="s">
        <v>418</v>
      </c>
      <c r="P4" s="536"/>
      <c r="Q4" s="536"/>
    </row>
    <row r="5" spans="1:17" ht="145.5" customHeight="1" x14ac:dyDescent="0.2">
      <c r="C5" s="722" t="s">
        <v>752</v>
      </c>
      <c r="D5" s="722"/>
      <c r="E5" s="722"/>
      <c r="F5" s="722"/>
      <c r="H5" s="523"/>
      <c r="O5" s="737"/>
      <c r="P5" s="536"/>
      <c r="Q5" s="536"/>
    </row>
    <row r="6" spans="1:17" ht="15" customHeight="1" x14ac:dyDescent="0.2">
      <c r="H6" s="326"/>
      <c r="M6" s="523"/>
      <c r="O6" s="737"/>
      <c r="P6" s="536"/>
      <c r="Q6" s="536"/>
    </row>
    <row r="7" spans="1:17" ht="15" customHeight="1" x14ac:dyDescent="0.2">
      <c r="A7" s="402" t="s">
        <v>424</v>
      </c>
      <c r="C7" s="126" t="s">
        <v>452</v>
      </c>
      <c r="D7" s="323" t="s">
        <v>25</v>
      </c>
      <c r="E7" s="323" t="s">
        <v>417</v>
      </c>
      <c r="F7" s="323" t="s">
        <v>273</v>
      </c>
      <c r="H7" s="523"/>
      <c r="O7" s="737"/>
      <c r="P7" s="536"/>
      <c r="Q7" s="536"/>
    </row>
    <row r="8" spans="1:17" ht="15" customHeight="1" x14ac:dyDescent="0.2">
      <c r="A8" s="515" t="s">
        <v>424</v>
      </c>
      <c r="C8" s="108" t="s">
        <v>545</v>
      </c>
      <c r="D8" s="316">
        <f>'First Mortgage Sizing'!D44</f>
        <v>150000</v>
      </c>
      <c r="E8" s="554" t="str">
        <f t="shared" ref="E8:E13" si="0">+N8</f>
        <v>No</v>
      </c>
      <c r="F8" s="320"/>
      <c r="H8" s="338">
        <f>+'First Mortgage Sizing'!D43</f>
        <v>170000</v>
      </c>
      <c r="I8" s="93" t="s">
        <v>571</v>
      </c>
      <c r="M8" s="534" t="str">
        <f>+'First Mortgage Sizing'!D34</f>
        <v>ABC Mortgage</v>
      </c>
      <c r="N8" s="535" t="str">
        <f>+'First Mortgage Sizing'!D45</f>
        <v>No</v>
      </c>
      <c r="O8" s="537">
        <f t="shared" ref="O8:O22" si="1">IF(E8="Yes",D8,0)</f>
        <v>0</v>
      </c>
      <c r="P8" s="538" t="s">
        <v>235</v>
      </c>
      <c r="Q8" s="538" t="s">
        <v>236</v>
      </c>
    </row>
    <row r="9" spans="1:17" ht="15" customHeight="1" x14ac:dyDescent="0.2">
      <c r="C9" s="108" t="s">
        <v>372</v>
      </c>
      <c r="D9" s="316">
        <f>+'First Mortgage Sizing'!D58</f>
        <v>0</v>
      </c>
      <c r="E9" s="554">
        <f t="shared" si="0"/>
        <v>0</v>
      </c>
      <c r="F9" s="320"/>
      <c r="M9" s="534">
        <f>+'First Mortgage Sizing'!D60</f>
        <v>0</v>
      </c>
      <c r="N9" s="535">
        <f>+'First Mortgage Sizing'!D59</f>
        <v>0</v>
      </c>
      <c r="O9" s="537">
        <f t="shared" si="1"/>
        <v>0</v>
      </c>
      <c r="P9" s="536"/>
      <c r="Q9" s="536"/>
    </row>
    <row r="10" spans="1:17" ht="15" customHeight="1" x14ac:dyDescent="0.2">
      <c r="C10" s="604" t="str">
        <f>IF(OR('First Mortgage Sizing'!D68=0,'First Mortgage Sizing'!D68=""),"",'First Mortgage Sizing'!D68)</f>
        <v>HOME</v>
      </c>
      <c r="D10" s="316">
        <f>+'First Mortgage Sizing'!D69</f>
        <v>1400000</v>
      </c>
      <c r="E10" s="554" t="str">
        <f t="shared" si="0"/>
        <v>Yes</v>
      </c>
      <c r="F10" s="320"/>
      <c r="M10" s="534" t="str">
        <f>+'First Mortgage Sizing'!D71</f>
        <v>PJ</v>
      </c>
      <c r="N10" s="535" t="str">
        <f>+'First Mortgage Sizing'!D70</f>
        <v>Yes</v>
      </c>
      <c r="O10" s="537">
        <f t="shared" si="1"/>
        <v>1400000</v>
      </c>
      <c r="P10" s="536"/>
      <c r="Q10" s="536"/>
    </row>
    <row r="11" spans="1:17" ht="15" customHeight="1" x14ac:dyDescent="0.2">
      <c r="C11" s="604" t="str">
        <f>IF(OR('First Mortgage Sizing'!D78=0,'First Mortgage Sizing'!D78=""),"",'First Mortgage Sizing'!D78)</f>
        <v/>
      </c>
      <c r="D11" s="316">
        <f>+'First Mortgage Sizing'!D79</f>
        <v>0</v>
      </c>
      <c r="E11" s="554">
        <f t="shared" si="0"/>
        <v>0</v>
      </c>
      <c r="F11" s="320"/>
      <c r="M11" s="534">
        <f>+'First Mortgage Sizing'!D81</f>
        <v>0</v>
      </c>
      <c r="N11" s="535">
        <f>+'First Mortgage Sizing'!D80</f>
        <v>0</v>
      </c>
      <c r="O11" s="537">
        <f t="shared" si="1"/>
        <v>0</v>
      </c>
      <c r="P11" s="536"/>
      <c r="Q11" s="536"/>
    </row>
    <row r="12" spans="1:17" ht="15" customHeight="1" x14ac:dyDescent="0.2">
      <c r="C12" s="604" t="str">
        <f>IF(OR('First Mortgage Sizing'!D88=0,'First Mortgage Sizing'!D88=""),"",'First Mortgage Sizing'!D88)</f>
        <v/>
      </c>
      <c r="D12" s="316">
        <f>+'First Mortgage Sizing'!D89</f>
        <v>0</v>
      </c>
      <c r="E12" s="554">
        <f t="shared" si="0"/>
        <v>0</v>
      </c>
      <c r="F12" s="320"/>
      <c r="M12" s="534">
        <f>+'First Mortgage Sizing'!D91</f>
        <v>0</v>
      </c>
      <c r="N12" s="535">
        <f>+'First Mortgage Sizing'!D90</f>
        <v>0</v>
      </c>
      <c r="O12" s="537">
        <f t="shared" si="1"/>
        <v>0</v>
      </c>
      <c r="P12" s="536"/>
      <c r="Q12" s="536"/>
    </row>
    <row r="13" spans="1:17" ht="15" customHeight="1" x14ac:dyDescent="0.2">
      <c r="A13" s="523"/>
      <c r="C13" s="604" t="str">
        <f>IF(OR('First Mortgage Sizing'!D99=0,'First Mortgage Sizing'!D99=""),"",'First Mortgage Sizing'!D99)</f>
        <v/>
      </c>
      <c r="D13" s="316">
        <f>+'First Mortgage Sizing'!D100</f>
        <v>0</v>
      </c>
      <c r="E13" s="554">
        <f t="shared" si="0"/>
        <v>0</v>
      </c>
      <c r="F13" s="320"/>
      <c r="M13" s="534">
        <f>+'First Mortgage Sizing'!D102</f>
        <v>0</v>
      </c>
      <c r="N13" s="535">
        <f>+'First Mortgage Sizing'!D101</f>
        <v>0</v>
      </c>
      <c r="O13" s="537">
        <f t="shared" si="1"/>
        <v>0</v>
      </c>
      <c r="P13" s="536"/>
      <c r="Q13" s="536"/>
    </row>
    <row r="14" spans="1:17" ht="15" customHeight="1" x14ac:dyDescent="0.2">
      <c r="A14" s="402" t="s">
        <v>424</v>
      </c>
      <c r="C14" s="319" t="s">
        <v>399</v>
      </c>
      <c r="D14" s="101">
        <v>39000</v>
      </c>
      <c r="E14" s="555"/>
      <c r="F14" s="320"/>
      <c r="M14" s="324"/>
      <c r="O14" s="537">
        <f t="shared" si="1"/>
        <v>0</v>
      </c>
      <c r="P14" s="536"/>
      <c r="Q14" s="536"/>
    </row>
    <row r="15" spans="1:17" ht="15" customHeight="1" x14ac:dyDescent="0.2">
      <c r="A15" s="402" t="s">
        <v>424</v>
      </c>
      <c r="C15" s="105" t="s">
        <v>370</v>
      </c>
      <c r="D15" s="101"/>
      <c r="E15" s="555"/>
      <c r="F15" s="325"/>
      <c r="O15" s="537">
        <f t="shared" si="1"/>
        <v>0</v>
      </c>
      <c r="P15" s="536"/>
      <c r="Q15" s="536"/>
    </row>
    <row r="16" spans="1:17" ht="15" customHeight="1" x14ac:dyDescent="0.2">
      <c r="A16" s="515" t="s">
        <v>424</v>
      </c>
      <c r="C16" s="95" t="s">
        <v>546</v>
      </c>
      <c r="D16" s="101">
        <v>450000</v>
      </c>
      <c r="E16" s="555"/>
      <c r="F16" s="325"/>
      <c r="H16" s="338">
        <f>+'LIHTC Basis'!D53</f>
        <v>452448</v>
      </c>
      <c r="I16" s="93" t="s">
        <v>572</v>
      </c>
      <c r="L16" s="523"/>
      <c r="O16" s="537">
        <f t="shared" si="1"/>
        <v>0</v>
      </c>
      <c r="P16" s="536"/>
      <c r="Q16" s="536"/>
    </row>
    <row r="17" spans="1:58" ht="15" customHeight="1" x14ac:dyDescent="0.2">
      <c r="A17" s="402" t="s">
        <v>424</v>
      </c>
      <c r="C17" s="325"/>
      <c r="D17" s="101"/>
      <c r="E17" s="555"/>
      <c r="F17" s="325"/>
      <c r="O17" s="537">
        <f t="shared" si="1"/>
        <v>0</v>
      </c>
      <c r="P17" s="536"/>
      <c r="Q17" s="536"/>
    </row>
    <row r="18" spans="1:58" ht="15" customHeight="1" x14ac:dyDescent="0.2">
      <c r="C18" s="325"/>
      <c r="D18" s="101"/>
      <c r="E18" s="555"/>
      <c r="F18" s="325"/>
      <c r="O18" s="537">
        <f t="shared" si="1"/>
        <v>0</v>
      </c>
      <c r="P18" s="536"/>
      <c r="Q18" s="536"/>
    </row>
    <row r="19" spans="1:58" ht="15" customHeight="1" x14ac:dyDescent="0.2">
      <c r="C19" s="325"/>
      <c r="D19" s="101"/>
      <c r="E19" s="555"/>
      <c r="F19" s="325"/>
      <c r="O19" s="537">
        <f t="shared" si="1"/>
        <v>0</v>
      </c>
      <c r="P19" s="536"/>
      <c r="Q19" s="536"/>
    </row>
    <row r="20" spans="1:58" ht="15" customHeight="1" x14ac:dyDescent="0.2">
      <c r="C20" s="325"/>
      <c r="D20" s="101"/>
      <c r="E20" s="555"/>
      <c r="F20" s="325"/>
      <c r="O20" s="537">
        <f t="shared" si="1"/>
        <v>0</v>
      </c>
      <c r="P20" s="536"/>
      <c r="Q20" s="536"/>
    </row>
    <row r="21" spans="1:58" ht="15" customHeight="1" x14ac:dyDescent="0.2">
      <c r="C21" s="325"/>
      <c r="D21" s="101"/>
      <c r="E21" s="555"/>
      <c r="F21" s="325"/>
      <c r="O21" s="537">
        <f t="shared" si="1"/>
        <v>0</v>
      </c>
      <c r="P21" s="536"/>
      <c r="Q21" s="536"/>
    </row>
    <row r="22" spans="1:58" ht="15" customHeight="1" x14ac:dyDescent="0.2">
      <c r="C22" s="325"/>
      <c r="D22" s="101"/>
      <c r="E22" s="555"/>
      <c r="F22" s="325"/>
      <c r="O22" s="537">
        <f t="shared" si="1"/>
        <v>0</v>
      </c>
      <c r="P22" s="536"/>
      <c r="Q22" s="536"/>
    </row>
    <row r="23" spans="1:58" ht="15" customHeight="1" x14ac:dyDescent="0.2">
      <c r="C23" s="109" t="s">
        <v>371</v>
      </c>
      <c r="D23" s="317">
        <f>ROUND(SUM(D7:D22),0)</f>
        <v>2039000</v>
      </c>
      <c r="F23" s="93"/>
      <c r="G23" s="270"/>
      <c r="H23" s="270"/>
      <c r="I23" s="270"/>
      <c r="J23" s="270"/>
      <c r="K23" s="270"/>
      <c r="L23" s="270"/>
      <c r="M23" s="270"/>
      <c r="N23" s="270"/>
      <c r="O23" s="539">
        <f>ROUND(SUM(O7:O22),0)</f>
        <v>1400000</v>
      </c>
      <c r="P23" s="536"/>
      <c r="Q23" s="536"/>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row>
    <row r="24" spans="1:58" ht="15" customHeight="1" x14ac:dyDescent="0.2">
      <c r="H24" s="523"/>
    </row>
    <row r="25" spans="1:58" ht="15" customHeight="1" x14ac:dyDescent="0.2">
      <c r="A25" s="402" t="s">
        <v>424</v>
      </c>
      <c r="C25" s="94" t="s">
        <v>408</v>
      </c>
      <c r="D25" s="345">
        <f>+O23</f>
        <v>1400000</v>
      </c>
      <c r="E25" s="345"/>
    </row>
    <row r="26" spans="1:58" ht="15" customHeight="1" x14ac:dyDescent="0.2">
      <c r="A26" s="402" t="s">
        <v>424</v>
      </c>
      <c r="C26" s="94" t="s">
        <v>400</v>
      </c>
      <c r="D26" s="345">
        <f>+D14+D15</f>
        <v>39000</v>
      </c>
      <c r="E26" s="345"/>
      <c r="F26" s="94" t="s">
        <v>534</v>
      </c>
    </row>
    <row r="27" spans="1:58" ht="15" customHeight="1" x14ac:dyDescent="0.2">
      <c r="C27" s="93"/>
      <c r="D27" s="56"/>
      <c r="E27" s="56"/>
      <c r="F27" s="100"/>
    </row>
    <row r="28" spans="1:58" ht="15" customHeight="1" x14ac:dyDescent="0.2">
      <c r="A28" s="402" t="s">
        <v>424</v>
      </c>
      <c r="C28" s="126" t="s">
        <v>373</v>
      </c>
      <c r="D28" s="323" t="s">
        <v>25</v>
      </c>
      <c r="E28" s="738" t="s">
        <v>273</v>
      </c>
      <c r="F28" s="738"/>
    </row>
    <row r="29" spans="1:58" ht="15" customHeight="1" x14ac:dyDescent="0.2">
      <c r="C29" s="319" t="s">
        <v>104</v>
      </c>
      <c r="D29" s="316">
        <f>SUM('Development Costs'!D4:D8)</f>
        <v>300000</v>
      </c>
      <c r="E29" s="739"/>
      <c r="F29" s="740"/>
    </row>
    <row r="30" spans="1:58" ht="15" customHeight="1" x14ac:dyDescent="0.2">
      <c r="C30" s="319" t="s">
        <v>173</v>
      </c>
      <c r="D30" s="316">
        <f>SUM('Development Costs'!D8:D17)</f>
        <v>1000</v>
      </c>
      <c r="E30" s="739"/>
      <c r="F30" s="740"/>
    </row>
    <row r="31" spans="1:58" ht="15" customHeight="1" x14ac:dyDescent="0.2">
      <c r="C31" s="319" t="s">
        <v>223</v>
      </c>
      <c r="D31" s="316">
        <f>SUM('Development Costs'!D17:D30)</f>
        <v>1035000</v>
      </c>
      <c r="E31" s="739"/>
      <c r="F31" s="740"/>
    </row>
    <row r="32" spans="1:58" ht="15" customHeight="1" x14ac:dyDescent="0.2">
      <c r="C32" s="319" t="s">
        <v>375</v>
      </c>
      <c r="D32" s="316">
        <f>SUM('Development Costs'!D30:D35)</f>
        <v>30000</v>
      </c>
      <c r="E32" s="739"/>
      <c r="F32" s="740"/>
      <c r="G32" s="106"/>
    </row>
    <row r="33" spans="3:9" ht="15" customHeight="1" x14ac:dyDescent="0.2">
      <c r="C33" s="319" t="s">
        <v>102</v>
      </c>
      <c r="D33" s="316">
        <f>SUM('Development Costs'!D35:D54)</f>
        <v>235000</v>
      </c>
      <c r="E33" s="739"/>
      <c r="F33" s="740"/>
    </row>
    <row r="34" spans="3:9" ht="15" customHeight="1" x14ac:dyDescent="0.2">
      <c r="C34" s="319" t="s">
        <v>379</v>
      </c>
      <c r="D34" s="316">
        <f>+'Development Costs'!D57</f>
        <v>0</v>
      </c>
      <c r="E34" s="739"/>
      <c r="F34" s="740"/>
      <c r="H34" s="523"/>
    </row>
    <row r="35" spans="3:9" ht="15" customHeight="1" x14ac:dyDescent="0.2">
      <c r="C35" s="319" t="s">
        <v>218</v>
      </c>
      <c r="D35" s="316">
        <f>SUM('Development Costs'!D54:D65)-D34</f>
        <v>15000</v>
      </c>
      <c r="E35" s="739"/>
      <c r="F35" s="740"/>
    </row>
    <row r="36" spans="3:9" ht="15" customHeight="1" x14ac:dyDescent="0.2">
      <c r="C36" s="319" t="s">
        <v>376</v>
      </c>
      <c r="D36" s="316">
        <f>SUM('Development Costs'!D65:D75)-D37</f>
        <v>58000</v>
      </c>
      <c r="E36" s="739"/>
      <c r="F36" s="740"/>
    </row>
    <row r="37" spans="3:9" ht="15" customHeight="1" x14ac:dyDescent="0.2">
      <c r="C37" s="319" t="s">
        <v>101</v>
      </c>
      <c r="D37" s="316">
        <f>+'Development Costs'!D74</f>
        <v>240000</v>
      </c>
      <c r="E37" s="739"/>
      <c r="F37" s="740"/>
      <c r="I37" s="322"/>
    </row>
    <row r="38" spans="3:9" ht="15" customHeight="1" x14ac:dyDescent="0.2">
      <c r="C38" s="319" t="s">
        <v>100</v>
      </c>
      <c r="D38" s="316">
        <f>SUM('Development Costs'!D75:D83)</f>
        <v>120000</v>
      </c>
      <c r="E38" s="739"/>
      <c r="F38" s="740"/>
      <c r="I38" s="322"/>
    </row>
    <row r="39" spans="3:9" ht="15" customHeight="1" x14ac:dyDescent="0.2">
      <c r="C39" s="319" t="s">
        <v>377</v>
      </c>
      <c r="D39" s="316">
        <f>SUM('Development Costs'!D83:D90)</f>
        <v>5000</v>
      </c>
      <c r="E39" s="739"/>
      <c r="F39" s="740"/>
      <c r="I39" s="322"/>
    </row>
    <row r="40" spans="3:9" ht="15" customHeight="1" x14ac:dyDescent="0.2">
      <c r="C40" s="319" t="s">
        <v>172</v>
      </c>
      <c r="D40" s="316">
        <f>D41-SUM(D28:D39)</f>
        <v>0</v>
      </c>
      <c r="E40" s="739"/>
      <c r="F40" s="740"/>
      <c r="I40" s="322"/>
    </row>
    <row r="41" spans="3:9" ht="15" customHeight="1" x14ac:dyDescent="0.2">
      <c r="C41" s="109" t="s">
        <v>378</v>
      </c>
      <c r="D41" s="317">
        <f>ROUND('Development Costs'!D98,0)</f>
        <v>2039000</v>
      </c>
      <c r="E41" s="399"/>
      <c r="F41" s="107"/>
      <c r="I41" s="322"/>
    </row>
    <row r="42" spans="3:9" ht="15" customHeight="1" x14ac:dyDescent="0.2">
      <c r="F42" s="107"/>
      <c r="I42" s="322"/>
    </row>
    <row r="43" spans="3:9" ht="15" customHeight="1" x14ac:dyDescent="0.2">
      <c r="C43" s="94" t="s">
        <v>410</v>
      </c>
      <c r="D43" s="345">
        <f>+D41-(D23-D25)</f>
        <v>1400000</v>
      </c>
      <c r="E43" s="489" t="s">
        <v>535</v>
      </c>
      <c r="F43" s="107"/>
      <c r="I43" s="523"/>
    </row>
    <row r="44" spans="3:9" ht="15" customHeight="1" x14ac:dyDescent="0.2">
      <c r="F44" s="107"/>
      <c r="I44" s="322"/>
    </row>
    <row r="45" spans="3:9" ht="15" customHeight="1" x14ac:dyDescent="0.2">
      <c r="C45" s="326" t="str">
        <f>IF(H45=0,"",IF(H45&gt;0,"Inadequate sources of funds; "&amp;TEXT($H$45,"$#,##0")&amp;" of additional sources are needed","Excess sources of funds; sources need to be reduced by "&amp;TEXT(-$H$45,"$#,##0")))</f>
        <v/>
      </c>
      <c r="D45" s="93"/>
      <c r="E45" s="93"/>
      <c r="F45" s="93"/>
      <c r="G45" s="125"/>
      <c r="H45" s="540">
        <f>+D41-D23</f>
        <v>0</v>
      </c>
      <c r="I45" s="523"/>
    </row>
    <row r="46" spans="3:9" ht="15" customHeight="1" x14ac:dyDescent="0.2">
      <c r="C46" s="326"/>
      <c r="D46" s="93"/>
      <c r="E46" s="93"/>
      <c r="F46" s="93"/>
      <c r="G46" s="125"/>
      <c r="H46" s="540"/>
      <c r="I46" s="523"/>
    </row>
    <row r="47" spans="3:9" ht="15" customHeight="1" x14ac:dyDescent="0.2">
      <c r="C47" s="669"/>
      <c r="D47" s="670"/>
      <c r="E47" s="670"/>
      <c r="F47" s="671"/>
      <c r="G47" s="125"/>
      <c r="H47" s="595"/>
      <c r="I47" s="523"/>
    </row>
    <row r="48" spans="3:9" ht="15" customHeight="1" x14ac:dyDescent="0.2">
      <c r="C48" s="93"/>
      <c r="D48" s="93"/>
      <c r="E48" s="93"/>
      <c r="F48" s="93"/>
    </row>
    <row r="49" spans="3:9" ht="15" customHeight="1" x14ac:dyDescent="0.2">
      <c r="C49" s="44" t="s">
        <v>550</v>
      </c>
      <c r="D49" s="93"/>
      <c r="E49" s="93"/>
      <c r="F49" s="93"/>
      <c r="I49" s="523"/>
    </row>
    <row r="50" spans="3:9" ht="15" customHeight="1" x14ac:dyDescent="0.2">
      <c r="C50" s="93" t="s">
        <v>551</v>
      </c>
      <c r="D50" s="93"/>
      <c r="E50" s="93"/>
      <c r="F50" s="93"/>
    </row>
    <row r="51" spans="3:9" ht="15" customHeight="1" x14ac:dyDescent="0.2">
      <c r="C51" s="93"/>
      <c r="D51" s="93"/>
      <c r="E51" s="93"/>
      <c r="F51" s="93"/>
    </row>
    <row r="52" spans="3:9" ht="15" customHeight="1" x14ac:dyDescent="0.2">
      <c r="C52" s="93"/>
      <c r="D52" s="93"/>
      <c r="E52" s="93"/>
      <c r="F52" s="93"/>
    </row>
    <row r="53" spans="3:9" ht="15" customHeight="1" x14ac:dyDescent="0.2">
      <c r="C53" s="93"/>
      <c r="D53" s="93"/>
      <c r="E53" s="93"/>
      <c r="F53" s="93"/>
    </row>
    <row r="54" spans="3:9" ht="15" customHeight="1" x14ac:dyDescent="0.2">
      <c r="C54" s="93"/>
      <c r="D54" s="93"/>
      <c r="E54" s="93"/>
      <c r="F54" s="93"/>
    </row>
    <row r="55" spans="3:9" ht="15" customHeight="1" x14ac:dyDescent="0.2">
      <c r="C55" s="93"/>
      <c r="D55" s="93"/>
      <c r="E55" s="93"/>
      <c r="F55" s="93"/>
    </row>
    <row r="56" spans="3:9" ht="15" customHeight="1" x14ac:dyDescent="0.2">
      <c r="C56" s="93"/>
      <c r="D56" s="93"/>
      <c r="E56" s="93"/>
      <c r="F56" s="93"/>
    </row>
  </sheetData>
  <sheetProtection formatColumns="0"/>
  <mergeCells count="16">
    <mergeCell ref="C47:F47"/>
    <mergeCell ref="E36:F36"/>
    <mergeCell ref="E37:F37"/>
    <mergeCell ref="E38:F38"/>
    <mergeCell ref="E39:F39"/>
    <mergeCell ref="E40:F40"/>
    <mergeCell ref="E31:F31"/>
    <mergeCell ref="E32:F32"/>
    <mergeCell ref="E33:F33"/>
    <mergeCell ref="E34:F34"/>
    <mergeCell ref="E35:F35"/>
    <mergeCell ref="O4:O7"/>
    <mergeCell ref="E28:F28"/>
    <mergeCell ref="E29:F29"/>
    <mergeCell ref="E30:F30"/>
    <mergeCell ref="C5:F5"/>
  </mergeCells>
  <phoneticPr fontId="0" type="noConversion"/>
  <dataValidations disablePrompts="1" count="1">
    <dataValidation type="list" allowBlank="1" showInputMessage="1" showErrorMessage="1" sqref="E14:E22" xr:uid="{00000000-0002-0000-0A00-000000000000}">
      <formula1>$P$8:$Q$8</formula1>
    </dataValidation>
  </dataValidations>
  <printOptions horizontalCentered="1"/>
  <pageMargins left="0.5" right="0.5" top="1" bottom="1" header="0.5" footer="0.5"/>
  <pageSetup scale="67" orientation="portrait" r:id="rId1"/>
  <headerFooter alignWithMargins="0">
    <oddHeader>&amp;L&amp;F&amp;R&amp;A</oddHeader>
    <oddFooter>&amp;LPage &amp;P of &amp;N&amp;RPrinted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42" r:id="rId4" name="Button 122">
              <controlPr defaultSize="0" print="0" autoFill="0" autoPict="0" macro="[0]!HideSU">
                <anchor moveWithCells="1" sizeWithCells="1">
                  <from>
                    <xdr:col>5</xdr:col>
                    <xdr:colOff>800100</xdr:colOff>
                    <xdr:row>1</xdr:row>
                    <xdr:rowOff>171450</xdr:rowOff>
                  </from>
                  <to>
                    <xdr:col>5</xdr:col>
                    <xdr:colOff>2800350</xdr:colOff>
                    <xdr:row>3</xdr:row>
                    <xdr:rowOff>57150</xdr:rowOff>
                  </to>
                </anchor>
              </controlPr>
            </control>
          </mc:Choice>
        </mc:AlternateContent>
        <mc:AlternateContent xmlns:mc="http://schemas.openxmlformats.org/markup-compatibility/2006">
          <mc:Choice Requires="x14">
            <control shapeId="5243" r:id="rId5" name="Button 123">
              <controlPr defaultSize="0" print="0" autoFill="0" autoPict="0" macro="[0]!ShowSU">
                <anchor moveWithCells="1" sizeWithCells="1">
                  <from>
                    <xdr:col>5</xdr:col>
                    <xdr:colOff>800100</xdr:colOff>
                    <xdr:row>22</xdr:row>
                    <xdr:rowOff>171450</xdr:rowOff>
                  </from>
                  <to>
                    <xdr:col>5</xdr:col>
                    <xdr:colOff>2800350</xdr:colOff>
                    <xdr:row>24</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autoPageBreaks="0" fitToPage="1"/>
  </sheetPr>
  <dimension ref="A1:AF667"/>
  <sheetViews>
    <sheetView showGridLines="0" zoomScale="124" zoomScaleNormal="124" zoomScaleSheetLayoutView="70" workbookViewId="0">
      <pane xSplit="4" ySplit="7" topLeftCell="E8" activePane="bottomRight" state="frozen"/>
      <selection activeCell="C49" sqref="C49:D49"/>
      <selection pane="topRight" activeCell="C49" sqref="C49:D49"/>
      <selection pane="bottomLeft" activeCell="C49" sqref="C49:D49"/>
      <selection pane="bottomRight" activeCell="C135" sqref="C135"/>
    </sheetView>
  </sheetViews>
  <sheetFormatPr defaultColWidth="9.140625" defaultRowHeight="12.75" x14ac:dyDescent="0.2"/>
  <cols>
    <col min="1" max="1" width="4.28515625" customWidth="1"/>
    <col min="2" max="2" width="1.85546875" customWidth="1"/>
    <col min="3" max="3" width="55.5703125" customWidth="1"/>
    <col min="4" max="4" width="14.28515625" style="498" customWidth="1"/>
    <col min="5" max="6" width="12.28515625" customWidth="1"/>
    <col min="7" max="29" width="12.5703125" style="16" customWidth="1"/>
    <col min="30" max="30" width="1.85546875" customWidth="1"/>
    <col min="31" max="31" width="12.5703125" customWidth="1"/>
  </cols>
  <sheetData>
    <row r="1" spans="1:32" s="7" customFormat="1" ht="22.5" customHeight="1" x14ac:dyDescent="0.2">
      <c r="A1" s="485" t="s">
        <v>424</v>
      </c>
      <c r="C1" s="484" t="s">
        <v>487</v>
      </c>
      <c r="D1" s="714" t="s">
        <v>59</v>
      </c>
      <c r="E1" s="714"/>
      <c r="F1" s="714"/>
      <c r="G1" s="69"/>
      <c r="H1" s="69"/>
      <c r="I1" s="69"/>
      <c r="J1" s="69"/>
      <c r="K1" s="69"/>
      <c r="L1" s="69"/>
      <c r="M1" s="69"/>
      <c r="N1" s="69"/>
      <c r="O1" s="69"/>
      <c r="P1" s="69"/>
      <c r="Q1" s="69"/>
      <c r="R1" s="69"/>
      <c r="S1" s="69"/>
      <c r="T1" s="69"/>
      <c r="U1" s="69"/>
      <c r="V1" s="69"/>
      <c r="W1" s="69"/>
      <c r="X1" s="69"/>
      <c r="Y1" s="69"/>
      <c r="Z1" s="69"/>
      <c r="AA1" s="69"/>
      <c r="AB1" s="69"/>
      <c r="AC1" s="69"/>
    </row>
    <row r="2" spans="1:32" s="3" customFormat="1" ht="17.25" customHeight="1" x14ac:dyDescent="0.25">
      <c r="C2" s="29" t="str">
        <f>Requirements!C4</f>
        <v>Project Name - Sample Project : 20 Units</v>
      </c>
      <c r="D2" s="499"/>
      <c r="E2" s="500"/>
      <c r="F2" s="500"/>
      <c r="G2" s="468"/>
      <c r="H2" s="468"/>
      <c r="I2" s="468"/>
      <c r="J2" s="468"/>
      <c r="K2" s="468"/>
      <c r="L2" s="468"/>
      <c r="M2" s="468"/>
      <c r="N2" s="468"/>
      <c r="O2" s="468"/>
      <c r="P2" s="468"/>
      <c r="Q2" s="468"/>
      <c r="R2" s="468"/>
      <c r="S2" s="468"/>
      <c r="T2" s="468"/>
      <c r="U2" s="468"/>
      <c r="V2" s="468"/>
      <c r="W2" s="468"/>
      <c r="X2" s="468"/>
      <c r="Y2" s="468"/>
      <c r="Z2" s="468"/>
      <c r="AA2" s="468"/>
      <c r="AB2" s="468"/>
      <c r="AC2" s="468"/>
    </row>
    <row r="3" spans="1:32" x14ac:dyDescent="0.2">
      <c r="C3" s="12"/>
      <c r="E3" s="541">
        <v>0</v>
      </c>
      <c r="F3" s="541">
        <v>1</v>
      </c>
      <c r="G3" s="541">
        <f>+F3+1</f>
        <v>2</v>
      </c>
      <c r="H3" s="541">
        <f t="shared" ref="H3:Q3" si="0">+G3+1</f>
        <v>3</v>
      </c>
      <c r="I3" s="541">
        <f t="shared" si="0"/>
        <v>4</v>
      </c>
      <c r="J3" s="541">
        <f t="shared" si="0"/>
        <v>5</v>
      </c>
      <c r="K3" s="541">
        <f t="shared" si="0"/>
        <v>6</v>
      </c>
      <c r="L3" s="541">
        <f t="shared" si="0"/>
        <v>7</v>
      </c>
      <c r="M3" s="541">
        <f t="shared" si="0"/>
        <v>8</v>
      </c>
      <c r="N3" s="541">
        <f t="shared" si="0"/>
        <v>9</v>
      </c>
      <c r="O3" s="541">
        <f t="shared" si="0"/>
        <v>10</v>
      </c>
      <c r="P3" s="541">
        <f t="shared" si="0"/>
        <v>11</v>
      </c>
      <c r="Q3" s="541">
        <f t="shared" si="0"/>
        <v>12</v>
      </c>
      <c r="R3" s="541">
        <f t="shared" ref="R3:AC3" si="1">+Q3+1</f>
        <v>13</v>
      </c>
      <c r="S3" s="541">
        <f t="shared" si="1"/>
        <v>14</v>
      </c>
      <c r="T3" s="541">
        <f t="shared" si="1"/>
        <v>15</v>
      </c>
      <c r="U3" s="541">
        <f t="shared" si="1"/>
        <v>16</v>
      </c>
      <c r="V3" s="541">
        <f t="shared" si="1"/>
        <v>17</v>
      </c>
      <c r="W3" s="541">
        <f t="shared" si="1"/>
        <v>18</v>
      </c>
      <c r="X3" s="541">
        <f t="shared" si="1"/>
        <v>19</v>
      </c>
      <c r="Y3" s="541">
        <f t="shared" si="1"/>
        <v>20</v>
      </c>
      <c r="Z3" s="541">
        <f t="shared" si="1"/>
        <v>21</v>
      </c>
      <c r="AA3" s="541">
        <f t="shared" si="1"/>
        <v>22</v>
      </c>
      <c r="AB3" s="541">
        <f t="shared" si="1"/>
        <v>23</v>
      </c>
      <c r="AC3" s="541">
        <f t="shared" si="1"/>
        <v>24</v>
      </c>
    </row>
    <row r="4" spans="1:32" ht="12.75" customHeight="1" x14ac:dyDescent="0.2">
      <c r="A4" s="513"/>
      <c r="C4" s="501" t="s">
        <v>106</v>
      </c>
      <c r="D4" s="502">
        <f>ROUND('Development Costs'!D104,0)</f>
        <v>0</v>
      </c>
      <c r="E4" s="513"/>
      <c r="F4" s="743" t="str">
        <f t="shared" ref="F4:AC4" si="2">IF(F3=$D$4,"Construction Completion",IF(F3=$D$4+$D$5,"Const. Loan Payoff",""))</f>
        <v/>
      </c>
      <c r="G4" s="743" t="str">
        <f t="shared" si="2"/>
        <v/>
      </c>
      <c r="H4" s="743" t="str">
        <f t="shared" si="2"/>
        <v/>
      </c>
      <c r="I4" s="743" t="str">
        <f t="shared" si="2"/>
        <v/>
      </c>
      <c r="J4" s="743" t="str">
        <f t="shared" si="2"/>
        <v/>
      </c>
      <c r="K4" s="743" t="str">
        <f t="shared" si="2"/>
        <v/>
      </c>
      <c r="L4" s="743" t="str">
        <f t="shared" si="2"/>
        <v/>
      </c>
      <c r="M4" s="743" t="str">
        <f t="shared" si="2"/>
        <v/>
      </c>
      <c r="N4" s="743" t="str">
        <f t="shared" si="2"/>
        <v/>
      </c>
      <c r="O4" s="743" t="str">
        <f t="shared" si="2"/>
        <v/>
      </c>
      <c r="P4" s="743" t="str">
        <f t="shared" si="2"/>
        <v/>
      </c>
      <c r="Q4" s="743" t="str">
        <f t="shared" si="2"/>
        <v/>
      </c>
      <c r="R4" s="743" t="str">
        <f t="shared" si="2"/>
        <v/>
      </c>
      <c r="S4" s="743" t="str">
        <f t="shared" si="2"/>
        <v/>
      </c>
      <c r="T4" s="743" t="str">
        <f t="shared" si="2"/>
        <v/>
      </c>
      <c r="U4" s="743" t="str">
        <f t="shared" si="2"/>
        <v/>
      </c>
      <c r="V4" s="743" t="str">
        <f t="shared" si="2"/>
        <v/>
      </c>
      <c r="W4" s="743" t="str">
        <f t="shared" si="2"/>
        <v/>
      </c>
      <c r="X4" s="743" t="str">
        <f t="shared" si="2"/>
        <v/>
      </c>
      <c r="Y4" s="743" t="str">
        <f t="shared" si="2"/>
        <v/>
      </c>
      <c r="Z4" s="743" t="str">
        <f t="shared" si="2"/>
        <v/>
      </c>
      <c r="AA4" s="743" t="str">
        <f t="shared" si="2"/>
        <v/>
      </c>
      <c r="AB4" s="743" t="str">
        <f t="shared" si="2"/>
        <v/>
      </c>
      <c r="AC4" s="743" t="str">
        <f t="shared" si="2"/>
        <v/>
      </c>
    </row>
    <row r="5" spans="1:32" x14ac:dyDescent="0.2">
      <c r="A5" s="513"/>
      <c r="C5" s="501" t="s">
        <v>297</v>
      </c>
      <c r="D5" s="502">
        <f>ROUND('Development Costs'!D105,0)</f>
        <v>0</v>
      </c>
      <c r="E5" s="513"/>
      <c r="F5" s="743"/>
      <c r="G5" s="743"/>
      <c r="H5" s="743"/>
      <c r="I5" s="743"/>
      <c r="J5" s="743"/>
      <c r="K5" s="743"/>
      <c r="L5" s="743"/>
      <c r="M5" s="743"/>
      <c r="N5" s="743"/>
      <c r="O5" s="743"/>
      <c r="P5" s="743"/>
      <c r="Q5" s="743"/>
      <c r="R5" s="743"/>
      <c r="S5" s="743"/>
      <c r="T5" s="743"/>
      <c r="U5" s="743"/>
      <c r="V5" s="743"/>
      <c r="W5" s="743"/>
      <c r="X5" s="743"/>
      <c r="Y5" s="743"/>
      <c r="Z5" s="743"/>
      <c r="AA5" s="743"/>
      <c r="AB5" s="743"/>
      <c r="AC5" s="743"/>
    </row>
    <row r="6" spans="1:32" x14ac:dyDescent="0.2">
      <c r="C6" s="12"/>
      <c r="D6" s="263"/>
      <c r="E6" s="513"/>
      <c r="F6" s="744"/>
      <c r="G6" s="744"/>
      <c r="H6" s="744"/>
      <c r="I6" s="744"/>
      <c r="J6" s="744"/>
      <c r="K6" s="744"/>
      <c r="L6" s="744"/>
      <c r="M6" s="744"/>
      <c r="N6" s="744"/>
      <c r="O6" s="744"/>
      <c r="P6" s="744"/>
      <c r="Q6" s="744"/>
      <c r="R6" s="744"/>
      <c r="S6" s="744"/>
      <c r="T6" s="744"/>
      <c r="U6" s="744"/>
      <c r="V6" s="744"/>
      <c r="W6" s="744"/>
      <c r="X6" s="744"/>
      <c r="Y6" s="744"/>
      <c r="Z6" s="744"/>
      <c r="AA6" s="744"/>
      <c r="AB6" s="744"/>
      <c r="AC6" s="744"/>
      <c r="AE6" s="513"/>
    </row>
    <row r="7" spans="1:32" s="3" customFormat="1" ht="41.25" customHeight="1" x14ac:dyDescent="0.2">
      <c r="A7" s="485" t="s">
        <v>424</v>
      </c>
      <c r="C7" s="53" t="s">
        <v>489</v>
      </c>
      <c r="D7" s="491" t="s">
        <v>5</v>
      </c>
      <c r="E7" s="491" t="s">
        <v>488</v>
      </c>
      <c r="F7" s="491" t="str">
        <f>"Month "&amp;F3</f>
        <v>Month 1</v>
      </c>
      <c r="G7" s="491" t="str">
        <f t="shared" ref="G7:Q7" si="3">"Month "&amp;G3</f>
        <v>Month 2</v>
      </c>
      <c r="H7" s="491" t="str">
        <f t="shared" si="3"/>
        <v>Month 3</v>
      </c>
      <c r="I7" s="491" t="str">
        <f t="shared" si="3"/>
        <v>Month 4</v>
      </c>
      <c r="J7" s="491" t="str">
        <f t="shared" si="3"/>
        <v>Month 5</v>
      </c>
      <c r="K7" s="491" t="str">
        <f t="shared" si="3"/>
        <v>Month 6</v>
      </c>
      <c r="L7" s="491" t="str">
        <f t="shared" si="3"/>
        <v>Month 7</v>
      </c>
      <c r="M7" s="491" t="str">
        <f t="shared" si="3"/>
        <v>Month 8</v>
      </c>
      <c r="N7" s="491" t="str">
        <f t="shared" si="3"/>
        <v>Month 9</v>
      </c>
      <c r="O7" s="491" t="str">
        <f t="shared" si="3"/>
        <v>Month 10</v>
      </c>
      <c r="P7" s="491" t="str">
        <f t="shared" si="3"/>
        <v>Month 11</v>
      </c>
      <c r="Q7" s="491" t="str">
        <f t="shared" si="3"/>
        <v>Month 12</v>
      </c>
      <c r="R7" s="491" t="str">
        <f t="shared" ref="R7:AC7" si="4">"Month "&amp;R3</f>
        <v>Month 13</v>
      </c>
      <c r="S7" s="491" t="str">
        <f t="shared" si="4"/>
        <v>Month 14</v>
      </c>
      <c r="T7" s="491" t="str">
        <f t="shared" si="4"/>
        <v>Month 15</v>
      </c>
      <c r="U7" s="491" t="str">
        <f t="shared" si="4"/>
        <v>Month 16</v>
      </c>
      <c r="V7" s="491" t="str">
        <f t="shared" si="4"/>
        <v>Month 17</v>
      </c>
      <c r="W7" s="491" t="str">
        <f t="shared" si="4"/>
        <v>Month 18</v>
      </c>
      <c r="X7" s="491" t="str">
        <f t="shared" si="4"/>
        <v>Month 19</v>
      </c>
      <c r="Y7" s="491" t="str">
        <f t="shared" si="4"/>
        <v>Month 20</v>
      </c>
      <c r="Z7" s="491" t="str">
        <f t="shared" si="4"/>
        <v>Month 21</v>
      </c>
      <c r="AA7" s="491" t="str">
        <f t="shared" si="4"/>
        <v>Month 22</v>
      </c>
      <c r="AB7" s="491" t="str">
        <f t="shared" si="4"/>
        <v>Month 23</v>
      </c>
      <c r="AC7" s="491" t="str">
        <f t="shared" si="4"/>
        <v>Month 24</v>
      </c>
      <c r="AE7" s="491" t="s">
        <v>548</v>
      </c>
    </row>
    <row r="8" spans="1:32" s="3" customFormat="1" x14ac:dyDescent="0.2">
      <c r="C8" s="215" t="s">
        <v>104</v>
      </c>
      <c r="D8" s="492"/>
      <c r="E8" s="492"/>
      <c r="F8" s="492"/>
      <c r="G8" s="492"/>
      <c r="H8" s="492"/>
      <c r="I8" s="492"/>
      <c r="J8" s="492"/>
      <c r="K8" s="492"/>
      <c r="L8" s="492"/>
      <c r="M8" s="492"/>
      <c r="N8" s="492"/>
      <c r="O8" s="492"/>
      <c r="P8" s="492"/>
      <c r="Q8" s="492"/>
      <c r="R8" s="492"/>
      <c r="S8" s="492"/>
      <c r="T8" s="492"/>
      <c r="U8" s="492"/>
      <c r="V8" s="492"/>
      <c r="W8" s="492"/>
      <c r="X8" s="492"/>
      <c r="Y8" s="492"/>
      <c r="Z8" s="492"/>
      <c r="AA8" s="492"/>
      <c r="AB8" s="492"/>
      <c r="AC8" s="492"/>
      <c r="AE8" s="492"/>
    </row>
    <row r="9" spans="1:32" s="3" customFormat="1" x14ac:dyDescent="0.2">
      <c r="C9" s="486" t="str">
        <f>+'Development Costs'!C5</f>
        <v>Land</v>
      </c>
      <c r="D9" s="495">
        <f>+'Development Costs'!D5</f>
        <v>200000</v>
      </c>
      <c r="E9" s="493">
        <f>+D9</f>
        <v>200000</v>
      </c>
      <c r="F9" s="493">
        <f>IF($D$4=0,0,ROUND((D9-E9)/$D$4,0))</f>
        <v>0</v>
      </c>
      <c r="G9" s="493">
        <f>IF(G$3&lt;$D$4,F9,IF(G$3=$D$4,$D9-SUM($E9:F9),0))</f>
        <v>0</v>
      </c>
      <c r="H9" s="493">
        <f>IF(H$3&lt;$D$4,G9,IF(H$3=$D$4,$D9-SUM($E9:G9),0))</f>
        <v>0</v>
      </c>
      <c r="I9" s="493">
        <f>IF(I$3&lt;$D$4,H9,IF(I$3=$D$4,$D9-SUM($E9:H9),0))</f>
        <v>0</v>
      </c>
      <c r="J9" s="493">
        <f>IF(J$3&lt;$D$4,I9,IF(J$3=$D$4,$D9-SUM($E9:I9),0))</f>
        <v>0</v>
      </c>
      <c r="K9" s="493">
        <f>IF(K$3&lt;$D$4,J9,IF(K$3=$D$4,$D9-SUM($E9:J9),0))</f>
        <v>0</v>
      </c>
      <c r="L9" s="493">
        <f>IF(L$3&lt;$D$4,K9,IF(L$3=$D$4,$D9-SUM($E9:K9),0))</f>
        <v>0</v>
      </c>
      <c r="M9" s="493">
        <f>IF(M$3&lt;$D$4,L9,IF(M$3=$D$4,$D9-SUM($E9:L9),0))</f>
        <v>0</v>
      </c>
      <c r="N9" s="493">
        <f>IF(N$3&lt;$D$4,M9,IF(N$3=$D$4,$D9-SUM($E9:M9),0))</f>
        <v>0</v>
      </c>
      <c r="O9" s="493">
        <f>IF(O$3&lt;$D$4,N9,IF(O$3=$D$4,$D9-SUM($E9:N9),0))</f>
        <v>0</v>
      </c>
      <c r="P9" s="493">
        <f>IF(P$3&lt;$D$4,O9,IF(P$3=$D$4,$D9-SUM($E9:O9),0))</f>
        <v>0</v>
      </c>
      <c r="Q9" s="493">
        <f>IF(Q$3&lt;$D$4,P9,IF(Q$3=$D$4,$D9-SUM($E9:P9),0))</f>
        <v>0</v>
      </c>
      <c r="R9" s="493">
        <f>IF(R$3&lt;$D$4,Q9,IF(R$3=$D$4,$D9-SUM($E9:Q9),0))</f>
        <v>0</v>
      </c>
      <c r="S9" s="493">
        <f>IF(S$3&lt;$D$4,R9,IF(S$3=$D$4,$D9-SUM($E9:R9),0))</f>
        <v>0</v>
      </c>
      <c r="T9" s="493">
        <f>IF(T$3&lt;$D$4,S9,IF(T$3=$D$4,$D9-SUM($E9:S9),0))</f>
        <v>0</v>
      </c>
      <c r="U9" s="493">
        <f>IF(U$3&lt;$D$4,T9,IF(U$3=$D$4,$D9-SUM($E9:T9),0))</f>
        <v>0</v>
      </c>
      <c r="V9" s="493">
        <f>IF(V$3&lt;$D$4,U9,IF(V$3=$D$4,$D9-SUM($E9:U9),0))</f>
        <v>0</v>
      </c>
      <c r="W9" s="493">
        <f>IF(W$3&lt;$D$4,V9,IF(W$3=$D$4,$D9-SUM($E9:V9),0))</f>
        <v>0</v>
      </c>
      <c r="X9" s="493">
        <f>IF(X$3&lt;$D$4,W9,IF(X$3=$D$4,$D9-SUM($E9:W9),0))</f>
        <v>0</v>
      </c>
      <c r="Y9" s="493">
        <f>IF(Y$3&lt;$D$4,X9,IF(Y$3=$D$4,$D9-SUM($E9:X9),0))</f>
        <v>0</v>
      </c>
      <c r="Z9" s="493">
        <f>IF(Z$3&lt;$D$4,Y9,IF(Z$3=$D$4,$D9-SUM($E9:Y9),0))</f>
        <v>0</v>
      </c>
      <c r="AA9" s="493">
        <f>IF(AA$3&lt;$D$4,Z9,IF(AA$3=$D$4,$D9-SUM($E9:Z9),0))</f>
        <v>0</v>
      </c>
      <c r="AB9" s="493">
        <f>IF(AB$3&lt;$D$4,AA9,IF(AB$3=$D$4,$D9-SUM($E9:AA9),0))</f>
        <v>0</v>
      </c>
      <c r="AC9" s="493">
        <f>IF(AC$3&lt;$D$4,AB9,IF(AC$3=$D$4,$D9-SUM($E9:AB9),0))</f>
        <v>0</v>
      </c>
      <c r="AE9" s="495">
        <f>SUM(E9:AC9)</f>
        <v>200000</v>
      </c>
      <c r="AF9" s="261" t="str">
        <f>IF(AE9&gt;D9,"ERROR: Total Amount Drawn Exceeds Total Available","")</f>
        <v/>
      </c>
    </row>
    <row r="10" spans="1:32" s="3" customFormat="1" x14ac:dyDescent="0.2">
      <c r="C10" s="486" t="str">
        <f>+'Development Costs'!C6</f>
        <v>Existing Structures</v>
      </c>
      <c r="D10" s="495">
        <f>+'Development Costs'!D6</f>
        <v>100000</v>
      </c>
      <c r="E10" s="493">
        <f>+D10</f>
        <v>100000</v>
      </c>
      <c r="F10" s="493">
        <f t="shared" ref="F10:F11" si="5">IF($D$4=0,0,ROUND((D10-E10)/$D$4,0))</f>
        <v>0</v>
      </c>
      <c r="G10" s="493">
        <f>IF(G$3&lt;$D$4,F10,IF(G$3=$D$4,$D10-SUM($E10:F10),0))</f>
        <v>0</v>
      </c>
      <c r="H10" s="493">
        <f>IF(H$3&lt;$D$4,G10,IF(H$3=$D$4,$D10-SUM($E10:G10),0))</f>
        <v>0</v>
      </c>
      <c r="I10" s="493">
        <f>IF(I$3&lt;$D$4,H10,IF(I$3=$D$4,$D10-SUM($E10:H10),0))</f>
        <v>0</v>
      </c>
      <c r="J10" s="493">
        <f>IF(J$3&lt;$D$4,I10,IF(J$3=$D$4,$D10-SUM($E10:I10),0))</f>
        <v>0</v>
      </c>
      <c r="K10" s="493">
        <f>IF(K$3&lt;$D$4,J10,IF(K$3=$D$4,$D10-SUM($E10:J10),0))</f>
        <v>0</v>
      </c>
      <c r="L10" s="493">
        <f>IF(L$3&lt;$D$4,K10,IF(L$3=$D$4,$D10-SUM($E10:K10),0))</f>
        <v>0</v>
      </c>
      <c r="M10" s="493">
        <f>IF(M$3&lt;$D$4,L10,IF(M$3=$D$4,$D10-SUM($E10:L10),0))</f>
        <v>0</v>
      </c>
      <c r="N10" s="493">
        <f>IF(N$3&lt;$D$4,M10,IF(N$3=$D$4,$D10-SUM($E10:M10),0))</f>
        <v>0</v>
      </c>
      <c r="O10" s="493">
        <f>IF(O$3&lt;$D$4,N10,IF(O$3=$D$4,$D10-SUM($E10:N10),0))</f>
        <v>0</v>
      </c>
      <c r="P10" s="493">
        <f>IF(P$3&lt;$D$4,O10,IF(P$3=$D$4,$D10-SUM($E10:O10),0))</f>
        <v>0</v>
      </c>
      <c r="Q10" s="493">
        <f>IF(Q$3&lt;$D$4,P10,IF(Q$3=$D$4,$D10-SUM($E10:P10),0))</f>
        <v>0</v>
      </c>
      <c r="R10" s="493">
        <f>IF(R$3&lt;$D$4,Q10,IF(R$3=$D$4,$D10-SUM($E10:Q10),0))</f>
        <v>0</v>
      </c>
      <c r="S10" s="493">
        <f>IF(S$3&lt;$D$4,R10,IF(S$3=$D$4,$D10-SUM($E10:R10),0))</f>
        <v>0</v>
      </c>
      <c r="T10" s="493">
        <f>IF(T$3&lt;$D$4,S10,IF(T$3=$D$4,$D10-SUM($E10:S10),0))</f>
        <v>0</v>
      </c>
      <c r="U10" s="493">
        <f>IF(U$3&lt;$D$4,T10,IF(U$3=$D$4,$D10-SUM($E10:T10),0))</f>
        <v>0</v>
      </c>
      <c r="V10" s="493">
        <f>IF(V$3&lt;$D$4,U10,IF(V$3=$D$4,$D10-SUM($E10:U10),0))</f>
        <v>0</v>
      </c>
      <c r="W10" s="493">
        <f>IF(W$3&lt;$D$4,V10,IF(W$3=$D$4,$D10-SUM($E10:V10),0))</f>
        <v>0</v>
      </c>
      <c r="X10" s="493">
        <f>IF(X$3&lt;$D$4,W10,IF(X$3=$D$4,$D10-SUM($E10:W10),0))</f>
        <v>0</v>
      </c>
      <c r="Y10" s="493">
        <f>IF(Y$3&lt;$D$4,X10,IF(Y$3=$D$4,$D10-SUM($E10:X10),0))</f>
        <v>0</v>
      </c>
      <c r="Z10" s="493">
        <f>IF(Z$3&lt;$D$4,Y10,IF(Z$3=$D$4,$D10-SUM($E10:Y10),0))</f>
        <v>0</v>
      </c>
      <c r="AA10" s="493">
        <f>IF(AA$3&lt;$D$4,Z10,IF(AA$3=$D$4,$D10-SUM($E10:Z10),0))</f>
        <v>0</v>
      </c>
      <c r="AB10" s="493">
        <f>IF(AB$3&lt;$D$4,AA10,IF(AB$3=$D$4,$D10-SUM($E10:AA10),0))</f>
        <v>0</v>
      </c>
      <c r="AC10" s="493">
        <f>IF(AC$3&lt;$D$4,AB10,IF(AC$3=$D$4,$D10-SUM($E10:AB10),0))</f>
        <v>0</v>
      </c>
      <c r="AE10" s="495">
        <f t="shared" ref="AE10:AE11" si="6">SUM(E10:AC10)</f>
        <v>100000</v>
      </c>
      <c r="AF10" s="261" t="str">
        <f t="shared" ref="AF10:AF11" si="7">IF(AE10&gt;D10,"ERROR: Total Amount Drawn Exceeds Total Available","")</f>
        <v/>
      </c>
    </row>
    <row r="11" spans="1:32" s="3" customFormat="1" x14ac:dyDescent="0.2">
      <c r="C11" s="486">
        <f>+'Development Costs'!C7</f>
        <v>0</v>
      </c>
      <c r="D11" s="495">
        <f>+'Development Costs'!D7</f>
        <v>0</v>
      </c>
      <c r="E11" s="493">
        <f>+D11</f>
        <v>0</v>
      </c>
      <c r="F11" s="493">
        <f t="shared" si="5"/>
        <v>0</v>
      </c>
      <c r="G11" s="493">
        <f>IF(G$3&lt;$D$4,F11,IF(G$3=$D$4,$D11-SUM($E11:F11),0))</f>
        <v>0</v>
      </c>
      <c r="H11" s="493">
        <f>IF(H$3&lt;$D$4,G11,IF(H$3=$D$4,$D11-SUM($E11:G11),0))</f>
        <v>0</v>
      </c>
      <c r="I11" s="493">
        <f>IF(I$3&lt;$D$4,H11,IF(I$3=$D$4,$D11-SUM($E11:H11),0))</f>
        <v>0</v>
      </c>
      <c r="J11" s="493">
        <f>IF(J$3&lt;$D$4,I11,IF(J$3=$D$4,$D11-SUM($E11:I11),0))</f>
        <v>0</v>
      </c>
      <c r="K11" s="493">
        <f>IF(K$3&lt;$D$4,J11,IF(K$3=$D$4,$D11-SUM($E11:J11),0))</f>
        <v>0</v>
      </c>
      <c r="L11" s="493">
        <f>IF(L$3&lt;$D$4,K11,IF(L$3=$D$4,$D11-SUM($E11:K11),0))</f>
        <v>0</v>
      </c>
      <c r="M11" s="493">
        <f>IF(M$3&lt;$D$4,L11,IF(M$3=$D$4,$D11-SUM($E11:L11),0))</f>
        <v>0</v>
      </c>
      <c r="N11" s="493">
        <f>IF(N$3&lt;$D$4,M11,IF(N$3=$D$4,$D11-SUM($E11:M11),0))</f>
        <v>0</v>
      </c>
      <c r="O11" s="493">
        <f>IF(O$3&lt;$D$4,N11,IF(O$3=$D$4,$D11-SUM($E11:N11),0))</f>
        <v>0</v>
      </c>
      <c r="P11" s="493">
        <f>IF(P$3&lt;$D$4,O11,IF(P$3=$D$4,$D11-SUM($E11:O11),0))</f>
        <v>0</v>
      </c>
      <c r="Q11" s="493">
        <f>IF(Q$3&lt;$D$4,P11,IF(Q$3=$D$4,$D11-SUM($E11:P11),0))</f>
        <v>0</v>
      </c>
      <c r="R11" s="493">
        <f>IF(R$3&lt;$D$4,Q11,IF(R$3=$D$4,$D11-SUM($E11:Q11),0))</f>
        <v>0</v>
      </c>
      <c r="S11" s="493">
        <f>IF(S$3&lt;$D$4,R11,IF(S$3=$D$4,$D11-SUM($E11:R11),0))</f>
        <v>0</v>
      </c>
      <c r="T11" s="493">
        <f>IF(T$3&lt;$D$4,S11,IF(T$3=$D$4,$D11-SUM($E11:S11),0))</f>
        <v>0</v>
      </c>
      <c r="U11" s="493">
        <f>IF(U$3&lt;$D$4,T11,IF(U$3=$D$4,$D11-SUM($E11:T11),0))</f>
        <v>0</v>
      </c>
      <c r="V11" s="493">
        <f>IF(V$3&lt;$D$4,U11,IF(V$3=$D$4,$D11-SUM($E11:U11),0))</f>
        <v>0</v>
      </c>
      <c r="W11" s="493">
        <f>IF(W$3&lt;$D$4,V11,IF(W$3=$D$4,$D11-SUM($E11:V11),0))</f>
        <v>0</v>
      </c>
      <c r="X11" s="493">
        <f>IF(X$3&lt;$D$4,W11,IF(X$3=$D$4,$D11-SUM($E11:W11),0))</f>
        <v>0</v>
      </c>
      <c r="Y11" s="493">
        <f>IF(Y$3&lt;$D$4,X11,IF(Y$3=$D$4,$D11-SUM($E11:X11),0))</f>
        <v>0</v>
      </c>
      <c r="Z11" s="493">
        <f>IF(Z$3&lt;$D$4,Y11,IF(Z$3=$D$4,$D11-SUM($E11:Y11),0))</f>
        <v>0</v>
      </c>
      <c r="AA11" s="493">
        <f>IF(AA$3&lt;$D$4,Z11,IF(AA$3=$D$4,$D11-SUM($E11:Z11),0))</f>
        <v>0</v>
      </c>
      <c r="AB11" s="493">
        <f>IF(AB$3&lt;$D$4,AA11,IF(AB$3=$D$4,$D11-SUM($E11:AA11),0))</f>
        <v>0</v>
      </c>
      <c r="AC11" s="493">
        <f>IF(AC$3&lt;$D$4,AB11,IF(AC$3=$D$4,$D11-SUM($E11:AB11),0))</f>
        <v>0</v>
      </c>
      <c r="AE11" s="495">
        <f t="shared" si="6"/>
        <v>0</v>
      </c>
      <c r="AF11" s="261" t="str">
        <f t="shared" si="7"/>
        <v/>
      </c>
    </row>
    <row r="12" spans="1:32" s="350" customFormat="1" ht="28.5" customHeight="1" x14ac:dyDescent="0.2">
      <c r="A12" s="3"/>
      <c r="C12" s="215" t="s">
        <v>228</v>
      </c>
      <c r="D12" s="494"/>
      <c r="E12" s="494"/>
      <c r="F12" s="494"/>
      <c r="G12" s="494"/>
      <c r="H12" s="494"/>
      <c r="I12" s="494"/>
      <c r="J12" s="494"/>
      <c r="K12" s="494"/>
      <c r="L12" s="494"/>
      <c r="M12" s="494"/>
      <c r="N12" s="494"/>
      <c r="O12" s="494"/>
      <c r="P12" s="494"/>
      <c r="Q12" s="494"/>
      <c r="R12" s="494"/>
      <c r="S12" s="494"/>
      <c r="T12" s="494"/>
      <c r="U12" s="494"/>
      <c r="V12" s="494"/>
      <c r="W12" s="494"/>
      <c r="X12" s="494"/>
      <c r="Y12" s="494"/>
      <c r="Z12" s="494"/>
      <c r="AA12" s="494"/>
      <c r="AB12" s="494"/>
      <c r="AC12" s="494"/>
      <c r="AE12" s="494"/>
    </row>
    <row r="13" spans="1:32" s="3" customFormat="1" x14ac:dyDescent="0.2">
      <c r="C13" s="486" t="str">
        <f>+'Development Costs'!C9</f>
        <v xml:space="preserve">Demolition/Clearance </v>
      </c>
      <c r="D13" s="495">
        <f>+'Development Costs'!D9</f>
        <v>0</v>
      </c>
      <c r="E13" s="493">
        <f>+D13</f>
        <v>0</v>
      </c>
      <c r="F13" s="493">
        <f t="shared" ref="F13:F16" si="8">IF($D$4=0,0,ROUND((D13-E13)/$D$4,0))</f>
        <v>0</v>
      </c>
      <c r="G13" s="493">
        <f>IF(G$3&lt;$D$4,F13,IF(G$3=$D$4,$D13-SUM($E13:F13),0))</f>
        <v>0</v>
      </c>
      <c r="H13" s="493">
        <f>IF(H$3&lt;$D$4,G13,IF(H$3=$D$4,$D13-SUM($E13:G13),0))</f>
        <v>0</v>
      </c>
      <c r="I13" s="493">
        <f>IF(I$3&lt;$D$4,H13,IF(I$3=$D$4,$D13-SUM($E13:H13),0))</f>
        <v>0</v>
      </c>
      <c r="J13" s="493">
        <f>IF(J$3&lt;$D$4,I13,IF(J$3=$D$4,$D13-SUM($E13:I13),0))</f>
        <v>0</v>
      </c>
      <c r="K13" s="493">
        <f>IF(K$3&lt;$D$4,J13,IF(K$3=$D$4,$D13-SUM($E13:J13),0))</f>
        <v>0</v>
      </c>
      <c r="L13" s="493">
        <f>IF(L$3&lt;$D$4,K13,IF(L$3=$D$4,$D13-SUM($E13:K13),0))</f>
        <v>0</v>
      </c>
      <c r="M13" s="493">
        <f>IF(M$3&lt;$D$4,L13,IF(M$3=$D$4,$D13-SUM($E13:L13),0))</f>
        <v>0</v>
      </c>
      <c r="N13" s="493">
        <f>IF(N$3&lt;$D$4,M13,IF(N$3=$D$4,$D13-SUM($E13:M13),0))</f>
        <v>0</v>
      </c>
      <c r="O13" s="493">
        <f>IF(O$3&lt;$D$4,N13,IF(O$3=$D$4,$D13-SUM($E13:N13),0))</f>
        <v>0</v>
      </c>
      <c r="P13" s="493">
        <f>IF(P$3&lt;$D$4,O13,IF(P$3=$D$4,$D13-SUM($E13:O13),0))</f>
        <v>0</v>
      </c>
      <c r="Q13" s="493">
        <f>IF(Q$3&lt;$D$4,P13,IF(Q$3=$D$4,$D13-SUM($E13:P13),0))</f>
        <v>0</v>
      </c>
      <c r="R13" s="493">
        <f>IF(R$3&lt;$D$4,Q13,IF(R$3=$D$4,$D13-SUM($E13:Q13),0))</f>
        <v>0</v>
      </c>
      <c r="S13" s="493">
        <f>IF(S$3&lt;$D$4,R13,IF(S$3=$D$4,$D13-SUM($E13:R13),0))</f>
        <v>0</v>
      </c>
      <c r="T13" s="493">
        <f>IF(T$3&lt;$D$4,S13,IF(T$3=$D$4,$D13-SUM($E13:S13),0))</f>
        <v>0</v>
      </c>
      <c r="U13" s="493">
        <f>IF(U$3&lt;$D$4,T13,IF(U$3=$D$4,$D13-SUM($E13:T13),0))</f>
        <v>0</v>
      </c>
      <c r="V13" s="493">
        <f>IF(V$3&lt;$D$4,U13,IF(V$3=$D$4,$D13-SUM($E13:U13),0))</f>
        <v>0</v>
      </c>
      <c r="W13" s="493">
        <f>IF(W$3&lt;$D$4,V13,IF(W$3=$D$4,$D13-SUM($E13:V13),0))</f>
        <v>0</v>
      </c>
      <c r="X13" s="493">
        <f>IF(X$3&lt;$D$4,W13,IF(X$3=$D$4,$D13-SUM($E13:W13),0))</f>
        <v>0</v>
      </c>
      <c r="Y13" s="493">
        <f>IF(Y$3&lt;$D$4,X13,IF(Y$3=$D$4,$D13-SUM($E13:X13),0))</f>
        <v>0</v>
      </c>
      <c r="Z13" s="493">
        <f>IF(Z$3&lt;$D$4,Y13,IF(Z$3=$D$4,$D13-SUM($E13:Y13),0))</f>
        <v>0</v>
      </c>
      <c r="AA13" s="493">
        <f>IF(AA$3&lt;$D$4,Z13,IF(AA$3=$D$4,$D13-SUM($E13:Z13),0))</f>
        <v>0</v>
      </c>
      <c r="AB13" s="493">
        <f>IF(AB$3&lt;$D$4,AA13,IF(AB$3=$D$4,$D13-SUM($E13:AA13),0))</f>
        <v>0</v>
      </c>
      <c r="AC13" s="493">
        <f>IF(AC$3&lt;$D$4,AB13,IF(AC$3=$D$4,$D13-SUM($E13:AB13),0))</f>
        <v>0</v>
      </c>
      <c r="AE13" s="495">
        <f t="shared" ref="AE13:AE16" si="9">SUM(E13:AC13)</f>
        <v>0</v>
      </c>
      <c r="AF13" s="261" t="str">
        <f t="shared" ref="AF13:AF16" si="10">IF(AE13&gt;D13,"ERROR: Total Amount Drawn Exceeds Total Available","")</f>
        <v/>
      </c>
    </row>
    <row r="14" spans="1:32" s="3" customFormat="1" x14ac:dyDescent="0.2">
      <c r="C14" s="486" t="str">
        <f>+'Development Costs'!C10</f>
        <v>Site Remediation</v>
      </c>
      <c r="D14" s="495">
        <f>+'Development Costs'!D10</f>
        <v>0</v>
      </c>
      <c r="E14" s="493">
        <f>+D14</f>
        <v>0</v>
      </c>
      <c r="F14" s="493">
        <f t="shared" si="8"/>
        <v>0</v>
      </c>
      <c r="G14" s="493">
        <f>IF(G$3&lt;$D$4,F14,IF(G$3=$D$4,$D14-SUM($E14:F14),0))</f>
        <v>0</v>
      </c>
      <c r="H14" s="493">
        <f>IF(H$3&lt;$D$4,G14,IF(H$3=$D$4,$D14-SUM($E14:G14),0))</f>
        <v>0</v>
      </c>
      <c r="I14" s="493">
        <f>IF(I$3&lt;$D$4,H14,IF(I$3=$D$4,$D14-SUM($E14:H14),0))</f>
        <v>0</v>
      </c>
      <c r="J14" s="493">
        <f>IF(J$3&lt;$D$4,I14,IF(J$3=$D$4,$D14-SUM($E14:I14),0))</f>
        <v>0</v>
      </c>
      <c r="K14" s="493">
        <f>IF(K$3&lt;$D$4,J14,IF(K$3=$D$4,$D14-SUM($E14:J14),0))</f>
        <v>0</v>
      </c>
      <c r="L14" s="493">
        <f>IF(L$3&lt;$D$4,K14,IF(L$3=$D$4,$D14-SUM($E14:K14),0))</f>
        <v>0</v>
      </c>
      <c r="M14" s="493">
        <f>IF(M$3&lt;$D$4,L14,IF(M$3=$D$4,$D14-SUM($E14:L14),0))</f>
        <v>0</v>
      </c>
      <c r="N14" s="493">
        <f>IF(N$3&lt;$D$4,M14,IF(N$3=$D$4,$D14-SUM($E14:M14),0))</f>
        <v>0</v>
      </c>
      <c r="O14" s="493">
        <f>IF(O$3&lt;$D$4,N14,IF(O$3=$D$4,$D14-SUM($E14:N14),0))</f>
        <v>0</v>
      </c>
      <c r="P14" s="493">
        <f>IF(P$3&lt;$D$4,O14,IF(P$3=$D$4,$D14-SUM($E14:O14),0))</f>
        <v>0</v>
      </c>
      <c r="Q14" s="493">
        <f>IF(Q$3&lt;$D$4,P14,IF(Q$3=$D$4,$D14-SUM($E14:P14),0))</f>
        <v>0</v>
      </c>
      <c r="R14" s="493">
        <f>IF(R$3&lt;$D$4,Q14,IF(R$3=$D$4,$D14-SUM($E14:Q14),0))</f>
        <v>0</v>
      </c>
      <c r="S14" s="493">
        <f>IF(S$3&lt;$D$4,R14,IF(S$3=$D$4,$D14-SUM($E14:R14),0))</f>
        <v>0</v>
      </c>
      <c r="T14" s="493">
        <f>IF(T$3&lt;$D$4,S14,IF(T$3=$D$4,$D14-SUM($E14:S14),0))</f>
        <v>0</v>
      </c>
      <c r="U14" s="493">
        <f>IF(U$3&lt;$D$4,T14,IF(U$3=$D$4,$D14-SUM($E14:T14),0))</f>
        <v>0</v>
      </c>
      <c r="V14" s="493">
        <f>IF(V$3&lt;$D$4,U14,IF(V$3=$D$4,$D14-SUM($E14:U14),0))</f>
        <v>0</v>
      </c>
      <c r="W14" s="493">
        <f>IF(W$3&lt;$D$4,V14,IF(W$3=$D$4,$D14-SUM($E14:V14),0))</f>
        <v>0</v>
      </c>
      <c r="X14" s="493">
        <f>IF(X$3&lt;$D$4,W14,IF(X$3=$D$4,$D14-SUM($E14:W14),0))</f>
        <v>0</v>
      </c>
      <c r="Y14" s="493">
        <f>IF(Y$3&lt;$D$4,X14,IF(Y$3=$D$4,$D14-SUM($E14:X14),0))</f>
        <v>0</v>
      </c>
      <c r="Z14" s="493">
        <f>IF(Z$3&lt;$D$4,Y14,IF(Z$3=$D$4,$D14-SUM($E14:Y14),0))</f>
        <v>0</v>
      </c>
      <c r="AA14" s="493">
        <f>IF(AA$3&lt;$D$4,Z14,IF(AA$3=$D$4,$D14-SUM($E14:Z14),0))</f>
        <v>0</v>
      </c>
      <c r="AB14" s="493">
        <f>IF(AB$3&lt;$D$4,AA14,IF(AB$3=$D$4,$D14-SUM($E14:AA14),0))</f>
        <v>0</v>
      </c>
      <c r="AC14" s="493">
        <f>IF(AC$3&lt;$D$4,AB14,IF(AC$3=$D$4,$D14-SUM($E14:AB14),0))</f>
        <v>0</v>
      </c>
      <c r="AE14" s="495">
        <f t="shared" si="9"/>
        <v>0</v>
      </c>
      <c r="AF14" s="261" t="str">
        <f t="shared" si="10"/>
        <v/>
      </c>
    </row>
    <row r="15" spans="1:32" s="3" customFormat="1" x14ac:dyDescent="0.2">
      <c r="C15" s="486" t="str">
        <f>+'Development Costs'!C12</f>
        <v xml:space="preserve">Improvements </v>
      </c>
      <c r="D15" s="495">
        <f>+'Development Costs'!D12</f>
        <v>0</v>
      </c>
      <c r="E15" s="493">
        <v>0</v>
      </c>
      <c r="F15" s="493">
        <f t="shared" si="8"/>
        <v>0</v>
      </c>
      <c r="G15" s="493">
        <f>IF(G$3&lt;$D$4,F15,IF(G$3=$D$4,$D15-SUM($E15:F15),0))</f>
        <v>0</v>
      </c>
      <c r="H15" s="493">
        <f>IF(H$3&lt;$D$4,G15,IF(H$3=$D$4,$D15-SUM($E15:G15),0))</f>
        <v>0</v>
      </c>
      <c r="I15" s="493">
        <f>IF(I$3&lt;$D$4,H15,IF(I$3=$D$4,$D15-SUM($E15:H15),0))</f>
        <v>0</v>
      </c>
      <c r="J15" s="493">
        <f>IF(J$3&lt;$D$4,I15,IF(J$3=$D$4,$D15-SUM($E15:I15),0))</f>
        <v>0</v>
      </c>
      <c r="K15" s="493">
        <f>IF(K$3&lt;$D$4,J15,IF(K$3=$D$4,$D15-SUM($E15:J15),0))</f>
        <v>0</v>
      </c>
      <c r="L15" s="493">
        <f>IF(L$3&lt;$D$4,K15,IF(L$3=$D$4,$D15-SUM($E15:K15),0))</f>
        <v>0</v>
      </c>
      <c r="M15" s="493">
        <f>IF(M$3&lt;$D$4,L15,IF(M$3=$D$4,$D15-SUM($E15:L15),0))</f>
        <v>0</v>
      </c>
      <c r="N15" s="493">
        <f>IF(N$3&lt;$D$4,M15,IF(N$3=$D$4,$D15-SUM($E15:M15),0))</f>
        <v>0</v>
      </c>
      <c r="O15" s="493">
        <f>IF(O$3&lt;$D$4,N15,IF(O$3=$D$4,$D15-SUM($E15:N15),0))</f>
        <v>0</v>
      </c>
      <c r="P15" s="493">
        <f>IF(P$3&lt;$D$4,O15,IF(P$3=$D$4,$D15-SUM($E15:O15),0))</f>
        <v>0</v>
      </c>
      <c r="Q15" s="493">
        <f>IF(Q$3&lt;$D$4,P15,IF(Q$3=$D$4,$D15-SUM($E15:P15),0))</f>
        <v>0</v>
      </c>
      <c r="R15" s="493">
        <f>IF(R$3&lt;$D$4,Q15,IF(R$3=$D$4,$D15-SUM($E15:Q15),0))</f>
        <v>0</v>
      </c>
      <c r="S15" s="493">
        <f>IF(S$3&lt;$D$4,R15,IF(S$3=$D$4,$D15-SUM($E15:R15),0))</f>
        <v>0</v>
      </c>
      <c r="T15" s="493">
        <f>IF(T$3&lt;$D$4,S15,IF(T$3=$D$4,$D15-SUM($E15:S15),0))</f>
        <v>0</v>
      </c>
      <c r="U15" s="493">
        <f>IF(U$3&lt;$D$4,T15,IF(U$3=$D$4,$D15-SUM($E15:T15),0))</f>
        <v>0</v>
      </c>
      <c r="V15" s="493">
        <f>IF(V$3&lt;$D$4,U15,IF(V$3=$D$4,$D15-SUM($E15:U15),0))</f>
        <v>0</v>
      </c>
      <c r="W15" s="493">
        <f>IF(W$3&lt;$D$4,V15,IF(W$3=$D$4,$D15-SUM($E15:V15),0))</f>
        <v>0</v>
      </c>
      <c r="X15" s="493">
        <f>IF(X$3&lt;$D$4,W15,IF(X$3=$D$4,$D15-SUM($E15:W15),0))</f>
        <v>0</v>
      </c>
      <c r="Y15" s="493">
        <f>IF(Y$3&lt;$D$4,X15,IF(Y$3=$D$4,$D15-SUM($E15:X15),0))</f>
        <v>0</v>
      </c>
      <c r="Z15" s="493">
        <f>IF(Z$3&lt;$D$4,Y15,IF(Z$3=$D$4,$D15-SUM($E15:Y15),0))</f>
        <v>0</v>
      </c>
      <c r="AA15" s="493">
        <f>IF(AA$3&lt;$D$4,Z15,IF(AA$3=$D$4,$D15-SUM($E15:Z15),0))</f>
        <v>0</v>
      </c>
      <c r="AB15" s="493">
        <f>IF(AB$3&lt;$D$4,AA15,IF(AB$3=$D$4,$D15-SUM($E15:AA15),0))</f>
        <v>0</v>
      </c>
      <c r="AC15" s="493">
        <f>IF(AC$3&lt;$D$4,AB15,IF(AC$3=$D$4,$D15-SUM($E15:AB15),0))</f>
        <v>0</v>
      </c>
      <c r="AE15" s="495">
        <f t="shared" si="9"/>
        <v>0</v>
      </c>
      <c r="AF15" s="261" t="str">
        <f t="shared" si="10"/>
        <v/>
      </c>
    </row>
    <row r="16" spans="1:32" s="3" customFormat="1" x14ac:dyDescent="0.2">
      <c r="C16" s="486">
        <f>+'Development Costs'!C15</f>
        <v>0</v>
      </c>
      <c r="D16" s="495">
        <f>+'Development Costs'!D15</f>
        <v>0</v>
      </c>
      <c r="E16" s="493">
        <f>+D16</f>
        <v>0</v>
      </c>
      <c r="F16" s="493">
        <f t="shared" si="8"/>
        <v>0</v>
      </c>
      <c r="G16" s="493">
        <f>IF(G$3&lt;$D$4,F16,IF(G$3=$D$4,$D16-SUM($E16:F16),0))</f>
        <v>0</v>
      </c>
      <c r="H16" s="493">
        <f>IF(H$3&lt;$D$4,G16,IF(H$3=$D$4,$D16-SUM($E16:G16),0))</f>
        <v>0</v>
      </c>
      <c r="I16" s="493">
        <f>IF(I$3&lt;$D$4,H16,IF(I$3=$D$4,$D16-SUM($E16:H16),0))</f>
        <v>0</v>
      </c>
      <c r="J16" s="493">
        <f>IF(J$3&lt;$D$4,I16,IF(J$3=$D$4,$D16-SUM($E16:I16),0))</f>
        <v>0</v>
      </c>
      <c r="K16" s="493">
        <f>IF(K$3&lt;$D$4,J16,IF(K$3=$D$4,$D16-SUM($E16:J16),0))</f>
        <v>0</v>
      </c>
      <c r="L16" s="493">
        <f>IF(L$3&lt;$D$4,K16,IF(L$3=$D$4,$D16-SUM($E16:K16),0))</f>
        <v>0</v>
      </c>
      <c r="M16" s="493">
        <f>IF(M$3&lt;$D$4,L16,IF(M$3=$D$4,$D16-SUM($E16:L16),0))</f>
        <v>0</v>
      </c>
      <c r="N16" s="493">
        <f>IF(N$3&lt;$D$4,M16,IF(N$3=$D$4,$D16-SUM($E16:M16),0))</f>
        <v>0</v>
      </c>
      <c r="O16" s="493">
        <f>IF(O$3&lt;$D$4,N16,IF(O$3=$D$4,$D16-SUM($E16:N16),0))</f>
        <v>0</v>
      </c>
      <c r="P16" s="493">
        <f>IF(P$3&lt;$D$4,O16,IF(P$3=$D$4,$D16-SUM($E16:O16),0))</f>
        <v>0</v>
      </c>
      <c r="Q16" s="493">
        <f>IF(Q$3&lt;$D$4,P16,IF(Q$3=$D$4,$D16-SUM($E16:P16),0))</f>
        <v>0</v>
      </c>
      <c r="R16" s="493">
        <f>IF(R$3&lt;$D$4,Q16,IF(R$3=$D$4,$D16-SUM($E16:Q16),0))</f>
        <v>0</v>
      </c>
      <c r="S16" s="493">
        <f>IF(S$3&lt;$D$4,R16,IF(S$3=$D$4,$D16-SUM($E16:R16),0))</f>
        <v>0</v>
      </c>
      <c r="T16" s="493">
        <f>IF(T$3&lt;$D$4,S16,IF(T$3=$D$4,$D16-SUM($E16:S16),0))</f>
        <v>0</v>
      </c>
      <c r="U16" s="493">
        <f>IF(U$3&lt;$D$4,T16,IF(U$3=$D$4,$D16-SUM($E16:T16),0))</f>
        <v>0</v>
      </c>
      <c r="V16" s="493">
        <f>IF(V$3&lt;$D$4,U16,IF(V$3=$D$4,$D16-SUM($E16:U16),0))</f>
        <v>0</v>
      </c>
      <c r="W16" s="493">
        <f>IF(W$3&lt;$D$4,V16,IF(W$3=$D$4,$D16-SUM($E16:V16),0))</f>
        <v>0</v>
      </c>
      <c r="X16" s="493">
        <f>IF(X$3&lt;$D$4,W16,IF(X$3=$D$4,$D16-SUM($E16:W16),0))</f>
        <v>0</v>
      </c>
      <c r="Y16" s="493">
        <f>IF(Y$3&lt;$D$4,X16,IF(Y$3=$D$4,$D16-SUM($E16:X16),0))</f>
        <v>0</v>
      </c>
      <c r="Z16" s="493">
        <f>IF(Z$3&lt;$D$4,Y16,IF(Z$3=$D$4,$D16-SUM($E16:Y16),0))</f>
        <v>0</v>
      </c>
      <c r="AA16" s="493">
        <f>IF(AA$3&lt;$D$4,Z16,IF(AA$3=$D$4,$D16-SUM($E16:Z16),0))</f>
        <v>0</v>
      </c>
      <c r="AB16" s="493">
        <f>IF(AB$3&lt;$D$4,AA16,IF(AB$3=$D$4,$D16-SUM($E16:AA16),0))</f>
        <v>0</v>
      </c>
      <c r="AC16" s="493">
        <f>IF(AC$3&lt;$D$4,AB16,IF(AC$3=$D$4,$D16-SUM($E16:AB16),0))</f>
        <v>0</v>
      </c>
      <c r="AE16" s="495">
        <f t="shared" si="9"/>
        <v>0</v>
      </c>
      <c r="AF16" s="261" t="str">
        <f t="shared" si="10"/>
        <v/>
      </c>
    </row>
    <row r="17" spans="1:32" s="350" customFormat="1" ht="12.75" customHeight="1" x14ac:dyDescent="0.2">
      <c r="A17" s="3"/>
      <c r="C17" s="215" t="s">
        <v>134</v>
      </c>
      <c r="D17" s="494"/>
      <c r="E17" s="494"/>
      <c r="F17" s="494"/>
      <c r="G17" s="494"/>
      <c r="H17" s="494"/>
      <c r="I17" s="494"/>
      <c r="J17" s="494"/>
      <c r="K17" s="494"/>
      <c r="L17" s="494"/>
      <c r="M17" s="494"/>
      <c r="N17" s="494"/>
      <c r="O17" s="494"/>
      <c r="P17" s="494"/>
      <c r="Q17" s="494"/>
      <c r="R17" s="494"/>
      <c r="S17" s="494"/>
      <c r="T17" s="494"/>
      <c r="U17" s="494"/>
      <c r="V17" s="494"/>
      <c r="W17" s="494"/>
      <c r="X17" s="494"/>
      <c r="Y17" s="494"/>
      <c r="Z17" s="494"/>
      <c r="AA17" s="494"/>
      <c r="AB17" s="494"/>
      <c r="AC17" s="494"/>
      <c r="AE17" s="494"/>
    </row>
    <row r="18" spans="1:32" s="3" customFormat="1" x14ac:dyDescent="0.2">
      <c r="C18" s="486" t="str">
        <f>+'Development Costs'!C18</f>
        <v>Site Work Included in Construction Contract</v>
      </c>
      <c r="D18" s="495">
        <f>+'Development Costs'!D18</f>
        <v>0</v>
      </c>
      <c r="E18" s="493">
        <v>0</v>
      </c>
      <c r="F18" s="493">
        <f t="shared" ref="F18:F27" si="11">IF($D$4=0,0,ROUND((D18-E18)/$D$4,0))</f>
        <v>0</v>
      </c>
      <c r="G18" s="493">
        <f>IF(G$3&lt;$D$4,F18,IF(G$3=$D$4,$D18-SUM($E18:F18),0))</f>
        <v>0</v>
      </c>
      <c r="H18" s="493">
        <f>IF(H$3&lt;$D$4,G18,IF(H$3=$D$4,$D18-SUM($E18:G18),0))</f>
        <v>0</v>
      </c>
      <c r="I18" s="493">
        <f>IF(I$3&lt;$D$4,H18,IF(I$3=$D$4,$D18-SUM($E18:H18),0))</f>
        <v>0</v>
      </c>
      <c r="J18" s="493">
        <f>IF(J$3&lt;$D$4,I18,IF(J$3=$D$4,$D18-SUM($E18:I18),0))</f>
        <v>0</v>
      </c>
      <c r="K18" s="493">
        <f>IF(K$3&lt;$D$4,J18,IF(K$3=$D$4,$D18-SUM($E18:J18),0))</f>
        <v>0</v>
      </c>
      <c r="L18" s="493">
        <f>IF(L$3&lt;$D$4,K18,IF(L$3=$D$4,$D18-SUM($E18:K18),0))</f>
        <v>0</v>
      </c>
      <c r="M18" s="493">
        <f>IF(M$3&lt;$D$4,L18,IF(M$3=$D$4,$D18-SUM($E18:L18),0))</f>
        <v>0</v>
      </c>
      <c r="N18" s="493">
        <f>IF(N$3&lt;$D$4,M18,IF(N$3=$D$4,$D18-SUM($E18:M18),0))</f>
        <v>0</v>
      </c>
      <c r="O18" s="493">
        <f>IF(O$3&lt;$D$4,N18,IF(O$3=$D$4,$D18-SUM($E18:N18),0))</f>
        <v>0</v>
      </c>
      <c r="P18" s="493">
        <f>IF(P$3&lt;$D$4,O18,IF(P$3=$D$4,$D18-SUM($E18:O18),0))</f>
        <v>0</v>
      </c>
      <c r="Q18" s="493">
        <f>IF(Q$3&lt;$D$4,P18,IF(Q$3=$D$4,$D18-SUM($E18:P18),0))</f>
        <v>0</v>
      </c>
      <c r="R18" s="493">
        <f>IF(R$3&lt;$D$4,Q18,IF(R$3=$D$4,$D18-SUM($E18:Q18),0))</f>
        <v>0</v>
      </c>
      <c r="S18" s="493">
        <f>IF(S$3&lt;$D$4,R18,IF(S$3=$D$4,$D18-SUM($E18:R18),0))</f>
        <v>0</v>
      </c>
      <c r="T18" s="493">
        <f>IF(T$3&lt;$D$4,S18,IF(T$3=$D$4,$D18-SUM($E18:S18),0))</f>
        <v>0</v>
      </c>
      <c r="U18" s="493">
        <f>IF(U$3&lt;$D$4,T18,IF(U$3=$D$4,$D18-SUM($E18:T18),0))</f>
        <v>0</v>
      </c>
      <c r="V18" s="493">
        <f>IF(V$3&lt;$D$4,U18,IF(V$3=$D$4,$D18-SUM($E18:U18),0))</f>
        <v>0</v>
      </c>
      <c r="W18" s="493">
        <f>IF(W$3&lt;$D$4,V18,IF(W$3=$D$4,$D18-SUM($E18:V18),0))</f>
        <v>0</v>
      </c>
      <c r="X18" s="493">
        <f>IF(X$3&lt;$D$4,W18,IF(X$3=$D$4,$D18-SUM($E18:W18),0))</f>
        <v>0</v>
      </c>
      <c r="Y18" s="493">
        <f>IF(Y$3&lt;$D$4,X18,IF(Y$3=$D$4,$D18-SUM($E18:X18),0))</f>
        <v>0</v>
      </c>
      <c r="Z18" s="493">
        <f>IF(Z$3&lt;$D$4,Y18,IF(Z$3=$D$4,$D18-SUM($E18:Y18),0))</f>
        <v>0</v>
      </c>
      <c r="AA18" s="493">
        <f>IF(AA$3&lt;$D$4,Z18,IF(AA$3=$D$4,$D18-SUM($E18:Z18),0))</f>
        <v>0</v>
      </c>
      <c r="AB18" s="493">
        <f>IF(AB$3&lt;$D$4,AA18,IF(AB$3=$D$4,$D18-SUM($E18:AA18),0))</f>
        <v>0</v>
      </c>
      <c r="AC18" s="493">
        <f>IF(AC$3&lt;$D$4,AB18,IF(AC$3=$D$4,$D18-SUM($E18:AB18),0))</f>
        <v>0</v>
      </c>
      <c r="AE18" s="495">
        <f t="shared" ref="AE18:AE27" si="12">SUM(E18:AC18)</f>
        <v>0</v>
      </c>
      <c r="AF18" s="261" t="str">
        <f t="shared" ref="AF18:AF27" si="13">IF(AE18&gt;D18,"ERROR: Total Amount Drawn Exceeds Total Available","")</f>
        <v/>
      </c>
    </row>
    <row r="19" spans="1:32" s="3" customFormat="1" x14ac:dyDescent="0.2">
      <c r="C19" s="486" t="str">
        <f>+'Development Costs'!C21</f>
        <v>New Construction</v>
      </c>
      <c r="D19" s="495">
        <f>+'Development Costs'!D21</f>
        <v>0</v>
      </c>
      <c r="E19" s="493">
        <v>0</v>
      </c>
      <c r="F19" s="493">
        <f t="shared" si="11"/>
        <v>0</v>
      </c>
      <c r="G19" s="493">
        <f>IF(G$3&lt;$D$4,F19,IF(G$3=$D$4,$D19-SUM($E19:F19),0))</f>
        <v>0</v>
      </c>
      <c r="H19" s="493">
        <f>IF(H$3&lt;$D$4,G19,IF(H$3=$D$4,$D19-SUM($E19:G19),0))</f>
        <v>0</v>
      </c>
      <c r="I19" s="493">
        <f>IF(I$3&lt;$D$4,H19,IF(I$3=$D$4,$D19-SUM($E19:H19),0))</f>
        <v>0</v>
      </c>
      <c r="J19" s="493">
        <f>IF(J$3&lt;$D$4,I19,IF(J$3=$D$4,$D19-SUM($E19:I19),0))</f>
        <v>0</v>
      </c>
      <c r="K19" s="493">
        <f>IF(K$3&lt;$D$4,J19,IF(K$3=$D$4,$D19-SUM($E19:J19),0))</f>
        <v>0</v>
      </c>
      <c r="L19" s="493">
        <f>IF(L$3&lt;$D$4,K19,IF(L$3=$D$4,$D19-SUM($E19:K19),0))</f>
        <v>0</v>
      </c>
      <c r="M19" s="493">
        <f>IF(M$3&lt;$D$4,L19,IF(M$3=$D$4,$D19-SUM($E19:L19),0))</f>
        <v>0</v>
      </c>
      <c r="N19" s="493">
        <f>IF(N$3&lt;$D$4,M19,IF(N$3=$D$4,$D19-SUM($E19:M19),0))</f>
        <v>0</v>
      </c>
      <c r="O19" s="493">
        <f>IF(O$3&lt;$D$4,N19,IF(O$3=$D$4,$D19-SUM($E19:N19),0))</f>
        <v>0</v>
      </c>
      <c r="P19" s="493">
        <f>IF(P$3&lt;$D$4,O19,IF(P$3=$D$4,$D19-SUM($E19:O19),0))</f>
        <v>0</v>
      </c>
      <c r="Q19" s="493">
        <f>IF(Q$3&lt;$D$4,P19,IF(Q$3=$D$4,$D19-SUM($E19:P19),0))</f>
        <v>0</v>
      </c>
      <c r="R19" s="493">
        <f>IF(R$3&lt;$D$4,Q19,IF(R$3=$D$4,$D19-SUM($E19:Q19),0))</f>
        <v>0</v>
      </c>
      <c r="S19" s="493">
        <f>IF(S$3&lt;$D$4,R19,IF(S$3=$D$4,$D19-SUM($E19:R19),0))</f>
        <v>0</v>
      </c>
      <c r="T19" s="493">
        <f>IF(T$3&lt;$D$4,S19,IF(T$3=$D$4,$D19-SUM($E19:S19),0))</f>
        <v>0</v>
      </c>
      <c r="U19" s="493">
        <f>IF(U$3&lt;$D$4,T19,IF(U$3=$D$4,$D19-SUM($E19:T19),0))</f>
        <v>0</v>
      </c>
      <c r="V19" s="493">
        <f>IF(V$3&lt;$D$4,U19,IF(V$3=$D$4,$D19-SUM($E19:U19),0))</f>
        <v>0</v>
      </c>
      <c r="W19" s="493">
        <f>IF(W$3&lt;$D$4,V19,IF(W$3=$D$4,$D19-SUM($E19:V19),0))</f>
        <v>0</v>
      </c>
      <c r="X19" s="493">
        <f>IF(X$3&lt;$D$4,W19,IF(X$3=$D$4,$D19-SUM($E19:W19),0))</f>
        <v>0</v>
      </c>
      <c r="Y19" s="493">
        <f>IF(Y$3&lt;$D$4,X19,IF(Y$3=$D$4,$D19-SUM($E19:X19),0))</f>
        <v>0</v>
      </c>
      <c r="Z19" s="493">
        <f>IF(Z$3&lt;$D$4,Y19,IF(Z$3=$D$4,$D19-SUM($E19:Y19),0))</f>
        <v>0</v>
      </c>
      <c r="AA19" s="493">
        <f>IF(AA$3&lt;$D$4,Z19,IF(AA$3=$D$4,$D19-SUM($E19:Z19),0))</f>
        <v>0</v>
      </c>
      <c r="AB19" s="493">
        <f>IF(AB$3&lt;$D$4,AA19,IF(AB$3=$D$4,$D19-SUM($E19:AA19),0))</f>
        <v>0</v>
      </c>
      <c r="AC19" s="493">
        <f>IF(AC$3&lt;$D$4,AB19,IF(AC$3=$D$4,$D19-SUM($E19:AB19),0))</f>
        <v>0</v>
      </c>
      <c r="AE19" s="495">
        <f t="shared" si="12"/>
        <v>0</v>
      </c>
      <c r="AF19" s="261" t="str">
        <f t="shared" si="13"/>
        <v/>
      </c>
    </row>
    <row r="20" spans="1:32" s="3" customFormat="1" x14ac:dyDescent="0.2">
      <c r="C20" s="486" t="str">
        <f>+'Development Costs'!C22</f>
        <v>Rehabilitation</v>
      </c>
      <c r="D20" s="495">
        <f>+'Development Costs'!D22</f>
        <v>800000</v>
      </c>
      <c r="E20" s="493">
        <v>0</v>
      </c>
      <c r="F20" s="493">
        <f t="shared" si="11"/>
        <v>0</v>
      </c>
      <c r="G20" s="493">
        <f>IF(G$3&lt;$D$4,F20,IF(G$3=$D$4,$D20-SUM($E20:F20),0))</f>
        <v>0</v>
      </c>
      <c r="H20" s="493">
        <f>IF(H$3&lt;$D$4,G20,IF(H$3=$D$4,$D20-SUM($E20:G20),0))</f>
        <v>0</v>
      </c>
      <c r="I20" s="493">
        <f>IF(I$3&lt;$D$4,H20,IF(I$3=$D$4,$D20-SUM($E20:H20),0))</f>
        <v>0</v>
      </c>
      <c r="J20" s="493">
        <f>IF(J$3&lt;$D$4,I20,IF(J$3=$D$4,$D20-SUM($E20:I20),0))</f>
        <v>0</v>
      </c>
      <c r="K20" s="493">
        <f>IF(K$3&lt;$D$4,J20,IF(K$3=$D$4,$D20-SUM($E20:J20),0))</f>
        <v>0</v>
      </c>
      <c r="L20" s="493">
        <f>IF(L$3&lt;$D$4,K20,IF(L$3=$D$4,$D20-SUM($E20:K20),0))</f>
        <v>0</v>
      </c>
      <c r="M20" s="493">
        <f>IF(M$3&lt;$D$4,L20,IF(M$3=$D$4,$D20-SUM($E20:L20),0))</f>
        <v>0</v>
      </c>
      <c r="N20" s="493">
        <f>IF(N$3&lt;$D$4,M20,IF(N$3=$D$4,$D20-SUM($E20:M20),0))</f>
        <v>0</v>
      </c>
      <c r="O20" s="493">
        <f>IF(O$3&lt;$D$4,N20,IF(O$3=$D$4,$D20-SUM($E20:N20),0))</f>
        <v>0</v>
      </c>
      <c r="P20" s="493">
        <f>IF(P$3&lt;$D$4,O20,IF(P$3=$D$4,$D20-SUM($E20:O20),0))</f>
        <v>0</v>
      </c>
      <c r="Q20" s="493">
        <f>IF(Q$3&lt;$D$4,P20,IF(Q$3=$D$4,$D20-SUM($E20:P20),0))</f>
        <v>0</v>
      </c>
      <c r="R20" s="493">
        <f>IF(R$3&lt;$D$4,Q20,IF(R$3=$D$4,$D20-SUM($E20:Q20),0))</f>
        <v>0</v>
      </c>
      <c r="S20" s="493">
        <f>IF(S$3&lt;$D$4,R20,IF(S$3=$D$4,$D20-SUM($E20:R20),0))</f>
        <v>0</v>
      </c>
      <c r="T20" s="493">
        <f>IF(T$3&lt;$D$4,S20,IF(T$3=$D$4,$D20-SUM($E20:S20),0))</f>
        <v>0</v>
      </c>
      <c r="U20" s="493">
        <f>IF(U$3&lt;$D$4,T20,IF(U$3=$D$4,$D20-SUM($E20:T20),0))</f>
        <v>0</v>
      </c>
      <c r="V20" s="493">
        <f>IF(V$3&lt;$D$4,U20,IF(V$3=$D$4,$D20-SUM($E20:U20),0))</f>
        <v>0</v>
      </c>
      <c r="W20" s="493">
        <f>IF(W$3&lt;$D$4,V20,IF(W$3=$D$4,$D20-SUM($E20:V20),0))</f>
        <v>0</v>
      </c>
      <c r="X20" s="493">
        <f>IF(X$3&lt;$D$4,W20,IF(X$3=$D$4,$D20-SUM($E20:W20),0))</f>
        <v>0</v>
      </c>
      <c r="Y20" s="493">
        <f>IF(Y$3&lt;$D$4,X20,IF(Y$3=$D$4,$D20-SUM($E20:X20),0))</f>
        <v>0</v>
      </c>
      <c r="Z20" s="493">
        <f>IF(Z$3&lt;$D$4,Y20,IF(Z$3=$D$4,$D20-SUM($E20:Y20),0))</f>
        <v>0</v>
      </c>
      <c r="AA20" s="493">
        <f>IF(AA$3&lt;$D$4,Z20,IF(AA$3=$D$4,$D20-SUM($E20:Z20),0))</f>
        <v>0</v>
      </c>
      <c r="AB20" s="493">
        <f>IF(AB$3&lt;$D$4,AA20,IF(AB$3=$D$4,$D20-SUM($E20:AA20),0))</f>
        <v>0</v>
      </c>
      <c r="AC20" s="493">
        <f>IF(AC$3&lt;$D$4,AB20,IF(AC$3=$D$4,$D20-SUM($E20:AB20),0))</f>
        <v>0</v>
      </c>
      <c r="AE20" s="495">
        <f t="shared" si="12"/>
        <v>0</v>
      </c>
      <c r="AF20" s="261" t="str">
        <f t="shared" si="13"/>
        <v/>
      </c>
    </row>
    <row r="21" spans="1:32" s="3" customFormat="1" x14ac:dyDescent="0.2">
      <c r="C21" s="486" t="str">
        <f>+'Development Costs'!C23</f>
        <v>General Requirements</v>
      </c>
      <c r="D21" s="495">
        <f>+'Development Costs'!D23</f>
        <v>40000</v>
      </c>
      <c r="E21" s="493">
        <v>0</v>
      </c>
      <c r="F21" s="493">
        <f t="shared" si="11"/>
        <v>0</v>
      </c>
      <c r="G21" s="493">
        <f>IF(G$3&lt;$D$4,F21,IF(G$3=$D$4,$D21-SUM($E21:F21),0))</f>
        <v>0</v>
      </c>
      <c r="H21" s="493">
        <f>IF(H$3&lt;$D$4,G21,IF(H$3=$D$4,$D21-SUM($E21:G21),0))</f>
        <v>0</v>
      </c>
      <c r="I21" s="493">
        <f>IF(I$3&lt;$D$4,H21,IF(I$3=$D$4,$D21-SUM($E21:H21),0))</f>
        <v>0</v>
      </c>
      <c r="J21" s="493">
        <f>IF(J$3&lt;$D$4,I21,IF(J$3=$D$4,$D21-SUM($E21:I21),0))</f>
        <v>0</v>
      </c>
      <c r="K21" s="493">
        <f>IF(K$3&lt;$D$4,J21,IF(K$3=$D$4,$D21-SUM($E21:J21),0))</f>
        <v>0</v>
      </c>
      <c r="L21" s="493">
        <f>IF(L$3&lt;$D$4,K21,IF(L$3=$D$4,$D21-SUM($E21:K21),0))</f>
        <v>0</v>
      </c>
      <c r="M21" s="493">
        <f>IF(M$3&lt;$D$4,L21,IF(M$3=$D$4,$D21-SUM($E21:L21),0))</f>
        <v>0</v>
      </c>
      <c r="N21" s="493">
        <f>IF(N$3&lt;$D$4,M21,IF(N$3=$D$4,$D21-SUM($E21:M21),0))</f>
        <v>0</v>
      </c>
      <c r="O21" s="493">
        <f>IF(O$3&lt;$D$4,N21,IF(O$3=$D$4,$D21-SUM($E21:N21),0))</f>
        <v>0</v>
      </c>
      <c r="P21" s="493">
        <f>IF(P$3&lt;$D$4,O21,IF(P$3=$D$4,$D21-SUM($E21:O21),0))</f>
        <v>0</v>
      </c>
      <c r="Q21" s="493">
        <f>IF(Q$3&lt;$D$4,P21,IF(Q$3=$D$4,$D21-SUM($E21:P21),0))</f>
        <v>0</v>
      </c>
      <c r="R21" s="493">
        <f>IF(R$3&lt;$D$4,Q21,IF(R$3=$D$4,$D21-SUM($E21:Q21),0))</f>
        <v>0</v>
      </c>
      <c r="S21" s="493">
        <f>IF(S$3&lt;$D$4,R21,IF(S$3=$D$4,$D21-SUM($E21:R21),0))</f>
        <v>0</v>
      </c>
      <c r="T21" s="493">
        <f>IF(T$3&lt;$D$4,S21,IF(T$3=$D$4,$D21-SUM($E21:S21),0))</f>
        <v>0</v>
      </c>
      <c r="U21" s="493">
        <f>IF(U$3&lt;$D$4,T21,IF(U$3=$D$4,$D21-SUM($E21:T21),0))</f>
        <v>0</v>
      </c>
      <c r="V21" s="493">
        <f>IF(V$3&lt;$D$4,U21,IF(V$3=$D$4,$D21-SUM($E21:U21),0))</f>
        <v>0</v>
      </c>
      <c r="W21" s="493">
        <f>IF(W$3&lt;$D$4,V21,IF(W$3=$D$4,$D21-SUM($E21:V21),0))</f>
        <v>0</v>
      </c>
      <c r="X21" s="493">
        <f>IF(X$3&lt;$D$4,W21,IF(X$3=$D$4,$D21-SUM($E21:W21),0))</f>
        <v>0</v>
      </c>
      <c r="Y21" s="493">
        <f>IF(Y$3&lt;$D$4,X21,IF(Y$3=$D$4,$D21-SUM($E21:X21),0))</f>
        <v>0</v>
      </c>
      <c r="Z21" s="493">
        <f>IF(Z$3&lt;$D$4,Y21,IF(Z$3=$D$4,$D21-SUM($E21:Y21),0))</f>
        <v>0</v>
      </c>
      <c r="AA21" s="493">
        <f>IF(AA$3&lt;$D$4,Z21,IF(AA$3=$D$4,$D21-SUM($E21:Z21),0))</f>
        <v>0</v>
      </c>
      <c r="AB21" s="493">
        <f>IF(AB$3&lt;$D$4,AA21,IF(AB$3=$D$4,$D21-SUM($E21:AA21),0))</f>
        <v>0</v>
      </c>
      <c r="AC21" s="493">
        <f>IF(AC$3&lt;$D$4,AB21,IF(AC$3=$D$4,$D21-SUM($E21:AB21),0))</f>
        <v>0</v>
      </c>
      <c r="AE21" s="495">
        <f t="shared" si="12"/>
        <v>0</v>
      </c>
      <c r="AF21" s="261" t="str">
        <f t="shared" si="13"/>
        <v/>
      </c>
    </row>
    <row r="22" spans="1:32" s="3" customFormat="1" x14ac:dyDescent="0.2">
      <c r="C22" s="486" t="str">
        <f>+'Development Costs'!C24</f>
        <v>Builder’s Overhead</v>
      </c>
      <c r="D22" s="495">
        <f>+'Development Costs'!D24</f>
        <v>15000</v>
      </c>
      <c r="E22" s="493">
        <v>0</v>
      </c>
      <c r="F22" s="493">
        <f t="shared" si="11"/>
        <v>0</v>
      </c>
      <c r="G22" s="493">
        <f>IF(G$3&lt;$D$4,F22,IF(G$3=$D$4,$D22-SUM($E22:F22),0))</f>
        <v>0</v>
      </c>
      <c r="H22" s="493">
        <f>IF(H$3&lt;$D$4,G22,IF(H$3=$D$4,$D22-SUM($E22:G22),0))</f>
        <v>0</v>
      </c>
      <c r="I22" s="493">
        <f>IF(I$3&lt;$D$4,H22,IF(I$3=$D$4,$D22-SUM($E22:H22),0))</f>
        <v>0</v>
      </c>
      <c r="J22" s="493">
        <f>IF(J$3&lt;$D$4,I22,IF(J$3=$D$4,$D22-SUM($E22:I22),0))</f>
        <v>0</v>
      </c>
      <c r="K22" s="493">
        <f>IF(K$3&lt;$D$4,J22,IF(K$3=$D$4,$D22-SUM($E22:J22),0))</f>
        <v>0</v>
      </c>
      <c r="L22" s="493">
        <f>IF(L$3&lt;$D$4,K22,IF(L$3=$D$4,$D22-SUM($E22:K22),0))</f>
        <v>0</v>
      </c>
      <c r="M22" s="493">
        <f>IF(M$3&lt;$D$4,L22,IF(M$3=$D$4,$D22-SUM($E22:L22),0))</f>
        <v>0</v>
      </c>
      <c r="N22" s="493">
        <f>IF(N$3&lt;$D$4,M22,IF(N$3=$D$4,$D22-SUM($E22:M22),0))</f>
        <v>0</v>
      </c>
      <c r="O22" s="493">
        <f>IF(O$3&lt;$D$4,N22,IF(O$3=$D$4,$D22-SUM($E22:N22),0))</f>
        <v>0</v>
      </c>
      <c r="P22" s="493">
        <f>IF(P$3&lt;$D$4,O22,IF(P$3=$D$4,$D22-SUM($E22:O22),0))</f>
        <v>0</v>
      </c>
      <c r="Q22" s="493">
        <f>IF(Q$3&lt;$D$4,P22,IF(Q$3=$D$4,$D22-SUM($E22:P22),0))</f>
        <v>0</v>
      </c>
      <c r="R22" s="493">
        <f>IF(R$3&lt;$D$4,Q22,IF(R$3=$D$4,$D22-SUM($E22:Q22),0))</f>
        <v>0</v>
      </c>
      <c r="S22" s="493">
        <f>IF(S$3&lt;$D$4,R22,IF(S$3=$D$4,$D22-SUM($E22:R22),0))</f>
        <v>0</v>
      </c>
      <c r="T22" s="493">
        <f>IF(T$3&lt;$D$4,S22,IF(T$3=$D$4,$D22-SUM($E22:S22),0))</f>
        <v>0</v>
      </c>
      <c r="U22" s="493">
        <f>IF(U$3&lt;$D$4,T22,IF(U$3=$D$4,$D22-SUM($E22:T22),0))</f>
        <v>0</v>
      </c>
      <c r="V22" s="493">
        <f>IF(V$3&lt;$D$4,U22,IF(V$3=$D$4,$D22-SUM($E22:U22),0))</f>
        <v>0</v>
      </c>
      <c r="W22" s="493">
        <f>IF(W$3&lt;$D$4,V22,IF(W$3=$D$4,$D22-SUM($E22:V22),0))</f>
        <v>0</v>
      </c>
      <c r="X22" s="493">
        <f>IF(X$3&lt;$D$4,W22,IF(X$3=$D$4,$D22-SUM($E22:W22),0))</f>
        <v>0</v>
      </c>
      <c r="Y22" s="493">
        <f>IF(Y$3&lt;$D$4,X22,IF(Y$3=$D$4,$D22-SUM($E22:X22),0))</f>
        <v>0</v>
      </c>
      <c r="Z22" s="493">
        <f>IF(Z$3&lt;$D$4,Y22,IF(Z$3=$D$4,$D22-SUM($E22:Y22),0))</f>
        <v>0</v>
      </c>
      <c r="AA22" s="493">
        <f>IF(AA$3&lt;$D$4,Z22,IF(AA$3=$D$4,$D22-SUM($E22:Z22),0))</f>
        <v>0</v>
      </c>
      <c r="AB22" s="493">
        <f>IF(AB$3&lt;$D$4,AA22,IF(AB$3=$D$4,$D22-SUM($E22:AA22),0))</f>
        <v>0</v>
      </c>
      <c r="AC22" s="493">
        <f>IF(AC$3&lt;$D$4,AB22,IF(AC$3=$D$4,$D22-SUM($E22:AB22),0))</f>
        <v>0</v>
      </c>
      <c r="AE22" s="495">
        <f t="shared" si="12"/>
        <v>0</v>
      </c>
      <c r="AF22" s="261" t="str">
        <f t="shared" si="13"/>
        <v/>
      </c>
    </row>
    <row r="23" spans="1:32" s="3" customFormat="1" x14ac:dyDescent="0.2">
      <c r="C23" s="486" t="str">
        <f>+'Development Costs'!C25</f>
        <v>Builder Profit</v>
      </c>
      <c r="D23" s="495">
        <f>+'Development Costs'!D25</f>
        <v>50000</v>
      </c>
      <c r="E23" s="493">
        <v>0</v>
      </c>
      <c r="F23" s="493">
        <f t="shared" si="11"/>
        <v>0</v>
      </c>
      <c r="G23" s="493">
        <f>IF(G$3&lt;$D$4,F23,IF(G$3=$D$4,$D23-SUM($E23:F23),0))</f>
        <v>0</v>
      </c>
      <c r="H23" s="493">
        <f>IF(H$3&lt;$D$4,G23,IF(H$3=$D$4,$D23-SUM($E23:G23),0))</f>
        <v>0</v>
      </c>
      <c r="I23" s="493">
        <f>IF(I$3&lt;$D$4,H23,IF(I$3=$D$4,$D23-SUM($E23:H23),0))</f>
        <v>0</v>
      </c>
      <c r="J23" s="493">
        <f>IF(J$3&lt;$D$4,I23,IF(J$3=$D$4,$D23-SUM($E23:I23),0))</f>
        <v>0</v>
      </c>
      <c r="K23" s="493">
        <f>IF(K$3&lt;$D$4,J23,IF(K$3=$D$4,$D23-SUM($E23:J23),0))</f>
        <v>0</v>
      </c>
      <c r="L23" s="493">
        <f>IF(L$3&lt;$D$4,K23,IF(L$3=$D$4,$D23-SUM($E23:K23),0))</f>
        <v>0</v>
      </c>
      <c r="M23" s="493">
        <f>IF(M$3&lt;$D$4,L23,IF(M$3=$D$4,$D23-SUM($E23:L23),0))</f>
        <v>0</v>
      </c>
      <c r="N23" s="493">
        <f>IF(N$3&lt;$D$4,M23,IF(N$3=$D$4,$D23-SUM($E23:M23),0))</f>
        <v>0</v>
      </c>
      <c r="O23" s="493">
        <f>IF(O$3&lt;$D$4,N23,IF(O$3=$D$4,$D23-SUM($E23:N23),0))</f>
        <v>0</v>
      </c>
      <c r="P23" s="493">
        <f>IF(P$3&lt;$D$4,O23,IF(P$3=$D$4,$D23-SUM($E23:O23),0))</f>
        <v>0</v>
      </c>
      <c r="Q23" s="493">
        <f>IF(Q$3&lt;$D$4,P23,IF(Q$3=$D$4,$D23-SUM($E23:P23),0))</f>
        <v>0</v>
      </c>
      <c r="R23" s="493">
        <f>IF(R$3&lt;$D$4,Q23,IF(R$3=$D$4,$D23-SUM($E23:Q23),0))</f>
        <v>0</v>
      </c>
      <c r="S23" s="493">
        <f>IF(S$3&lt;$D$4,R23,IF(S$3=$D$4,$D23-SUM($E23:R23),0))</f>
        <v>0</v>
      </c>
      <c r="T23" s="493">
        <f>IF(T$3&lt;$D$4,S23,IF(T$3=$D$4,$D23-SUM($E23:S23),0))</f>
        <v>0</v>
      </c>
      <c r="U23" s="493">
        <f>IF(U$3&lt;$D$4,T23,IF(U$3=$D$4,$D23-SUM($E23:T23),0))</f>
        <v>0</v>
      </c>
      <c r="V23" s="493">
        <f>IF(V$3&lt;$D$4,U23,IF(V$3=$D$4,$D23-SUM($E23:U23),0))</f>
        <v>0</v>
      </c>
      <c r="W23" s="493">
        <f>IF(W$3&lt;$D$4,V23,IF(W$3=$D$4,$D23-SUM($E23:V23),0))</f>
        <v>0</v>
      </c>
      <c r="X23" s="493">
        <f>IF(X$3&lt;$D$4,W23,IF(X$3=$D$4,$D23-SUM($E23:W23),0))</f>
        <v>0</v>
      </c>
      <c r="Y23" s="493">
        <f>IF(Y$3&lt;$D$4,X23,IF(Y$3=$D$4,$D23-SUM($E23:X23),0))</f>
        <v>0</v>
      </c>
      <c r="Z23" s="493">
        <f>IF(Z$3&lt;$D$4,Y23,IF(Z$3=$D$4,$D23-SUM($E23:Y23),0))</f>
        <v>0</v>
      </c>
      <c r="AA23" s="493">
        <f>IF(AA$3&lt;$D$4,Z23,IF(AA$3=$D$4,$D23-SUM($E23:Z23),0))</f>
        <v>0</v>
      </c>
      <c r="AB23" s="493">
        <f>IF(AB$3&lt;$D$4,AA23,IF(AB$3=$D$4,$D23-SUM($E23:AA23),0))</f>
        <v>0</v>
      </c>
      <c r="AC23" s="493">
        <f>IF(AC$3&lt;$D$4,AB23,IF(AC$3=$D$4,$D23-SUM($E23:AB23),0))</f>
        <v>0</v>
      </c>
      <c r="AE23" s="495">
        <f t="shared" si="12"/>
        <v>0</v>
      </c>
      <c r="AF23" s="261" t="str">
        <f t="shared" si="13"/>
        <v/>
      </c>
    </row>
    <row r="24" spans="1:32" s="3" customFormat="1" x14ac:dyDescent="0.2">
      <c r="C24" s="486" t="str">
        <f>+'Development Costs'!C26</f>
        <v>Performance Bond Premium</v>
      </c>
      <c r="D24" s="495">
        <f>+'Development Costs'!D26</f>
        <v>0</v>
      </c>
      <c r="E24" s="493">
        <f>+D24</f>
        <v>0</v>
      </c>
      <c r="F24" s="493">
        <f t="shared" si="11"/>
        <v>0</v>
      </c>
      <c r="G24" s="493">
        <f>IF(G$3&lt;$D$4,F24,IF(G$3=$D$4,$D24-SUM($E24:F24),0))</f>
        <v>0</v>
      </c>
      <c r="H24" s="493">
        <f>IF(H$3&lt;$D$4,G24,IF(H$3=$D$4,$D24-SUM($E24:G24),0))</f>
        <v>0</v>
      </c>
      <c r="I24" s="493">
        <f>IF(I$3&lt;$D$4,H24,IF(I$3=$D$4,$D24-SUM($E24:H24),0))</f>
        <v>0</v>
      </c>
      <c r="J24" s="493">
        <f>IF(J$3&lt;$D$4,I24,IF(J$3=$D$4,$D24-SUM($E24:I24),0))</f>
        <v>0</v>
      </c>
      <c r="K24" s="493">
        <f>IF(K$3&lt;$D$4,J24,IF(K$3=$D$4,$D24-SUM($E24:J24),0))</f>
        <v>0</v>
      </c>
      <c r="L24" s="493">
        <f>IF(L$3&lt;$D$4,K24,IF(L$3=$D$4,$D24-SUM($E24:K24),0))</f>
        <v>0</v>
      </c>
      <c r="M24" s="493">
        <f>IF(M$3&lt;$D$4,L24,IF(M$3=$D$4,$D24-SUM($E24:L24),0))</f>
        <v>0</v>
      </c>
      <c r="N24" s="493">
        <f>IF(N$3&lt;$D$4,M24,IF(N$3=$D$4,$D24-SUM($E24:M24),0))</f>
        <v>0</v>
      </c>
      <c r="O24" s="493">
        <f>IF(O$3&lt;$D$4,N24,IF(O$3=$D$4,$D24-SUM($E24:N24),0))</f>
        <v>0</v>
      </c>
      <c r="P24" s="493">
        <f>IF(P$3&lt;$D$4,O24,IF(P$3=$D$4,$D24-SUM($E24:O24),0))</f>
        <v>0</v>
      </c>
      <c r="Q24" s="493">
        <f>IF(Q$3&lt;$D$4,P24,IF(Q$3=$D$4,$D24-SUM($E24:P24),0))</f>
        <v>0</v>
      </c>
      <c r="R24" s="493">
        <f>IF(R$3&lt;$D$4,Q24,IF(R$3=$D$4,$D24-SUM($E24:Q24),0))</f>
        <v>0</v>
      </c>
      <c r="S24" s="493">
        <f>IF(S$3&lt;$D$4,R24,IF(S$3=$D$4,$D24-SUM($E24:R24),0))</f>
        <v>0</v>
      </c>
      <c r="T24" s="493">
        <f>IF(T$3&lt;$D$4,S24,IF(T$3=$D$4,$D24-SUM($E24:S24),0))</f>
        <v>0</v>
      </c>
      <c r="U24" s="493">
        <f>IF(U$3&lt;$D$4,T24,IF(U$3=$D$4,$D24-SUM($E24:T24),0))</f>
        <v>0</v>
      </c>
      <c r="V24" s="493">
        <f>IF(V$3&lt;$D$4,U24,IF(V$3=$D$4,$D24-SUM($E24:U24),0))</f>
        <v>0</v>
      </c>
      <c r="W24" s="493">
        <f>IF(W$3&lt;$D$4,V24,IF(W$3=$D$4,$D24-SUM($E24:V24),0))</f>
        <v>0</v>
      </c>
      <c r="X24" s="493">
        <f>IF(X$3&lt;$D$4,W24,IF(X$3=$D$4,$D24-SUM($E24:W24),0))</f>
        <v>0</v>
      </c>
      <c r="Y24" s="493">
        <f>IF(Y$3&lt;$D$4,X24,IF(Y$3=$D$4,$D24-SUM($E24:X24),0))</f>
        <v>0</v>
      </c>
      <c r="Z24" s="493">
        <f>IF(Z$3&lt;$D$4,Y24,IF(Z$3=$D$4,$D24-SUM($E24:Y24),0))</f>
        <v>0</v>
      </c>
      <c r="AA24" s="493">
        <f>IF(AA$3&lt;$D$4,Z24,IF(AA$3=$D$4,$D24-SUM($E24:Z24),0))</f>
        <v>0</v>
      </c>
      <c r="AB24" s="493">
        <f>IF(AB$3&lt;$D$4,AA24,IF(AB$3=$D$4,$D24-SUM($E24:AA24),0))</f>
        <v>0</v>
      </c>
      <c r="AC24" s="493">
        <f>IF(AC$3&lt;$D$4,AB24,IF(AC$3=$D$4,$D24-SUM($E24:AB24),0))</f>
        <v>0</v>
      </c>
      <c r="AE24" s="495">
        <f t="shared" si="12"/>
        <v>0</v>
      </c>
      <c r="AF24" s="261" t="str">
        <f t="shared" si="13"/>
        <v/>
      </c>
    </row>
    <row r="25" spans="1:32" s="3" customFormat="1" x14ac:dyDescent="0.2">
      <c r="C25" s="486" t="str">
        <f>+'Development Costs'!C27</f>
        <v>Construction Contingency</v>
      </c>
      <c r="D25" s="495">
        <f>+'Development Costs'!D27</f>
        <v>120000</v>
      </c>
      <c r="E25" s="493">
        <v>0</v>
      </c>
      <c r="F25" s="493">
        <f t="shared" si="11"/>
        <v>0</v>
      </c>
      <c r="G25" s="493">
        <f>IF(G$3&lt;$D$4,F25,IF(G$3=$D$4,$D25-SUM($E25:F25),0))</f>
        <v>0</v>
      </c>
      <c r="H25" s="493">
        <f>IF(H$3&lt;$D$4,G25,IF(H$3=$D$4,$D25-SUM($E25:G25),0))</f>
        <v>0</v>
      </c>
      <c r="I25" s="493">
        <f>IF(I$3&lt;$D$4,H25,IF(I$3=$D$4,$D25-SUM($E25:H25),0))</f>
        <v>0</v>
      </c>
      <c r="J25" s="493">
        <f>IF(J$3&lt;$D$4,I25,IF(J$3=$D$4,$D25-SUM($E25:I25),0))</f>
        <v>0</v>
      </c>
      <c r="K25" s="493">
        <f>IF(K$3&lt;$D$4,J25,IF(K$3=$D$4,$D25-SUM($E25:J25),0))</f>
        <v>0</v>
      </c>
      <c r="L25" s="493">
        <f>IF(L$3&lt;$D$4,K25,IF(L$3=$D$4,$D25-SUM($E25:K25),0))</f>
        <v>0</v>
      </c>
      <c r="M25" s="493">
        <f>IF(M$3&lt;$D$4,L25,IF(M$3=$D$4,$D25-SUM($E25:L25),0))</f>
        <v>0</v>
      </c>
      <c r="N25" s="493">
        <f>IF(N$3&lt;$D$4,M25,IF(N$3=$D$4,$D25-SUM($E25:M25),0))</f>
        <v>0</v>
      </c>
      <c r="O25" s="493">
        <f>IF(O$3&lt;$D$4,N25,IF(O$3=$D$4,$D25-SUM($E25:N25),0))</f>
        <v>0</v>
      </c>
      <c r="P25" s="493">
        <f>IF(P$3&lt;$D$4,O25,IF(P$3=$D$4,$D25-SUM($E25:O25),0))</f>
        <v>0</v>
      </c>
      <c r="Q25" s="493">
        <f>IF(Q$3&lt;$D$4,P25,IF(Q$3=$D$4,$D25-SUM($E25:P25),0))</f>
        <v>0</v>
      </c>
      <c r="R25" s="493">
        <f>IF(R$3&lt;$D$4,Q25,IF(R$3=$D$4,$D25-SUM($E25:Q25),0))</f>
        <v>0</v>
      </c>
      <c r="S25" s="493">
        <f>IF(S$3&lt;$D$4,R25,IF(S$3=$D$4,$D25-SUM($E25:R25),0))</f>
        <v>0</v>
      </c>
      <c r="T25" s="493">
        <f>IF(T$3&lt;$D$4,S25,IF(T$3=$D$4,$D25-SUM($E25:S25),0))</f>
        <v>0</v>
      </c>
      <c r="U25" s="493">
        <f>IF(U$3&lt;$D$4,T25,IF(U$3=$D$4,$D25-SUM($E25:T25),0))</f>
        <v>0</v>
      </c>
      <c r="V25" s="493">
        <f>IF(V$3&lt;$D$4,U25,IF(V$3=$D$4,$D25-SUM($E25:U25),0))</f>
        <v>0</v>
      </c>
      <c r="W25" s="493">
        <f>IF(W$3&lt;$D$4,V25,IF(W$3=$D$4,$D25-SUM($E25:V25),0))</f>
        <v>0</v>
      </c>
      <c r="X25" s="493">
        <f>IF(X$3&lt;$D$4,W25,IF(X$3=$D$4,$D25-SUM($E25:W25),0))</f>
        <v>0</v>
      </c>
      <c r="Y25" s="493">
        <f>IF(Y$3&lt;$D$4,X25,IF(Y$3=$D$4,$D25-SUM($E25:X25),0))</f>
        <v>0</v>
      </c>
      <c r="Z25" s="493">
        <f>IF(Z$3&lt;$D$4,Y25,IF(Z$3=$D$4,$D25-SUM($E25:Y25),0))</f>
        <v>0</v>
      </c>
      <c r="AA25" s="493">
        <f>IF(AA$3&lt;$D$4,Z25,IF(AA$3=$D$4,$D25-SUM($E25:Z25),0))</f>
        <v>0</v>
      </c>
      <c r="AB25" s="493">
        <f>IF(AB$3&lt;$D$4,AA25,IF(AB$3=$D$4,$D25-SUM($E25:AA25),0))</f>
        <v>0</v>
      </c>
      <c r="AC25" s="493">
        <f>IF(AC$3&lt;$D$4,AB25,IF(AC$3=$D$4,$D25-SUM($E25:AB25),0))</f>
        <v>0</v>
      </c>
      <c r="AE25" s="495">
        <f t="shared" si="12"/>
        <v>0</v>
      </c>
      <c r="AF25" s="261" t="str">
        <f t="shared" si="13"/>
        <v/>
      </c>
    </row>
    <row r="26" spans="1:32" s="3" customFormat="1" x14ac:dyDescent="0.2">
      <c r="C26" s="486">
        <f>+'Development Costs'!C28</f>
        <v>0</v>
      </c>
      <c r="D26" s="495">
        <f>+'Development Costs'!D28</f>
        <v>0</v>
      </c>
      <c r="E26" s="493">
        <v>0</v>
      </c>
      <c r="F26" s="493">
        <f t="shared" si="11"/>
        <v>0</v>
      </c>
      <c r="G26" s="493">
        <f>IF(G$3&lt;$D$4,F26,IF(G$3=$D$4,$D26-SUM($E26:F26),0))</f>
        <v>0</v>
      </c>
      <c r="H26" s="493">
        <f>IF(H$3&lt;$D$4,G26,IF(H$3=$D$4,$D26-SUM($E26:G26),0))</f>
        <v>0</v>
      </c>
      <c r="I26" s="493">
        <f>IF(I$3&lt;$D$4,H26,IF(I$3=$D$4,$D26-SUM($E26:H26),0))</f>
        <v>0</v>
      </c>
      <c r="J26" s="493">
        <f>IF(J$3&lt;$D$4,I26,IF(J$3=$D$4,$D26-SUM($E26:I26),0))</f>
        <v>0</v>
      </c>
      <c r="K26" s="493">
        <f>IF(K$3&lt;$D$4,J26,IF(K$3=$D$4,$D26-SUM($E26:J26),0))</f>
        <v>0</v>
      </c>
      <c r="L26" s="493">
        <f>IF(L$3&lt;$D$4,K26,IF(L$3=$D$4,$D26-SUM($E26:K26),0))</f>
        <v>0</v>
      </c>
      <c r="M26" s="493">
        <f>IF(M$3&lt;$D$4,L26,IF(M$3=$D$4,$D26-SUM($E26:L26),0))</f>
        <v>0</v>
      </c>
      <c r="N26" s="493">
        <f>IF(N$3&lt;$D$4,M26,IF(N$3=$D$4,$D26-SUM($E26:M26),0))</f>
        <v>0</v>
      </c>
      <c r="O26" s="493">
        <f>IF(O$3&lt;$D$4,N26,IF(O$3=$D$4,$D26-SUM($E26:N26),0))</f>
        <v>0</v>
      </c>
      <c r="P26" s="493">
        <f>IF(P$3&lt;$D$4,O26,IF(P$3=$D$4,$D26-SUM($E26:O26),0))</f>
        <v>0</v>
      </c>
      <c r="Q26" s="493">
        <f>IF(Q$3&lt;$D$4,P26,IF(Q$3=$D$4,$D26-SUM($E26:P26),0))</f>
        <v>0</v>
      </c>
      <c r="R26" s="493">
        <f>IF(R$3&lt;$D$4,Q26,IF(R$3=$D$4,$D26-SUM($E26:Q26),0))</f>
        <v>0</v>
      </c>
      <c r="S26" s="493">
        <f>IF(S$3&lt;$D$4,R26,IF(S$3=$D$4,$D26-SUM($E26:R26),0))</f>
        <v>0</v>
      </c>
      <c r="T26" s="493">
        <f>IF(T$3&lt;$D$4,S26,IF(T$3=$D$4,$D26-SUM($E26:S26),0))</f>
        <v>0</v>
      </c>
      <c r="U26" s="493">
        <f>IF(U$3&lt;$D$4,T26,IF(U$3=$D$4,$D26-SUM($E26:T26),0))</f>
        <v>0</v>
      </c>
      <c r="V26" s="493">
        <f>IF(V$3&lt;$D$4,U26,IF(V$3=$D$4,$D26-SUM($E26:U26),0))</f>
        <v>0</v>
      </c>
      <c r="W26" s="493">
        <f>IF(W$3&lt;$D$4,V26,IF(W$3=$D$4,$D26-SUM($E26:V26),0))</f>
        <v>0</v>
      </c>
      <c r="X26" s="493">
        <f>IF(X$3&lt;$D$4,W26,IF(X$3=$D$4,$D26-SUM($E26:W26),0))</f>
        <v>0</v>
      </c>
      <c r="Y26" s="493">
        <f>IF(Y$3&lt;$D$4,X26,IF(Y$3=$D$4,$D26-SUM($E26:X26),0))</f>
        <v>0</v>
      </c>
      <c r="Z26" s="493">
        <f>IF(Z$3&lt;$D$4,Y26,IF(Z$3=$D$4,$D26-SUM($E26:Y26),0))</f>
        <v>0</v>
      </c>
      <c r="AA26" s="493">
        <f>IF(AA$3&lt;$D$4,Z26,IF(AA$3=$D$4,$D26-SUM($E26:Z26),0))</f>
        <v>0</v>
      </c>
      <c r="AB26" s="493">
        <f>IF(AB$3&lt;$D$4,AA26,IF(AB$3=$D$4,$D26-SUM($E26:AA26),0))</f>
        <v>0</v>
      </c>
      <c r="AC26" s="493">
        <f>IF(AC$3&lt;$D$4,AB26,IF(AC$3=$D$4,$D26-SUM($E26:AB26),0))</f>
        <v>0</v>
      </c>
      <c r="AE26" s="495">
        <f t="shared" si="12"/>
        <v>0</v>
      </c>
      <c r="AF26" s="261" t="str">
        <f t="shared" si="13"/>
        <v/>
      </c>
    </row>
    <row r="27" spans="1:32" s="3" customFormat="1" x14ac:dyDescent="0.2">
      <c r="C27" s="486">
        <f>+'Development Costs'!C29</f>
        <v>0</v>
      </c>
      <c r="D27" s="495">
        <f>+'Development Costs'!D29</f>
        <v>0</v>
      </c>
      <c r="E27" s="493">
        <v>0</v>
      </c>
      <c r="F27" s="493">
        <f t="shared" si="11"/>
        <v>0</v>
      </c>
      <c r="G27" s="493">
        <f>IF(G$3&lt;$D$4,F27,IF(G$3=$D$4,$D27-SUM($E27:F27),0))</f>
        <v>0</v>
      </c>
      <c r="H27" s="493">
        <f>IF(H$3&lt;$D$4,G27,IF(H$3=$D$4,$D27-SUM($E27:G27),0))</f>
        <v>0</v>
      </c>
      <c r="I27" s="493">
        <f>IF(I$3&lt;$D$4,H27,IF(I$3=$D$4,$D27-SUM($E27:H27),0))</f>
        <v>0</v>
      </c>
      <c r="J27" s="493">
        <f>IF(J$3&lt;$D$4,I27,IF(J$3=$D$4,$D27-SUM($E27:I27),0))</f>
        <v>0</v>
      </c>
      <c r="K27" s="493">
        <f>IF(K$3&lt;$D$4,J27,IF(K$3=$D$4,$D27-SUM($E27:J27),0))</f>
        <v>0</v>
      </c>
      <c r="L27" s="493">
        <f>IF(L$3&lt;$D$4,K27,IF(L$3=$D$4,$D27-SUM($E27:K27),0))</f>
        <v>0</v>
      </c>
      <c r="M27" s="493">
        <f>IF(M$3&lt;$D$4,L27,IF(M$3=$D$4,$D27-SUM($E27:L27),0))</f>
        <v>0</v>
      </c>
      <c r="N27" s="493">
        <f>IF(N$3&lt;$D$4,M27,IF(N$3=$D$4,$D27-SUM($E27:M27),0))</f>
        <v>0</v>
      </c>
      <c r="O27" s="493">
        <f>IF(O$3&lt;$D$4,N27,IF(O$3=$D$4,$D27-SUM($E27:N27),0))</f>
        <v>0</v>
      </c>
      <c r="P27" s="493">
        <f>IF(P$3&lt;$D$4,O27,IF(P$3=$D$4,$D27-SUM($E27:O27),0))</f>
        <v>0</v>
      </c>
      <c r="Q27" s="493">
        <f>IF(Q$3&lt;$D$4,P27,IF(Q$3=$D$4,$D27-SUM($E27:P27),0))</f>
        <v>0</v>
      </c>
      <c r="R27" s="493">
        <f>IF(R$3&lt;$D$4,Q27,IF(R$3=$D$4,$D27-SUM($E27:Q27),0))</f>
        <v>0</v>
      </c>
      <c r="S27" s="493">
        <f>IF(S$3&lt;$D$4,R27,IF(S$3=$D$4,$D27-SUM($E27:R27),0))</f>
        <v>0</v>
      </c>
      <c r="T27" s="493">
        <f>IF(T$3&lt;$D$4,S27,IF(T$3=$D$4,$D27-SUM($E27:S27),0))</f>
        <v>0</v>
      </c>
      <c r="U27" s="493">
        <f>IF(U$3&lt;$D$4,T27,IF(U$3=$D$4,$D27-SUM($E27:T27),0))</f>
        <v>0</v>
      </c>
      <c r="V27" s="493">
        <f>IF(V$3&lt;$D$4,U27,IF(V$3=$D$4,$D27-SUM($E27:U27),0))</f>
        <v>0</v>
      </c>
      <c r="W27" s="493">
        <f>IF(W$3&lt;$D$4,V27,IF(W$3=$D$4,$D27-SUM($E27:V27),0))</f>
        <v>0</v>
      </c>
      <c r="X27" s="493">
        <f>IF(X$3&lt;$D$4,W27,IF(X$3=$D$4,$D27-SUM($E27:W27),0))</f>
        <v>0</v>
      </c>
      <c r="Y27" s="493">
        <f>IF(Y$3&lt;$D$4,X27,IF(Y$3=$D$4,$D27-SUM($E27:X27),0))</f>
        <v>0</v>
      </c>
      <c r="Z27" s="493">
        <f>IF(Z$3&lt;$D$4,Y27,IF(Z$3=$D$4,$D27-SUM($E27:Y27),0))</f>
        <v>0</v>
      </c>
      <c r="AA27" s="493">
        <f>IF(AA$3&lt;$D$4,Z27,IF(AA$3=$D$4,$D27-SUM($E27:Z27),0))</f>
        <v>0</v>
      </c>
      <c r="AB27" s="493">
        <f>IF(AB$3&lt;$D$4,AA27,IF(AB$3=$D$4,$D27-SUM($E27:AA27),0))</f>
        <v>0</v>
      </c>
      <c r="AC27" s="493">
        <f>IF(AC$3&lt;$D$4,AB27,IF(AC$3=$D$4,$D27-SUM($E27:AB27),0))</f>
        <v>0</v>
      </c>
      <c r="AE27" s="495">
        <f t="shared" si="12"/>
        <v>0</v>
      </c>
      <c r="AF27" s="261" t="str">
        <f t="shared" si="13"/>
        <v/>
      </c>
    </row>
    <row r="28" spans="1:32" s="350" customFormat="1" ht="12.75" customHeight="1" x14ac:dyDescent="0.2">
      <c r="A28" s="3"/>
      <c r="C28" s="215" t="s">
        <v>103</v>
      </c>
      <c r="D28" s="494"/>
      <c r="E28" s="494"/>
      <c r="F28" s="494"/>
      <c r="G28" s="494"/>
      <c r="H28" s="494"/>
      <c r="I28" s="494"/>
      <c r="J28" s="494"/>
      <c r="K28" s="494"/>
      <c r="L28" s="494"/>
      <c r="M28" s="494"/>
      <c r="N28" s="494"/>
      <c r="O28" s="494"/>
      <c r="P28" s="494"/>
      <c r="Q28" s="494"/>
      <c r="R28" s="494"/>
      <c r="S28" s="494"/>
      <c r="T28" s="494"/>
      <c r="U28" s="494"/>
      <c r="V28" s="494"/>
      <c r="W28" s="494"/>
      <c r="X28" s="494"/>
      <c r="Y28" s="494"/>
      <c r="Z28" s="494"/>
      <c r="AA28" s="494"/>
      <c r="AB28" s="494"/>
      <c r="AC28" s="494"/>
      <c r="AE28" s="494"/>
    </row>
    <row r="29" spans="1:32" s="3" customFormat="1" x14ac:dyDescent="0.2">
      <c r="C29" s="486" t="str">
        <f>+'Development Costs'!C31</f>
        <v>Architect Fee -- Design</v>
      </c>
      <c r="D29" s="495">
        <f>+'Development Costs'!D31</f>
        <v>30000</v>
      </c>
      <c r="E29" s="493">
        <f>+D29</f>
        <v>30000</v>
      </c>
      <c r="F29" s="493">
        <f t="shared" ref="F29:F32" si="14">IF($D$4=0,0,ROUND((D29-E29)/$D$4,0))</f>
        <v>0</v>
      </c>
      <c r="G29" s="493">
        <f>IF(G$3&lt;$D$4,F29,IF(G$3=$D$4,$D29-SUM($E29:F29),0))</f>
        <v>0</v>
      </c>
      <c r="H29" s="493">
        <f>IF(H$3&lt;$D$4,G29,IF(H$3=$D$4,$D29-SUM($E29:G29),0))</f>
        <v>0</v>
      </c>
      <c r="I29" s="493">
        <f>IF(I$3&lt;$D$4,H29,IF(I$3=$D$4,$D29-SUM($E29:H29),0))</f>
        <v>0</v>
      </c>
      <c r="J29" s="493">
        <f>IF(J$3&lt;$D$4,I29,IF(J$3=$D$4,$D29-SUM($E29:I29),0))</f>
        <v>0</v>
      </c>
      <c r="K29" s="493">
        <f>IF(K$3&lt;$D$4,J29,IF(K$3=$D$4,$D29-SUM($E29:J29),0))</f>
        <v>0</v>
      </c>
      <c r="L29" s="493">
        <f>IF(L$3&lt;$D$4,K29,IF(L$3=$D$4,$D29-SUM($E29:K29),0))</f>
        <v>0</v>
      </c>
      <c r="M29" s="493">
        <f>IF(M$3&lt;$D$4,L29,IF(M$3=$D$4,$D29-SUM($E29:L29),0))</f>
        <v>0</v>
      </c>
      <c r="N29" s="493">
        <f>IF(N$3&lt;$D$4,M29,IF(N$3=$D$4,$D29-SUM($E29:M29),0))</f>
        <v>0</v>
      </c>
      <c r="O29" s="493">
        <f>IF(O$3&lt;$D$4,N29,IF(O$3=$D$4,$D29-SUM($E29:N29),0))</f>
        <v>0</v>
      </c>
      <c r="P29" s="493">
        <f>IF(P$3&lt;$D$4,O29,IF(P$3=$D$4,$D29-SUM($E29:O29),0))</f>
        <v>0</v>
      </c>
      <c r="Q29" s="493">
        <f>IF(Q$3&lt;$D$4,P29,IF(Q$3=$D$4,$D29-SUM($E29:P29),0))</f>
        <v>0</v>
      </c>
      <c r="R29" s="493">
        <f>IF(R$3&lt;$D$4,Q29,IF(R$3=$D$4,$D29-SUM($E29:Q29),0))</f>
        <v>0</v>
      </c>
      <c r="S29" s="493">
        <f>IF(S$3&lt;$D$4,R29,IF(S$3=$D$4,$D29-SUM($E29:R29),0))</f>
        <v>0</v>
      </c>
      <c r="T29" s="493">
        <f>IF(T$3&lt;$D$4,S29,IF(T$3=$D$4,$D29-SUM($E29:S29),0))</f>
        <v>0</v>
      </c>
      <c r="U29" s="493">
        <f>IF(U$3&lt;$D$4,T29,IF(U$3=$D$4,$D29-SUM($E29:T29),0))</f>
        <v>0</v>
      </c>
      <c r="V29" s="493">
        <f>IF(V$3&lt;$D$4,U29,IF(V$3=$D$4,$D29-SUM($E29:U29),0))</f>
        <v>0</v>
      </c>
      <c r="W29" s="493">
        <f>IF(W$3&lt;$D$4,V29,IF(W$3=$D$4,$D29-SUM($E29:V29),0))</f>
        <v>0</v>
      </c>
      <c r="X29" s="493">
        <f>IF(X$3&lt;$D$4,W29,IF(X$3=$D$4,$D29-SUM($E29:W29),0))</f>
        <v>0</v>
      </c>
      <c r="Y29" s="493">
        <f>IF(Y$3&lt;$D$4,X29,IF(Y$3=$D$4,$D29-SUM($E29:X29),0))</f>
        <v>0</v>
      </c>
      <c r="Z29" s="493">
        <f>IF(Z$3&lt;$D$4,Y29,IF(Z$3=$D$4,$D29-SUM($E29:Y29),0))</f>
        <v>0</v>
      </c>
      <c r="AA29" s="493">
        <f>IF(AA$3&lt;$D$4,Z29,IF(AA$3=$D$4,$D29-SUM($E29:Z29),0))</f>
        <v>0</v>
      </c>
      <c r="AB29" s="493">
        <f>IF(AB$3&lt;$D$4,AA29,IF(AB$3=$D$4,$D29-SUM($E29:AA29),0))</f>
        <v>0</v>
      </c>
      <c r="AC29" s="493">
        <f>IF(AC$3&lt;$D$4,AB29,IF(AC$3=$D$4,$D29-SUM($E29:AB29),0))</f>
        <v>0</v>
      </c>
      <c r="AE29" s="495">
        <f t="shared" ref="AE29:AE32" si="15">SUM(E29:AC29)</f>
        <v>30000</v>
      </c>
      <c r="AF29" s="261" t="str">
        <f t="shared" ref="AF29:AF32" si="16">IF(AE29&gt;D29,"ERROR: Total Amount Drawn Exceeds Total Available","")</f>
        <v/>
      </c>
    </row>
    <row r="30" spans="1:32" s="3" customFormat="1" x14ac:dyDescent="0.2">
      <c r="C30" s="486" t="str">
        <f>+'Development Costs'!C32</f>
        <v>Architect Fee -- Construction Supervision</v>
      </c>
      <c r="D30" s="495">
        <f>+'Development Costs'!D32</f>
        <v>0</v>
      </c>
      <c r="E30" s="493">
        <v>0</v>
      </c>
      <c r="F30" s="493">
        <f t="shared" si="14"/>
        <v>0</v>
      </c>
      <c r="G30" s="493">
        <f>IF(G$3&lt;$D$4,F30,IF(G$3=$D$4,$D30-SUM($E30:F30),0))</f>
        <v>0</v>
      </c>
      <c r="H30" s="493">
        <f>IF(H$3&lt;$D$4,G30,IF(H$3=$D$4,$D30-SUM($E30:G30),0))</f>
        <v>0</v>
      </c>
      <c r="I30" s="493">
        <f>IF(I$3&lt;$D$4,H30,IF(I$3=$D$4,$D30-SUM($E30:H30),0))</f>
        <v>0</v>
      </c>
      <c r="J30" s="493">
        <f>IF(J$3&lt;$D$4,I30,IF(J$3=$D$4,$D30-SUM($E30:I30),0))</f>
        <v>0</v>
      </c>
      <c r="K30" s="493">
        <f>IF(K$3&lt;$D$4,J30,IF(K$3=$D$4,$D30-SUM($E30:J30),0))</f>
        <v>0</v>
      </c>
      <c r="L30" s="493">
        <f>IF(L$3&lt;$D$4,K30,IF(L$3=$D$4,$D30-SUM($E30:K30),0))</f>
        <v>0</v>
      </c>
      <c r="M30" s="493">
        <f>IF(M$3&lt;$D$4,L30,IF(M$3=$D$4,$D30-SUM($E30:L30),0))</f>
        <v>0</v>
      </c>
      <c r="N30" s="493">
        <f>IF(N$3&lt;$D$4,M30,IF(N$3=$D$4,$D30-SUM($E30:M30),0))</f>
        <v>0</v>
      </c>
      <c r="O30" s="493">
        <f>IF(O$3&lt;$D$4,N30,IF(O$3=$D$4,$D30-SUM($E30:N30),0))</f>
        <v>0</v>
      </c>
      <c r="P30" s="493">
        <f>IF(P$3&lt;$D$4,O30,IF(P$3=$D$4,$D30-SUM($E30:O30),0))</f>
        <v>0</v>
      </c>
      <c r="Q30" s="493">
        <f>IF(Q$3&lt;$D$4,P30,IF(Q$3=$D$4,$D30-SUM($E30:P30),0))</f>
        <v>0</v>
      </c>
      <c r="R30" s="493">
        <f>IF(R$3&lt;$D$4,Q30,IF(R$3=$D$4,$D30-SUM($E30:Q30),0))</f>
        <v>0</v>
      </c>
      <c r="S30" s="493">
        <f>IF(S$3&lt;$D$4,R30,IF(S$3=$D$4,$D30-SUM($E30:R30),0))</f>
        <v>0</v>
      </c>
      <c r="T30" s="493">
        <f>IF(T$3&lt;$D$4,S30,IF(T$3=$D$4,$D30-SUM($E30:S30),0))</f>
        <v>0</v>
      </c>
      <c r="U30" s="493">
        <f>IF(U$3&lt;$D$4,T30,IF(U$3=$D$4,$D30-SUM($E30:T30),0))</f>
        <v>0</v>
      </c>
      <c r="V30" s="493">
        <f>IF(V$3&lt;$D$4,U30,IF(V$3=$D$4,$D30-SUM($E30:U30),0))</f>
        <v>0</v>
      </c>
      <c r="W30" s="493">
        <f>IF(W$3&lt;$D$4,V30,IF(W$3=$D$4,$D30-SUM($E30:V30),0))</f>
        <v>0</v>
      </c>
      <c r="X30" s="493">
        <f>IF(X$3&lt;$D$4,W30,IF(X$3=$D$4,$D30-SUM($E30:W30),0))</f>
        <v>0</v>
      </c>
      <c r="Y30" s="493">
        <f>IF(Y$3&lt;$D$4,X30,IF(Y$3=$D$4,$D30-SUM($E30:X30),0))</f>
        <v>0</v>
      </c>
      <c r="Z30" s="493">
        <f>IF(Z$3&lt;$D$4,Y30,IF(Z$3=$D$4,$D30-SUM($E30:Y30),0))</f>
        <v>0</v>
      </c>
      <c r="AA30" s="493">
        <f>IF(AA$3&lt;$D$4,Z30,IF(AA$3=$D$4,$D30-SUM($E30:Z30),0))</f>
        <v>0</v>
      </c>
      <c r="AB30" s="493">
        <f>IF(AB$3&lt;$D$4,AA30,IF(AB$3=$D$4,$D30-SUM($E30:AA30),0))</f>
        <v>0</v>
      </c>
      <c r="AC30" s="493">
        <f>IF(AC$3&lt;$D$4,AB30,IF(AC$3=$D$4,$D30-SUM($E30:AB30),0))</f>
        <v>0</v>
      </c>
      <c r="AE30" s="495">
        <f t="shared" si="15"/>
        <v>0</v>
      </c>
      <c r="AF30" s="261" t="str">
        <f t="shared" si="16"/>
        <v/>
      </c>
    </row>
    <row r="31" spans="1:32" s="3" customFormat="1" x14ac:dyDescent="0.2">
      <c r="C31" s="486" t="str">
        <f>+'Development Costs'!C33</f>
        <v>Engineering Fees</v>
      </c>
      <c r="D31" s="495">
        <f>+'Development Costs'!D33</f>
        <v>0</v>
      </c>
      <c r="E31" s="493">
        <v>0</v>
      </c>
      <c r="F31" s="493">
        <f t="shared" si="14"/>
        <v>0</v>
      </c>
      <c r="G31" s="493">
        <f>IF(G$3&lt;$D$4,F31,IF(G$3=$D$4,$D31-SUM($E31:F31),0))</f>
        <v>0</v>
      </c>
      <c r="H31" s="493">
        <f>IF(H$3&lt;$D$4,G31,IF(H$3=$D$4,$D31-SUM($E31:G31),0))</f>
        <v>0</v>
      </c>
      <c r="I31" s="493">
        <f>IF(I$3&lt;$D$4,H31,IF(I$3=$D$4,$D31-SUM($E31:H31),0))</f>
        <v>0</v>
      </c>
      <c r="J31" s="493">
        <f>IF(J$3&lt;$D$4,I31,IF(J$3=$D$4,$D31-SUM($E31:I31),0))</f>
        <v>0</v>
      </c>
      <c r="K31" s="493">
        <f>IF(K$3&lt;$D$4,J31,IF(K$3=$D$4,$D31-SUM($E31:J31),0))</f>
        <v>0</v>
      </c>
      <c r="L31" s="493">
        <f>IF(L$3&lt;$D$4,K31,IF(L$3=$D$4,$D31-SUM($E31:K31),0))</f>
        <v>0</v>
      </c>
      <c r="M31" s="493">
        <f>IF(M$3&lt;$D$4,L31,IF(M$3=$D$4,$D31-SUM($E31:L31),0))</f>
        <v>0</v>
      </c>
      <c r="N31" s="493">
        <f>IF(N$3&lt;$D$4,M31,IF(N$3=$D$4,$D31-SUM($E31:M31),0))</f>
        <v>0</v>
      </c>
      <c r="O31" s="493">
        <f>IF(O$3&lt;$D$4,N31,IF(O$3=$D$4,$D31-SUM($E31:N31),0))</f>
        <v>0</v>
      </c>
      <c r="P31" s="493">
        <f>IF(P$3&lt;$D$4,O31,IF(P$3=$D$4,$D31-SUM($E31:O31),0))</f>
        <v>0</v>
      </c>
      <c r="Q31" s="493">
        <f>IF(Q$3&lt;$D$4,P31,IF(Q$3=$D$4,$D31-SUM($E31:P31),0))</f>
        <v>0</v>
      </c>
      <c r="R31" s="493">
        <f>IF(R$3&lt;$D$4,Q31,IF(R$3=$D$4,$D31-SUM($E31:Q31),0))</f>
        <v>0</v>
      </c>
      <c r="S31" s="493">
        <f>IF(S$3&lt;$D$4,R31,IF(S$3=$D$4,$D31-SUM($E31:R31),0))</f>
        <v>0</v>
      </c>
      <c r="T31" s="493">
        <f>IF(T$3&lt;$D$4,S31,IF(T$3=$D$4,$D31-SUM($E31:S31),0))</f>
        <v>0</v>
      </c>
      <c r="U31" s="493">
        <f>IF(U$3&lt;$D$4,T31,IF(U$3=$D$4,$D31-SUM($E31:T31),0))</f>
        <v>0</v>
      </c>
      <c r="V31" s="493">
        <f>IF(V$3&lt;$D$4,U31,IF(V$3=$D$4,$D31-SUM($E31:U31),0))</f>
        <v>0</v>
      </c>
      <c r="W31" s="493">
        <f>IF(W$3&lt;$D$4,V31,IF(W$3=$D$4,$D31-SUM($E31:V31),0))</f>
        <v>0</v>
      </c>
      <c r="X31" s="493">
        <f>IF(X$3&lt;$D$4,W31,IF(X$3=$D$4,$D31-SUM($E31:W31),0))</f>
        <v>0</v>
      </c>
      <c r="Y31" s="493">
        <f>IF(Y$3&lt;$D$4,X31,IF(Y$3=$D$4,$D31-SUM($E31:X31),0))</f>
        <v>0</v>
      </c>
      <c r="Z31" s="493">
        <f>IF(Z$3&lt;$D$4,Y31,IF(Z$3=$D$4,$D31-SUM($E31:Y31),0))</f>
        <v>0</v>
      </c>
      <c r="AA31" s="493">
        <f>IF(AA$3&lt;$D$4,Z31,IF(AA$3=$D$4,$D31-SUM($E31:Z31),0))</f>
        <v>0</v>
      </c>
      <c r="AB31" s="493">
        <f>IF(AB$3&lt;$D$4,AA31,IF(AB$3=$D$4,$D31-SUM($E31:AA31),0))</f>
        <v>0</v>
      </c>
      <c r="AC31" s="493">
        <f>IF(AC$3&lt;$D$4,AB31,IF(AC$3=$D$4,$D31-SUM($E31:AB31),0))</f>
        <v>0</v>
      </c>
      <c r="AE31" s="495">
        <f t="shared" si="15"/>
        <v>0</v>
      </c>
      <c r="AF31" s="261" t="str">
        <f t="shared" si="16"/>
        <v/>
      </c>
    </row>
    <row r="32" spans="1:32" s="3" customFormat="1" x14ac:dyDescent="0.2">
      <c r="C32" s="486">
        <f>+'Development Costs'!C34</f>
        <v>0</v>
      </c>
      <c r="D32" s="495">
        <f>+'Development Costs'!D34</f>
        <v>0</v>
      </c>
      <c r="E32" s="493">
        <v>0</v>
      </c>
      <c r="F32" s="493">
        <f t="shared" si="14"/>
        <v>0</v>
      </c>
      <c r="G32" s="493">
        <f>IF(G$3&lt;$D$4,F32,IF(G$3=$D$4,$D32-SUM($E32:F32),0))</f>
        <v>0</v>
      </c>
      <c r="H32" s="493">
        <f>IF(H$3&lt;$D$4,G32,IF(H$3=$D$4,$D32-SUM($E32:G32),0))</f>
        <v>0</v>
      </c>
      <c r="I32" s="493">
        <f>IF(I$3&lt;$D$4,H32,IF(I$3=$D$4,$D32-SUM($E32:H32),0))</f>
        <v>0</v>
      </c>
      <c r="J32" s="493">
        <f>IF(J$3&lt;$D$4,I32,IF(J$3=$D$4,$D32-SUM($E32:I32),0))</f>
        <v>0</v>
      </c>
      <c r="K32" s="493">
        <f>IF(K$3&lt;$D$4,J32,IF(K$3=$D$4,$D32-SUM($E32:J32),0))</f>
        <v>0</v>
      </c>
      <c r="L32" s="493">
        <f>IF(L$3&lt;$D$4,K32,IF(L$3=$D$4,$D32-SUM($E32:K32),0))</f>
        <v>0</v>
      </c>
      <c r="M32" s="493">
        <f>IF(M$3&lt;$D$4,L32,IF(M$3=$D$4,$D32-SUM($E32:L32),0))</f>
        <v>0</v>
      </c>
      <c r="N32" s="493">
        <f>IF(N$3&lt;$D$4,M32,IF(N$3=$D$4,$D32-SUM($E32:M32),0))</f>
        <v>0</v>
      </c>
      <c r="O32" s="493">
        <f>IF(O$3&lt;$D$4,N32,IF(O$3=$D$4,$D32-SUM($E32:N32),0))</f>
        <v>0</v>
      </c>
      <c r="P32" s="493">
        <f>IF(P$3&lt;$D$4,O32,IF(P$3=$D$4,$D32-SUM($E32:O32),0))</f>
        <v>0</v>
      </c>
      <c r="Q32" s="493">
        <f>IF(Q$3&lt;$D$4,P32,IF(Q$3=$D$4,$D32-SUM($E32:P32),0))</f>
        <v>0</v>
      </c>
      <c r="R32" s="493">
        <f>IF(R$3&lt;$D$4,Q32,IF(R$3=$D$4,$D32-SUM($E32:Q32),0))</f>
        <v>0</v>
      </c>
      <c r="S32" s="493">
        <f>IF(S$3&lt;$D$4,R32,IF(S$3=$D$4,$D32-SUM($E32:R32),0))</f>
        <v>0</v>
      </c>
      <c r="T32" s="493">
        <f>IF(T$3&lt;$D$4,S32,IF(T$3=$D$4,$D32-SUM($E32:S32),0))</f>
        <v>0</v>
      </c>
      <c r="U32" s="493">
        <f>IF(U$3&lt;$D$4,T32,IF(U$3=$D$4,$D32-SUM($E32:T32),0))</f>
        <v>0</v>
      </c>
      <c r="V32" s="493">
        <f>IF(V$3&lt;$D$4,U32,IF(V$3=$D$4,$D32-SUM($E32:U32),0))</f>
        <v>0</v>
      </c>
      <c r="W32" s="493">
        <f>IF(W$3&lt;$D$4,V32,IF(W$3=$D$4,$D32-SUM($E32:V32),0))</f>
        <v>0</v>
      </c>
      <c r="X32" s="493">
        <f>IF(X$3&lt;$D$4,W32,IF(X$3=$D$4,$D32-SUM($E32:W32),0))</f>
        <v>0</v>
      </c>
      <c r="Y32" s="493">
        <f>IF(Y$3&lt;$D$4,X32,IF(Y$3=$D$4,$D32-SUM($E32:X32),0))</f>
        <v>0</v>
      </c>
      <c r="Z32" s="493">
        <f>IF(Z$3&lt;$D$4,Y32,IF(Z$3=$D$4,$D32-SUM($E32:Y32),0))</f>
        <v>0</v>
      </c>
      <c r="AA32" s="493">
        <f>IF(AA$3&lt;$D$4,Z32,IF(AA$3=$D$4,$D32-SUM($E32:Z32),0))</f>
        <v>0</v>
      </c>
      <c r="AB32" s="493">
        <f>IF(AB$3&lt;$D$4,AA32,IF(AB$3=$D$4,$D32-SUM($E32:AA32),0))</f>
        <v>0</v>
      </c>
      <c r="AC32" s="493">
        <f>IF(AC$3&lt;$D$4,AB32,IF(AC$3=$D$4,$D32-SUM($E32:AB32),0))</f>
        <v>0</v>
      </c>
      <c r="AE32" s="495">
        <f t="shared" si="15"/>
        <v>0</v>
      </c>
      <c r="AF32" s="261" t="str">
        <f t="shared" si="16"/>
        <v/>
      </c>
    </row>
    <row r="33" spans="1:32" s="350" customFormat="1" ht="12.75" customHeight="1" x14ac:dyDescent="0.2">
      <c r="A33" s="3"/>
      <c r="C33" s="215" t="s">
        <v>102</v>
      </c>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E33" s="494"/>
    </row>
    <row r="34" spans="1:32" s="3" customFormat="1" x14ac:dyDescent="0.2">
      <c r="C34" s="486" t="str">
        <f>+'Development Costs'!C36</f>
        <v>Project Consultant Fees</v>
      </c>
      <c r="D34" s="495">
        <f>+'Development Costs'!D36</f>
        <v>0</v>
      </c>
      <c r="E34" s="493">
        <f>+D34</f>
        <v>0</v>
      </c>
      <c r="F34" s="493">
        <v>0</v>
      </c>
      <c r="G34" s="493">
        <f>IF(G$3=($D$4+$D$5),$D34-SUM($E34:F34),0)</f>
        <v>0</v>
      </c>
      <c r="H34" s="493">
        <f>IF(H$3=($D$4+$D$5),$D34-SUM($E34:G34),0)</f>
        <v>0</v>
      </c>
      <c r="I34" s="493">
        <f>IF(I$3=($D$4+$D$5),$D34-SUM($E34:H34),0)</f>
        <v>0</v>
      </c>
      <c r="J34" s="493">
        <f>IF(J$3=($D$4+$D$5),$D34-SUM($E34:I34),0)</f>
        <v>0</v>
      </c>
      <c r="K34" s="493">
        <f>IF(K$3=($D$4+$D$5),$D34-SUM($E34:J34),0)</f>
        <v>0</v>
      </c>
      <c r="L34" s="493">
        <f>IF(L$3=($D$4+$D$5),$D34-SUM($E34:K34),0)</f>
        <v>0</v>
      </c>
      <c r="M34" s="493">
        <f>IF(M$3=($D$4+$D$5),$D34-SUM($E34:L34),0)</f>
        <v>0</v>
      </c>
      <c r="N34" s="493">
        <f>IF(N$3=($D$4+$D$5),$D34-SUM($E34:M34),0)</f>
        <v>0</v>
      </c>
      <c r="O34" s="493">
        <f>IF(O$3=($D$4+$D$5),$D34-SUM($E34:N34),0)</f>
        <v>0</v>
      </c>
      <c r="P34" s="493">
        <f>IF(P$3=($D$4+$D$5),$D34-SUM($E34:O34),0)</f>
        <v>0</v>
      </c>
      <c r="Q34" s="493">
        <f>IF(Q$3=($D$4+$D$5),$D34-SUM($E34:P34),0)</f>
        <v>0</v>
      </c>
      <c r="R34" s="493">
        <f>IF(R$3=($D$4+$D$5),$D34-SUM($E34:Q34),0)</f>
        <v>0</v>
      </c>
      <c r="S34" s="493">
        <f>IF(S$3=($D$4+$D$5),$D34-SUM($E34:R34),0)</f>
        <v>0</v>
      </c>
      <c r="T34" s="493">
        <f>IF(T$3=($D$4+$D$5),$D34-SUM($E34:S34),0)</f>
        <v>0</v>
      </c>
      <c r="U34" s="493">
        <f>IF(U$3=($D$4+$D$5),$D34-SUM($E34:T34),0)</f>
        <v>0</v>
      </c>
      <c r="V34" s="493">
        <f>IF(V$3=($D$4+$D$5),$D34-SUM($E34:U34),0)</f>
        <v>0</v>
      </c>
      <c r="W34" s="493">
        <f>IF(W$3=($D$4+$D$5),$D34-SUM($E34:V34),0)</f>
        <v>0</v>
      </c>
      <c r="X34" s="493">
        <f>IF(X$3=($D$4+$D$5),$D34-SUM($E34:W34),0)</f>
        <v>0</v>
      </c>
      <c r="Y34" s="493">
        <f>IF(Y$3=($D$4+$D$5),$D34-SUM($E34:X34),0)</f>
        <v>0</v>
      </c>
      <c r="Z34" s="493">
        <f>IF(Z$3=($D$4+$D$5),$D34-SUM($E34:Y34),0)</f>
        <v>0</v>
      </c>
      <c r="AA34" s="493">
        <f>IF(AA$3=($D$4+$D$5),$D34-SUM($E34:Z34),0)</f>
        <v>0</v>
      </c>
      <c r="AB34" s="493">
        <f>IF(AB$3=($D$4+$D$5),$D34-SUM($E34:AA34),0)</f>
        <v>0</v>
      </c>
      <c r="AC34" s="493">
        <f>IF(AC$3=($D$4+$D$5),$D34-SUM($E34:AB34),0)</f>
        <v>0</v>
      </c>
      <c r="AE34" s="495">
        <f t="shared" ref="AE34:AE50" si="17">SUM(E34:AC34)</f>
        <v>0</v>
      </c>
      <c r="AF34" s="261" t="str">
        <f t="shared" ref="AF34:AF50" si="18">IF(AE34&gt;D34,"ERROR: Total Amount Drawn Exceeds Total Available","")</f>
        <v/>
      </c>
    </row>
    <row r="35" spans="1:32" s="3" customFormat="1" x14ac:dyDescent="0.2">
      <c r="C35" s="486" t="str">
        <f>+'Development Costs'!C37</f>
        <v>Owner Attorney Fees (initial closing)</v>
      </c>
      <c r="D35" s="495">
        <f>+'Development Costs'!D37</f>
        <v>20000</v>
      </c>
      <c r="E35" s="493">
        <f>+D35</f>
        <v>20000</v>
      </c>
      <c r="F35" s="493">
        <v>0</v>
      </c>
      <c r="G35" s="493">
        <f>IF(G$3=($D$4+$D$5),$D35-SUM($E35:F35),0)</f>
        <v>0</v>
      </c>
      <c r="H35" s="493">
        <f>IF(H$3=($D$4+$D$5),$D35-SUM($E35:G35),0)</f>
        <v>0</v>
      </c>
      <c r="I35" s="493">
        <f>IF(I$3=($D$4+$D$5),$D35-SUM($E35:H35),0)</f>
        <v>0</v>
      </c>
      <c r="J35" s="493">
        <f>IF(J$3=($D$4+$D$5),$D35-SUM($E35:I35),0)</f>
        <v>0</v>
      </c>
      <c r="K35" s="493">
        <f>IF(K$3=($D$4+$D$5),$D35-SUM($E35:J35),0)</f>
        <v>0</v>
      </c>
      <c r="L35" s="493">
        <f>IF(L$3=($D$4+$D$5),$D35-SUM($E35:K35),0)</f>
        <v>0</v>
      </c>
      <c r="M35" s="493">
        <f>IF(M$3=($D$4+$D$5),$D35-SUM($E35:L35),0)</f>
        <v>0</v>
      </c>
      <c r="N35" s="493">
        <f>IF(N$3=($D$4+$D$5),$D35-SUM($E35:M35),0)</f>
        <v>0</v>
      </c>
      <c r="O35" s="493">
        <f>IF(O$3=($D$4+$D$5),$D35-SUM($E35:N35),0)</f>
        <v>0</v>
      </c>
      <c r="P35" s="493">
        <f>IF(P$3=($D$4+$D$5),$D35-SUM($E35:O35),0)</f>
        <v>0</v>
      </c>
      <c r="Q35" s="493">
        <f>IF(Q$3=($D$4+$D$5),$D35-SUM($E35:P35),0)</f>
        <v>0</v>
      </c>
      <c r="R35" s="493">
        <f>IF(R$3=($D$4+$D$5),$D35-SUM($E35:Q35),0)</f>
        <v>0</v>
      </c>
      <c r="S35" s="493">
        <f>IF(S$3=($D$4+$D$5),$D35-SUM($E35:R35),0)</f>
        <v>0</v>
      </c>
      <c r="T35" s="493">
        <f>IF(T$3=($D$4+$D$5),$D35-SUM($E35:S35),0)</f>
        <v>0</v>
      </c>
      <c r="U35" s="493">
        <f>IF(U$3=($D$4+$D$5),$D35-SUM($E35:T35),0)</f>
        <v>0</v>
      </c>
      <c r="V35" s="493">
        <f>IF(V$3=($D$4+$D$5),$D35-SUM($E35:U35),0)</f>
        <v>0</v>
      </c>
      <c r="W35" s="493">
        <f>IF(W$3=($D$4+$D$5),$D35-SUM($E35:V35),0)</f>
        <v>0</v>
      </c>
      <c r="X35" s="493">
        <f>IF(X$3=($D$4+$D$5),$D35-SUM($E35:W35),0)</f>
        <v>0</v>
      </c>
      <c r="Y35" s="493">
        <f>IF(Y$3=($D$4+$D$5),$D35-SUM($E35:X35),0)</f>
        <v>0</v>
      </c>
      <c r="Z35" s="493">
        <f>IF(Z$3=($D$4+$D$5),$D35-SUM($E35:Y35),0)</f>
        <v>0</v>
      </c>
      <c r="AA35" s="493">
        <f>IF(AA$3=($D$4+$D$5),$D35-SUM($E35:Z35),0)</f>
        <v>0</v>
      </c>
      <c r="AB35" s="493">
        <f>IF(AB$3=($D$4+$D$5),$D35-SUM($E35:AA35),0)</f>
        <v>0</v>
      </c>
      <c r="AC35" s="493">
        <f>IF(AC$3=($D$4+$D$5),$D35-SUM($E35:AB35),0)</f>
        <v>0</v>
      </c>
      <c r="AE35" s="495">
        <f t="shared" si="17"/>
        <v>20000</v>
      </c>
      <c r="AF35" s="261" t="str">
        <f t="shared" si="18"/>
        <v/>
      </c>
    </row>
    <row r="36" spans="1:32" s="3" customFormat="1" x14ac:dyDescent="0.2">
      <c r="C36" s="486" t="str">
        <f>+'Development Costs'!C38</f>
        <v>Owner Attorney Fees (final closing)</v>
      </c>
      <c r="D36" s="495">
        <f>+'Development Costs'!D38</f>
        <v>20000</v>
      </c>
      <c r="E36" s="493">
        <v>0</v>
      </c>
      <c r="F36" s="493">
        <v>0</v>
      </c>
      <c r="G36" s="493">
        <f>IF(G$3=($D$4+$D$5),$D36-SUM($E36:F36),0)</f>
        <v>0</v>
      </c>
      <c r="H36" s="493">
        <f>IF(H$3=($D$4+$D$5),$D36-SUM($E36:G36),0)</f>
        <v>0</v>
      </c>
      <c r="I36" s="493">
        <f>IF(I$3=($D$4+$D$5),$D36-SUM($E36:H36),0)</f>
        <v>0</v>
      </c>
      <c r="J36" s="493">
        <f>IF(J$3=($D$4+$D$5),$D36-SUM($E36:I36),0)</f>
        <v>0</v>
      </c>
      <c r="K36" s="493">
        <f>IF(K$3=($D$4+$D$5),$D36-SUM($E36:J36),0)</f>
        <v>0</v>
      </c>
      <c r="L36" s="493">
        <f>IF(L$3=($D$4+$D$5),$D36-SUM($E36:K36),0)</f>
        <v>0</v>
      </c>
      <c r="M36" s="493">
        <f>IF(M$3=($D$4+$D$5),$D36-SUM($E36:L36),0)</f>
        <v>0</v>
      </c>
      <c r="N36" s="493">
        <f>IF(N$3=($D$4+$D$5),$D36-SUM($E36:M36),0)</f>
        <v>0</v>
      </c>
      <c r="O36" s="493">
        <f>IF(O$3=($D$4+$D$5),$D36-SUM($E36:N36),0)</f>
        <v>0</v>
      </c>
      <c r="P36" s="493">
        <f>IF(P$3=($D$4+$D$5),$D36-SUM($E36:O36),0)</f>
        <v>0</v>
      </c>
      <c r="Q36" s="493">
        <f>IF(Q$3=($D$4+$D$5),$D36-SUM($E36:P36),0)</f>
        <v>0</v>
      </c>
      <c r="R36" s="493">
        <f>IF(R$3=($D$4+$D$5),$D36-SUM($E36:Q36),0)</f>
        <v>0</v>
      </c>
      <c r="S36" s="493">
        <f>IF(S$3=($D$4+$D$5),$D36-SUM($E36:R36),0)</f>
        <v>0</v>
      </c>
      <c r="T36" s="493">
        <f>IF(T$3=($D$4+$D$5),$D36-SUM($E36:S36),0)</f>
        <v>0</v>
      </c>
      <c r="U36" s="493">
        <f>IF(U$3=($D$4+$D$5),$D36-SUM($E36:T36),0)</f>
        <v>0</v>
      </c>
      <c r="V36" s="493">
        <f>IF(V$3=($D$4+$D$5),$D36-SUM($E36:U36),0)</f>
        <v>0</v>
      </c>
      <c r="W36" s="493">
        <f>IF(W$3=($D$4+$D$5),$D36-SUM($E36:V36),0)</f>
        <v>0</v>
      </c>
      <c r="X36" s="493">
        <f>IF(X$3=($D$4+$D$5),$D36-SUM($E36:W36),0)</f>
        <v>0</v>
      </c>
      <c r="Y36" s="493">
        <f>IF(Y$3=($D$4+$D$5),$D36-SUM($E36:X36),0)</f>
        <v>0</v>
      </c>
      <c r="Z36" s="493">
        <f>IF(Z$3=($D$4+$D$5),$D36-SUM($E36:Y36),0)</f>
        <v>0</v>
      </c>
      <c r="AA36" s="493">
        <f>IF(AA$3=($D$4+$D$5),$D36-SUM($E36:Z36),0)</f>
        <v>0</v>
      </c>
      <c r="AB36" s="493">
        <f>IF(AB$3=($D$4+$D$5),$D36-SUM($E36:AA36),0)</f>
        <v>0</v>
      </c>
      <c r="AC36" s="493">
        <f>IF(AC$3=($D$4+$D$5),$D36-SUM($E36:AB36),0)</f>
        <v>0</v>
      </c>
      <c r="AE36" s="495">
        <f t="shared" si="17"/>
        <v>0</v>
      </c>
      <c r="AF36" s="261" t="str">
        <f t="shared" si="18"/>
        <v/>
      </c>
    </row>
    <row r="37" spans="1:32" s="3" customFormat="1" x14ac:dyDescent="0.2">
      <c r="C37" s="486" t="str">
        <f>+'Development Costs'!C39</f>
        <v>Syndication Costs</v>
      </c>
      <c r="D37" s="495">
        <f>+'Development Costs'!D39</f>
        <v>0</v>
      </c>
      <c r="E37" s="493">
        <f t="shared" ref="E37:E47" si="19">+D37</f>
        <v>0</v>
      </c>
      <c r="F37" s="493">
        <v>0</v>
      </c>
      <c r="G37" s="493">
        <f>IF(G$3=($D$4+$D$5),$D37-SUM($E37:F37),0)</f>
        <v>0</v>
      </c>
      <c r="H37" s="493">
        <f>IF(H$3=($D$4+$D$5),$D37-SUM($E37:G37),0)</f>
        <v>0</v>
      </c>
      <c r="I37" s="493">
        <f>IF(I$3=($D$4+$D$5),$D37-SUM($E37:H37),0)</f>
        <v>0</v>
      </c>
      <c r="J37" s="493">
        <f>IF(J$3=($D$4+$D$5),$D37-SUM($E37:I37),0)</f>
        <v>0</v>
      </c>
      <c r="K37" s="493">
        <f>IF(K$3=($D$4+$D$5),$D37-SUM($E37:J37),0)</f>
        <v>0</v>
      </c>
      <c r="L37" s="493">
        <f>IF(L$3=($D$4+$D$5),$D37-SUM($E37:K37),0)</f>
        <v>0</v>
      </c>
      <c r="M37" s="493">
        <f>IF(M$3=($D$4+$D$5),$D37-SUM($E37:L37),0)</f>
        <v>0</v>
      </c>
      <c r="N37" s="493">
        <f>IF(N$3=($D$4+$D$5),$D37-SUM($E37:M37),0)</f>
        <v>0</v>
      </c>
      <c r="O37" s="493">
        <f>IF(O$3=($D$4+$D$5),$D37-SUM($E37:N37),0)</f>
        <v>0</v>
      </c>
      <c r="P37" s="493">
        <f>IF(P$3=($D$4+$D$5),$D37-SUM($E37:O37),0)</f>
        <v>0</v>
      </c>
      <c r="Q37" s="493">
        <f>IF(Q$3=($D$4+$D$5),$D37-SUM($E37:P37),0)</f>
        <v>0</v>
      </c>
      <c r="R37" s="493">
        <f>IF(R$3=($D$4+$D$5),$D37-SUM($E37:Q37),0)</f>
        <v>0</v>
      </c>
      <c r="S37" s="493">
        <f>IF(S$3=($D$4+$D$5),$D37-SUM($E37:R37),0)</f>
        <v>0</v>
      </c>
      <c r="T37" s="493">
        <f>IF(T$3=($D$4+$D$5),$D37-SUM($E37:S37),0)</f>
        <v>0</v>
      </c>
      <c r="U37" s="493">
        <f>IF(U$3=($D$4+$D$5),$D37-SUM($E37:T37),0)</f>
        <v>0</v>
      </c>
      <c r="V37" s="493">
        <f>IF(V$3=($D$4+$D$5),$D37-SUM($E37:U37),0)</f>
        <v>0</v>
      </c>
      <c r="W37" s="493">
        <f>IF(W$3=($D$4+$D$5),$D37-SUM($E37:V37),0)</f>
        <v>0</v>
      </c>
      <c r="X37" s="493">
        <f>IF(X$3=($D$4+$D$5),$D37-SUM($E37:W37),0)</f>
        <v>0</v>
      </c>
      <c r="Y37" s="493">
        <f>IF(Y$3=($D$4+$D$5),$D37-SUM($E37:X37),0)</f>
        <v>0</v>
      </c>
      <c r="Z37" s="493">
        <f>IF(Z$3=($D$4+$D$5),$D37-SUM($E37:Y37),0)</f>
        <v>0</v>
      </c>
      <c r="AA37" s="493">
        <f>IF(AA$3=($D$4+$D$5),$D37-SUM($E37:Z37),0)</f>
        <v>0</v>
      </c>
      <c r="AB37" s="493">
        <f>IF(AB$3=($D$4+$D$5),$D37-SUM($E37:AA37),0)</f>
        <v>0</v>
      </c>
      <c r="AC37" s="493">
        <f>IF(AC$3=($D$4+$D$5),$D37-SUM($E37:AB37),0)</f>
        <v>0</v>
      </c>
      <c r="AE37" s="495">
        <f t="shared" si="17"/>
        <v>0</v>
      </c>
      <c r="AF37" s="261" t="str">
        <f t="shared" si="18"/>
        <v/>
      </c>
    </row>
    <row r="38" spans="1:32" s="3" customFormat="1" x14ac:dyDescent="0.2">
      <c r="C38" s="486" t="str">
        <f>+'Development Costs'!C40</f>
        <v>Other Owner Organizational Expenses</v>
      </c>
      <c r="D38" s="495">
        <f>+'Development Costs'!D40</f>
        <v>0</v>
      </c>
      <c r="E38" s="493">
        <f t="shared" si="19"/>
        <v>0</v>
      </c>
      <c r="F38" s="493">
        <v>0</v>
      </c>
      <c r="G38" s="493">
        <f>IF(G$3=($D$4+$D$5),$D38-SUM($E38:F38),0)</f>
        <v>0</v>
      </c>
      <c r="H38" s="493">
        <f>IF(H$3=($D$4+$D$5),$D38-SUM($E38:G38),0)</f>
        <v>0</v>
      </c>
      <c r="I38" s="493">
        <f>IF(I$3=($D$4+$D$5),$D38-SUM($E38:H38),0)</f>
        <v>0</v>
      </c>
      <c r="J38" s="493">
        <f>IF(J$3=($D$4+$D$5),$D38-SUM($E38:I38),0)</f>
        <v>0</v>
      </c>
      <c r="K38" s="493">
        <f>IF(K$3=($D$4+$D$5),$D38-SUM($E38:J38),0)</f>
        <v>0</v>
      </c>
      <c r="L38" s="493">
        <f>IF(L$3=($D$4+$D$5),$D38-SUM($E38:K38),0)</f>
        <v>0</v>
      </c>
      <c r="M38" s="493">
        <f>IF(M$3=($D$4+$D$5),$D38-SUM($E38:L38),0)</f>
        <v>0</v>
      </c>
      <c r="N38" s="493">
        <f>IF(N$3=($D$4+$D$5),$D38-SUM($E38:M38),0)</f>
        <v>0</v>
      </c>
      <c r="O38" s="493">
        <f>IF(O$3=($D$4+$D$5),$D38-SUM($E38:N38),0)</f>
        <v>0</v>
      </c>
      <c r="P38" s="493">
        <f>IF(P$3=($D$4+$D$5),$D38-SUM($E38:O38),0)</f>
        <v>0</v>
      </c>
      <c r="Q38" s="493">
        <f>IF(Q$3=($D$4+$D$5),$D38-SUM($E38:P38),0)</f>
        <v>0</v>
      </c>
      <c r="R38" s="493">
        <f>IF(R$3=($D$4+$D$5),$D38-SUM($E38:Q38),0)</f>
        <v>0</v>
      </c>
      <c r="S38" s="493">
        <f>IF(S$3=($D$4+$D$5),$D38-SUM($E38:R38),0)</f>
        <v>0</v>
      </c>
      <c r="T38" s="493">
        <f>IF(T$3=($D$4+$D$5),$D38-SUM($E38:S38),0)</f>
        <v>0</v>
      </c>
      <c r="U38" s="493">
        <f>IF(U$3=($D$4+$D$5),$D38-SUM($E38:T38),0)</f>
        <v>0</v>
      </c>
      <c r="V38" s="493">
        <f>IF(V$3=($D$4+$D$5),$D38-SUM($E38:U38),0)</f>
        <v>0</v>
      </c>
      <c r="W38" s="493">
        <f>IF(W$3=($D$4+$D$5),$D38-SUM($E38:V38),0)</f>
        <v>0</v>
      </c>
      <c r="X38" s="493">
        <f>IF(X$3=($D$4+$D$5),$D38-SUM($E38:W38),0)</f>
        <v>0</v>
      </c>
      <c r="Y38" s="493">
        <f>IF(Y$3=($D$4+$D$5),$D38-SUM($E38:X38),0)</f>
        <v>0</v>
      </c>
      <c r="Z38" s="493">
        <f>IF(Z$3=($D$4+$D$5),$D38-SUM($E38:Y38),0)</f>
        <v>0</v>
      </c>
      <c r="AA38" s="493">
        <f>IF(AA$3=($D$4+$D$5),$D38-SUM($E38:Z38),0)</f>
        <v>0</v>
      </c>
      <c r="AB38" s="493">
        <f>IF(AB$3=($D$4+$D$5),$D38-SUM($E38:AA38),0)</f>
        <v>0</v>
      </c>
      <c r="AC38" s="493">
        <f>IF(AC$3=($D$4+$D$5),$D38-SUM($E38:AB38),0)</f>
        <v>0</v>
      </c>
      <c r="AE38" s="495">
        <f t="shared" si="17"/>
        <v>0</v>
      </c>
      <c r="AF38" s="261" t="str">
        <f t="shared" si="18"/>
        <v/>
      </c>
    </row>
    <row r="39" spans="1:32" s="3" customFormat="1" x14ac:dyDescent="0.2">
      <c r="C39" s="486" t="str">
        <f>+'Development Costs'!C41</f>
        <v>Market Study</v>
      </c>
      <c r="D39" s="495">
        <f>+'Development Costs'!D41</f>
        <v>5000</v>
      </c>
      <c r="E39" s="493">
        <f t="shared" si="19"/>
        <v>5000</v>
      </c>
      <c r="F39" s="493">
        <v>0</v>
      </c>
      <c r="G39" s="493">
        <f>IF(G$3=($D$4+$D$5),$D39-SUM($E39:F39),0)</f>
        <v>0</v>
      </c>
      <c r="H39" s="493">
        <f>IF(H$3=($D$4+$D$5),$D39-SUM($E39:G39),0)</f>
        <v>0</v>
      </c>
      <c r="I39" s="493">
        <f>IF(I$3=($D$4+$D$5),$D39-SUM($E39:H39),0)</f>
        <v>0</v>
      </c>
      <c r="J39" s="493">
        <f>IF(J$3=($D$4+$D$5),$D39-SUM($E39:I39),0)</f>
        <v>0</v>
      </c>
      <c r="K39" s="493">
        <f>IF(K$3=($D$4+$D$5),$D39-SUM($E39:J39),0)</f>
        <v>0</v>
      </c>
      <c r="L39" s="493">
        <f>IF(L$3=($D$4+$D$5),$D39-SUM($E39:K39),0)</f>
        <v>0</v>
      </c>
      <c r="M39" s="493">
        <f>IF(M$3=($D$4+$D$5),$D39-SUM($E39:L39),0)</f>
        <v>0</v>
      </c>
      <c r="N39" s="493">
        <f>IF(N$3=($D$4+$D$5),$D39-SUM($E39:M39),0)</f>
        <v>0</v>
      </c>
      <c r="O39" s="493">
        <f>IF(O$3=($D$4+$D$5),$D39-SUM($E39:N39),0)</f>
        <v>0</v>
      </c>
      <c r="P39" s="493">
        <f>IF(P$3=($D$4+$D$5),$D39-SUM($E39:O39),0)</f>
        <v>0</v>
      </c>
      <c r="Q39" s="493">
        <f>IF(Q$3=($D$4+$D$5),$D39-SUM($E39:P39),0)</f>
        <v>0</v>
      </c>
      <c r="R39" s="493">
        <f>IF(R$3=($D$4+$D$5),$D39-SUM($E39:Q39),0)</f>
        <v>0</v>
      </c>
      <c r="S39" s="493">
        <f>IF(S$3=($D$4+$D$5),$D39-SUM($E39:R39),0)</f>
        <v>0</v>
      </c>
      <c r="T39" s="493">
        <f>IF(T$3=($D$4+$D$5),$D39-SUM($E39:S39),0)</f>
        <v>0</v>
      </c>
      <c r="U39" s="493">
        <f>IF(U$3=($D$4+$D$5),$D39-SUM($E39:T39),0)</f>
        <v>0</v>
      </c>
      <c r="V39" s="493">
        <f>IF(V$3=($D$4+$D$5),$D39-SUM($E39:U39),0)</f>
        <v>0</v>
      </c>
      <c r="W39" s="493">
        <f>IF(W$3=($D$4+$D$5),$D39-SUM($E39:V39),0)</f>
        <v>0</v>
      </c>
      <c r="X39" s="493">
        <f>IF(X$3=($D$4+$D$5),$D39-SUM($E39:W39),0)</f>
        <v>0</v>
      </c>
      <c r="Y39" s="493">
        <f>IF(Y$3=($D$4+$D$5),$D39-SUM($E39:X39),0)</f>
        <v>0</v>
      </c>
      <c r="Z39" s="493">
        <f>IF(Z$3=($D$4+$D$5),$D39-SUM($E39:Y39),0)</f>
        <v>0</v>
      </c>
      <c r="AA39" s="493">
        <f>IF(AA$3=($D$4+$D$5),$D39-SUM($E39:Z39),0)</f>
        <v>0</v>
      </c>
      <c r="AB39" s="493">
        <f>IF(AB$3=($D$4+$D$5),$D39-SUM($E39:AA39),0)</f>
        <v>0</v>
      </c>
      <c r="AC39" s="493">
        <f>IF(AC$3=($D$4+$D$5),$D39-SUM($E39:AB39),0)</f>
        <v>0</v>
      </c>
      <c r="AE39" s="495">
        <f t="shared" si="17"/>
        <v>5000</v>
      </c>
      <c r="AF39" s="261" t="str">
        <f t="shared" si="18"/>
        <v/>
      </c>
    </row>
    <row r="40" spans="1:32" s="3" customFormat="1" x14ac:dyDescent="0.2">
      <c r="C40" s="486" t="str">
        <f>+'Development Costs'!C42</f>
        <v>Survey</v>
      </c>
      <c r="D40" s="495">
        <f>+'Development Costs'!D42</f>
        <v>5000</v>
      </c>
      <c r="E40" s="493">
        <f t="shared" si="19"/>
        <v>5000</v>
      </c>
      <c r="F40" s="493">
        <v>0</v>
      </c>
      <c r="G40" s="493">
        <f>IF(G$3=($D$4+$D$5),$D40-SUM($E40:F40),0)</f>
        <v>0</v>
      </c>
      <c r="H40" s="493">
        <f>IF(H$3=($D$4+$D$5),$D40-SUM($E40:G40),0)</f>
        <v>0</v>
      </c>
      <c r="I40" s="493">
        <f>IF(I$3=($D$4+$D$5),$D40-SUM($E40:H40),0)</f>
        <v>0</v>
      </c>
      <c r="J40" s="493">
        <f>IF(J$3=($D$4+$D$5),$D40-SUM($E40:I40),0)</f>
        <v>0</v>
      </c>
      <c r="K40" s="493">
        <f>IF(K$3=($D$4+$D$5),$D40-SUM($E40:J40),0)</f>
        <v>0</v>
      </c>
      <c r="L40" s="493">
        <f>IF(L$3=($D$4+$D$5),$D40-SUM($E40:K40),0)</f>
        <v>0</v>
      </c>
      <c r="M40" s="493">
        <f>IF(M$3=($D$4+$D$5),$D40-SUM($E40:L40),0)</f>
        <v>0</v>
      </c>
      <c r="N40" s="493">
        <f>IF(N$3=($D$4+$D$5),$D40-SUM($E40:M40),0)</f>
        <v>0</v>
      </c>
      <c r="O40" s="493">
        <f>IF(O$3=($D$4+$D$5),$D40-SUM($E40:N40),0)</f>
        <v>0</v>
      </c>
      <c r="P40" s="493">
        <f>IF(P$3=($D$4+$D$5),$D40-SUM($E40:O40),0)</f>
        <v>0</v>
      </c>
      <c r="Q40" s="493">
        <f>IF(Q$3=($D$4+$D$5),$D40-SUM($E40:P40),0)</f>
        <v>0</v>
      </c>
      <c r="R40" s="493">
        <f>IF(R$3=($D$4+$D$5),$D40-SUM($E40:Q40),0)</f>
        <v>0</v>
      </c>
      <c r="S40" s="493">
        <f>IF(S$3=($D$4+$D$5),$D40-SUM($E40:R40),0)</f>
        <v>0</v>
      </c>
      <c r="T40" s="493">
        <f>IF(T$3=($D$4+$D$5),$D40-SUM($E40:S40),0)</f>
        <v>0</v>
      </c>
      <c r="U40" s="493">
        <f>IF(U$3=($D$4+$D$5),$D40-SUM($E40:T40),0)</f>
        <v>0</v>
      </c>
      <c r="V40" s="493">
        <f>IF(V$3=($D$4+$D$5),$D40-SUM($E40:U40),0)</f>
        <v>0</v>
      </c>
      <c r="W40" s="493">
        <f>IF(W$3=($D$4+$D$5),$D40-SUM($E40:V40),0)</f>
        <v>0</v>
      </c>
      <c r="X40" s="493">
        <f>IF(X$3=($D$4+$D$5),$D40-SUM($E40:W40),0)</f>
        <v>0</v>
      </c>
      <c r="Y40" s="493">
        <f>IF(Y$3=($D$4+$D$5),$D40-SUM($E40:X40),0)</f>
        <v>0</v>
      </c>
      <c r="Z40" s="493">
        <f>IF(Z$3=($D$4+$D$5),$D40-SUM($E40:Y40),0)</f>
        <v>0</v>
      </c>
      <c r="AA40" s="493">
        <f>IF(AA$3=($D$4+$D$5),$D40-SUM($E40:Z40),0)</f>
        <v>0</v>
      </c>
      <c r="AB40" s="493">
        <f>IF(AB$3=($D$4+$D$5),$D40-SUM($E40:AA40),0)</f>
        <v>0</v>
      </c>
      <c r="AC40" s="493">
        <f>IF(AC$3=($D$4+$D$5),$D40-SUM($E40:AB40),0)</f>
        <v>0</v>
      </c>
      <c r="AE40" s="495">
        <f t="shared" si="17"/>
        <v>5000</v>
      </c>
      <c r="AF40" s="261" t="str">
        <f t="shared" si="18"/>
        <v/>
      </c>
    </row>
    <row r="41" spans="1:32" s="3" customFormat="1" x14ac:dyDescent="0.2">
      <c r="C41" s="486" t="str">
        <f>+'Development Costs'!C43</f>
        <v>Appraisal Fees</v>
      </c>
      <c r="D41" s="495">
        <f>+'Development Costs'!D43</f>
        <v>5000</v>
      </c>
      <c r="E41" s="493">
        <f t="shared" si="19"/>
        <v>5000</v>
      </c>
      <c r="F41" s="493">
        <v>0</v>
      </c>
      <c r="G41" s="493">
        <f>IF(G$3=($D$4+$D$5),$D41-SUM($E41:F41),0)</f>
        <v>0</v>
      </c>
      <c r="H41" s="493">
        <f>IF(H$3=($D$4+$D$5),$D41-SUM($E41:G41),0)</f>
        <v>0</v>
      </c>
      <c r="I41" s="493">
        <f>IF(I$3=($D$4+$D$5),$D41-SUM($E41:H41),0)</f>
        <v>0</v>
      </c>
      <c r="J41" s="493">
        <f>IF(J$3=($D$4+$D$5),$D41-SUM($E41:I41),0)</f>
        <v>0</v>
      </c>
      <c r="K41" s="493">
        <f>IF(K$3=($D$4+$D$5),$D41-SUM($E41:J41),0)</f>
        <v>0</v>
      </c>
      <c r="L41" s="493">
        <f>IF(L$3=($D$4+$D$5),$D41-SUM($E41:K41),0)</f>
        <v>0</v>
      </c>
      <c r="M41" s="493">
        <f>IF(M$3=($D$4+$D$5),$D41-SUM($E41:L41),0)</f>
        <v>0</v>
      </c>
      <c r="N41" s="493">
        <f>IF(N$3=($D$4+$D$5),$D41-SUM($E41:M41),0)</f>
        <v>0</v>
      </c>
      <c r="O41" s="493">
        <f>IF(O$3=($D$4+$D$5),$D41-SUM($E41:N41),0)</f>
        <v>0</v>
      </c>
      <c r="P41" s="493">
        <f>IF(P$3=($D$4+$D$5),$D41-SUM($E41:O41),0)</f>
        <v>0</v>
      </c>
      <c r="Q41" s="493">
        <f>IF(Q$3=($D$4+$D$5),$D41-SUM($E41:P41),0)</f>
        <v>0</v>
      </c>
      <c r="R41" s="493">
        <f>IF(R$3=($D$4+$D$5),$D41-SUM($E41:Q41),0)</f>
        <v>0</v>
      </c>
      <c r="S41" s="493">
        <f>IF(S$3=($D$4+$D$5),$D41-SUM($E41:R41),0)</f>
        <v>0</v>
      </c>
      <c r="T41" s="493">
        <f>IF(T$3=($D$4+$D$5),$D41-SUM($E41:S41),0)</f>
        <v>0</v>
      </c>
      <c r="U41" s="493">
        <f>IF(U$3=($D$4+$D$5),$D41-SUM($E41:T41),0)</f>
        <v>0</v>
      </c>
      <c r="V41" s="493">
        <f>IF(V$3=($D$4+$D$5),$D41-SUM($E41:U41),0)</f>
        <v>0</v>
      </c>
      <c r="W41" s="493">
        <f>IF(W$3=($D$4+$D$5),$D41-SUM($E41:V41),0)</f>
        <v>0</v>
      </c>
      <c r="X41" s="493">
        <f>IF(X$3=($D$4+$D$5),$D41-SUM($E41:W41),0)</f>
        <v>0</v>
      </c>
      <c r="Y41" s="493">
        <f>IF(Y$3=($D$4+$D$5),$D41-SUM($E41:X41),0)</f>
        <v>0</v>
      </c>
      <c r="Z41" s="493">
        <f>IF(Z$3=($D$4+$D$5),$D41-SUM($E41:Y41),0)</f>
        <v>0</v>
      </c>
      <c r="AA41" s="493">
        <f>IF(AA$3=($D$4+$D$5),$D41-SUM($E41:Z41),0)</f>
        <v>0</v>
      </c>
      <c r="AB41" s="493">
        <f>IF(AB$3=($D$4+$D$5),$D41-SUM($E41:AA41),0)</f>
        <v>0</v>
      </c>
      <c r="AC41" s="493">
        <f>IF(AC$3=($D$4+$D$5),$D41-SUM($E41:AB41),0)</f>
        <v>0</v>
      </c>
      <c r="AE41" s="495">
        <f t="shared" si="17"/>
        <v>5000</v>
      </c>
      <c r="AF41" s="261" t="str">
        <f t="shared" si="18"/>
        <v/>
      </c>
    </row>
    <row r="42" spans="1:32" s="3" customFormat="1" x14ac:dyDescent="0.2">
      <c r="C42" s="486" t="str">
        <f>+'Development Costs'!C44</f>
        <v>Environmental Studies</v>
      </c>
      <c r="D42" s="495">
        <f>+'Development Costs'!D44</f>
        <v>5000</v>
      </c>
      <c r="E42" s="493">
        <f t="shared" si="19"/>
        <v>5000</v>
      </c>
      <c r="F42" s="493">
        <v>0</v>
      </c>
      <c r="G42" s="493">
        <f>IF(G$3=($D$4+$D$5),$D42-SUM($E42:F42),0)</f>
        <v>0</v>
      </c>
      <c r="H42" s="493">
        <f>IF(H$3=($D$4+$D$5),$D42-SUM($E42:G42),0)</f>
        <v>0</v>
      </c>
      <c r="I42" s="493">
        <f>IF(I$3=($D$4+$D$5),$D42-SUM($E42:H42),0)</f>
        <v>0</v>
      </c>
      <c r="J42" s="493">
        <f>IF(J$3=($D$4+$D$5),$D42-SUM($E42:I42),0)</f>
        <v>0</v>
      </c>
      <c r="K42" s="493">
        <f>IF(K$3=($D$4+$D$5),$D42-SUM($E42:J42),0)</f>
        <v>0</v>
      </c>
      <c r="L42" s="493">
        <f>IF(L$3=($D$4+$D$5),$D42-SUM($E42:K42),0)</f>
        <v>0</v>
      </c>
      <c r="M42" s="493">
        <f>IF(M$3=($D$4+$D$5),$D42-SUM($E42:L42),0)</f>
        <v>0</v>
      </c>
      <c r="N42" s="493">
        <f>IF(N$3=($D$4+$D$5),$D42-SUM($E42:M42),0)</f>
        <v>0</v>
      </c>
      <c r="O42" s="493">
        <f>IF(O$3=($D$4+$D$5),$D42-SUM($E42:N42),0)</f>
        <v>0</v>
      </c>
      <c r="P42" s="493">
        <f>IF(P$3=($D$4+$D$5),$D42-SUM($E42:O42),0)</f>
        <v>0</v>
      </c>
      <c r="Q42" s="493">
        <f>IF(Q$3=($D$4+$D$5),$D42-SUM($E42:P42),0)</f>
        <v>0</v>
      </c>
      <c r="R42" s="493">
        <f>IF(R$3=($D$4+$D$5),$D42-SUM($E42:Q42),0)</f>
        <v>0</v>
      </c>
      <c r="S42" s="493">
        <f>IF(S$3=($D$4+$D$5),$D42-SUM($E42:R42),0)</f>
        <v>0</v>
      </c>
      <c r="T42" s="493">
        <f>IF(T$3=($D$4+$D$5),$D42-SUM($E42:S42),0)</f>
        <v>0</v>
      </c>
      <c r="U42" s="493">
        <f>IF(U$3=($D$4+$D$5),$D42-SUM($E42:T42),0)</f>
        <v>0</v>
      </c>
      <c r="V42" s="493">
        <f>IF(V$3=($D$4+$D$5),$D42-SUM($E42:U42),0)</f>
        <v>0</v>
      </c>
      <c r="W42" s="493">
        <f>IF(W$3=($D$4+$D$5),$D42-SUM($E42:V42),0)</f>
        <v>0</v>
      </c>
      <c r="X42" s="493">
        <f>IF(X$3=($D$4+$D$5),$D42-SUM($E42:W42),0)</f>
        <v>0</v>
      </c>
      <c r="Y42" s="493">
        <f>IF(Y$3=($D$4+$D$5),$D42-SUM($E42:X42),0)</f>
        <v>0</v>
      </c>
      <c r="Z42" s="493">
        <f>IF(Z$3=($D$4+$D$5),$D42-SUM($E42:Y42),0)</f>
        <v>0</v>
      </c>
      <c r="AA42" s="493">
        <f>IF(AA$3=($D$4+$D$5),$D42-SUM($E42:Z42),0)</f>
        <v>0</v>
      </c>
      <c r="AB42" s="493">
        <f>IF(AB$3=($D$4+$D$5),$D42-SUM($E42:AA42),0)</f>
        <v>0</v>
      </c>
      <c r="AC42" s="493">
        <f>IF(AC$3=($D$4+$D$5),$D42-SUM($E42:AB42),0)</f>
        <v>0</v>
      </c>
      <c r="AE42" s="495">
        <f t="shared" si="17"/>
        <v>5000</v>
      </c>
      <c r="AF42" s="261" t="str">
        <f t="shared" si="18"/>
        <v/>
      </c>
    </row>
    <row r="43" spans="1:32" s="3" customFormat="1" x14ac:dyDescent="0.2">
      <c r="C43" s="486" t="str">
        <f>+'Development Costs'!C45</f>
        <v>Capital Needs Assessment</v>
      </c>
      <c r="D43" s="495">
        <f>+'Development Costs'!D45</f>
        <v>5000</v>
      </c>
      <c r="E43" s="493">
        <f t="shared" si="19"/>
        <v>5000</v>
      </c>
      <c r="F43" s="493">
        <v>0</v>
      </c>
      <c r="G43" s="493">
        <f>IF(G$3=($D$4+$D$5),$D43-SUM($E43:F43),0)</f>
        <v>0</v>
      </c>
      <c r="H43" s="493">
        <f>IF(H$3=($D$4+$D$5),$D43-SUM($E43:G43),0)</f>
        <v>0</v>
      </c>
      <c r="I43" s="493">
        <f>IF(I$3=($D$4+$D$5),$D43-SUM($E43:H43),0)</f>
        <v>0</v>
      </c>
      <c r="J43" s="493">
        <f>IF(J$3=($D$4+$D$5),$D43-SUM($E43:I43),0)</f>
        <v>0</v>
      </c>
      <c r="K43" s="493">
        <f>IF(K$3=($D$4+$D$5),$D43-SUM($E43:J43),0)</f>
        <v>0</v>
      </c>
      <c r="L43" s="493">
        <f>IF(L$3=($D$4+$D$5),$D43-SUM($E43:K43),0)</f>
        <v>0</v>
      </c>
      <c r="M43" s="493">
        <f>IF(M$3=($D$4+$D$5),$D43-SUM($E43:L43),0)</f>
        <v>0</v>
      </c>
      <c r="N43" s="493">
        <f>IF(N$3=($D$4+$D$5),$D43-SUM($E43:M43),0)</f>
        <v>0</v>
      </c>
      <c r="O43" s="493">
        <f>IF(O$3=($D$4+$D$5),$D43-SUM($E43:N43),0)</f>
        <v>0</v>
      </c>
      <c r="P43" s="493">
        <f>IF(P$3=($D$4+$D$5),$D43-SUM($E43:O43),0)</f>
        <v>0</v>
      </c>
      <c r="Q43" s="493">
        <f>IF(Q$3=($D$4+$D$5),$D43-SUM($E43:P43),0)</f>
        <v>0</v>
      </c>
      <c r="R43" s="493">
        <f>IF(R$3=($D$4+$D$5),$D43-SUM($E43:Q43),0)</f>
        <v>0</v>
      </c>
      <c r="S43" s="493">
        <f>IF(S$3=($D$4+$D$5),$D43-SUM($E43:R43),0)</f>
        <v>0</v>
      </c>
      <c r="T43" s="493">
        <f>IF(T$3=($D$4+$D$5),$D43-SUM($E43:S43),0)</f>
        <v>0</v>
      </c>
      <c r="U43" s="493">
        <f>IF(U$3=($D$4+$D$5),$D43-SUM($E43:T43),0)</f>
        <v>0</v>
      </c>
      <c r="V43" s="493">
        <f>IF(V$3=($D$4+$D$5),$D43-SUM($E43:U43),0)</f>
        <v>0</v>
      </c>
      <c r="W43" s="493">
        <f>IF(W$3=($D$4+$D$5),$D43-SUM($E43:V43),0)</f>
        <v>0</v>
      </c>
      <c r="X43" s="493">
        <f>IF(X$3=($D$4+$D$5),$D43-SUM($E43:W43),0)</f>
        <v>0</v>
      </c>
      <c r="Y43" s="493">
        <f>IF(Y$3=($D$4+$D$5),$D43-SUM($E43:X43),0)</f>
        <v>0</v>
      </c>
      <c r="Z43" s="493">
        <f>IF(Z$3=($D$4+$D$5),$D43-SUM($E43:Y43),0)</f>
        <v>0</v>
      </c>
      <c r="AA43" s="493">
        <f>IF(AA$3=($D$4+$D$5),$D43-SUM($E43:Z43),0)</f>
        <v>0</v>
      </c>
      <c r="AB43" s="493">
        <f>IF(AB$3=($D$4+$D$5),$D43-SUM($E43:AA43),0)</f>
        <v>0</v>
      </c>
      <c r="AC43" s="493">
        <f>IF(AC$3=($D$4+$D$5),$D43-SUM($E43:AB43),0)</f>
        <v>0</v>
      </c>
      <c r="AE43" s="495">
        <f t="shared" si="17"/>
        <v>5000</v>
      </c>
      <c r="AF43" s="261" t="str">
        <f t="shared" si="18"/>
        <v/>
      </c>
    </row>
    <row r="44" spans="1:32" s="3" customFormat="1" x14ac:dyDescent="0.2">
      <c r="C44" s="486">
        <f>+'Development Costs'!C46</f>
        <v>0</v>
      </c>
      <c r="D44" s="495">
        <f>+'Development Costs'!D46</f>
        <v>0</v>
      </c>
      <c r="E44" s="493">
        <f t="shared" si="19"/>
        <v>0</v>
      </c>
      <c r="F44" s="493">
        <v>0</v>
      </c>
      <c r="G44" s="493">
        <f>IF(G$3=($D$4+$D$5),$D44-SUM($E44:F44),0)</f>
        <v>0</v>
      </c>
      <c r="H44" s="493">
        <f>IF(H$3=($D$4+$D$5),$D44-SUM($E44:G44),0)</f>
        <v>0</v>
      </c>
      <c r="I44" s="493">
        <f>IF(I$3=($D$4+$D$5),$D44-SUM($E44:H44),0)</f>
        <v>0</v>
      </c>
      <c r="J44" s="493">
        <f>IF(J$3=($D$4+$D$5),$D44-SUM($E44:I44),0)</f>
        <v>0</v>
      </c>
      <c r="K44" s="493">
        <f>IF(K$3=($D$4+$D$5),$D44-SUM($E44:J44),0)</f>
        <v>0</v>
      </c>
      <c r="L44" s="493">
        <f>IF(L$3=($D$4+$D$5),$D44-SUM($E44:K44),0)</f>
        <v>0</v>
      </c>
      <c r="M44" s="493">
        <f>IF(M$3=($D$4+$D$5),$D44-SUM($E44:L44),0)</f>
        <v>0</v>
      </c>
      <c r="N44" s="493">
        <f>IF(N$3=($D$4+$D$5),$D44-SUM($E44:M44),0)</f>
        <v>0</v>
      </c>
      <c r="O44" s="493">
        <f>IF(O$3=($D$4+$D$5),$D44-SUM($E44:N44),0)</f>
        <v>0</v>
      </c>
      <c r="P44" s="493">
        <f>IF(P$3=($D$4+$D$5),$D44-SUM($E44:O44),0)</f>
        <v>0</v>
      </c>
      <c r="Q44" s="493">
        <f>IF(Q$3=($D$4+$D$5),$D44-SUM($E44:P44),0)</f>
        <v>0</v>
      </c>
      <c r="R44" s="493">
        <f>IF(R$3=($D$4+$D$5),$D44-SUM($E44:Q44),0)</f>
        <v>0</v>
      </c>
      <c r="S44" s="493">
        <f>IF(S$3=($D$4+$D$5),$D44-SUM($E44:R44),0)</f>
        <v>0</v>
      </c>
      <c r="T44" s="493">
        <f>IF(T$3=($D$4+$D$5),$D44-SUM($E44:S44),0)</f>
        <v>0</v>
      </c>
      <c r="U44" s="493">
        <f>IF(U$3=($D$4+$D$5),$D44-SUM($E44:T44),0)</f>
        <v>0</v>
      </c>
      <c r="V44" s="493">
        <f>IF(V$3=($D$4+$D$5),$D44-SUM($E44:U44),0)</f>
        <v>0</v>
      </c>
      <c r="W44" s="493">
        <f>IF(W$3=($D$4+$D$5),$D44-SUM($E44:V44),0)</f>
        <v>0</v>
      </c>
      <c r="X44" s="493">
        <f>IF(X$3=($D$4+$D$5),$D44-SUM($E44:W44),0)</f>
        <v>0</v>
      </c>
      <c r="Y44" s="493">
        <f>IF(Y$3=($D$4+$D$5),$D44-SUM($E44:X44),0)</f>
        <v>0</v>
      </c>
      <c r="Z44" s="493">
        <f>IF(Z$3=($D$4+$D$5),$D44-SUM($E44:Y44),0)</f>
        <v>0</v>
      </c>
      <c r="AA44" s="493">
        <f>IF(AA$3=($D$4+$D$5),$D44-SUM($E44:Z44),0)</f>
        <v>0</v>
      </c>
      <c r="AB44" s="493">
        <f>IF(AB$3=($D$4+$D$5),$D44-SUM($E44:AA44),0)</f>
        <v>0</v>
      </c>
      <c r="AC44" s="493">
        <f>IF(AC$3=($D$4+$D$5),$D44-SUM($E44:AB44),0)</f>
        <v>0</v>
      </c>
      <c r="AE44" s="495">
        <f t="shared" si="17"/>
        <v>0</v>
      </c>
      <c r="AF44" s="261" t="str">
        <f t="shared" si="18"/>
        <v/>
      </c>
    </row>
    <row r="45" spans="1:32" s="3" customFormat="1" x14ac:dyDescent="0.2">
      <c r="C45" s="486" t="str">
        <f>+'Development Costs'!C47</f>
        <v>Tap Fees and Impact Fees</v>
      </c>
      <c r="D45" s="495">
        <f>+'Development Costs'!D47</f>
        <v>20000</v>
      </c>
      <c r="E45" s="493">
        <f t="shared" si="19"/>
        <v>20000</v>
      </c>
      <c r="F45" s="493">
        <v>0</v>
      </c>
      <c r="G45" s="493">
        <f>IF(G$3=($D$4+$D$5),$D45-SUM($E45:F45),0)</f>
        <v>0</v>
      </c>
      <c r="H45" s="493">
        <f>IF(H$3=($D$4+$D$5),$D45-SUM($E45:G45),0)</f>
        <v>0</v>
      </c>
      <c r="I45" s="493">
        <f>IF(I$3=($D$4+$D$5),$D45-SUM($E45:H45),0)</f>
        <v>0</v>
      </c>
      <c r="J45" s="493">
        <f>IF(J$3=($D$4+$D$5),$D45-SUM($E45:I45),0)</f>
        <v>0</v>
      </c>
      <c r="K45" s="493">
        <f>IF(K$3=($D$4+$D$5),$D45-SUM($E45:J45),0)</f>
        <v>0</v>
      </c>
      <c r="L45" s="493">
        <f>IF(L$3=($D$4+$D$5),$D45-SUM($E45:K45),0)</f>
        <v>0</v>
      </c>
      <c r="M45" s="493">
        <f>IF(M$3=($D$4+$D$5),$D45-SUM($E45:L45),0)</f>
        <v>0</v>
      </c>
      <c r="N45" s="493">
        <f>IF(N$3=($D$4+$D$5),$D45-SUM($E45:M45),0)</f>
        <v>0</v>
      </c>
      <c r="O45" s="493">
        <f>IF(O$3=($D$4+$D$5),$D45-SUM($E45:N45),0)</f>
        <v>0</v>
      </c>
      <c r="P45" s="493">
        <f>IF(P$3=($D$4+$D$5),$D45-SUM($E45:O45),0)</f>
        <v>0</v>
      </c>
      <c r="Q45" s="493">
        <f>IF(Q$3=($D$4+$D$5),$D45-SUM($E45:P45),0)</f>
        <v>0</v>
      </c>
      <c r="R45" s="493">
        <f>IF(R$3=($D$4+$D$5),$D45-SUM($E45:Q45),0)</f>
        <v>0</v>
      </c>
      <c r="S45" s="493">
        <f>IF(S$3=($D$4+$D$5),$D45-SUM($E45:R45),0)</f>
        <v>0</v>
      </c>
      <c r="T45" s="493">
        <f>IF(T$3=($D$4+$D$5),$D45-SUM($E45:S45),0)</f>
        <v>0</v>
      </c>
      <c r="U45" s="493">
        <f>IF(U$3=($D$4+$D$5),$D45-SUM($E45:T45),0)</f>
        <v>0</v>
      </c>
      <c r="V45" s="493">
        <f>IF(V$3=($D$4+$D$5),$D45-SUM($E45:U45),0)</f>
        <v>0</v>
      </c>
      <c r="W45" s="493">
        <f>IF(W$3=($D$4+$D$5),$D45-SUM($E45:V45),0)</f>
        <v>0</v>
      </c>
      <c r="X45" s="493">
        <f>IF(X$3=($D$4+$D$5),$D45-SUM($E45:W45),0)</f>
        <v>0</v>
      </c>
      <c r="Y45" s="493">
        <f>IF(Y$3=($D$4+$D$5),$D45-SUM($E45:X45),0)</f>
        <v>0</v>
      </c>
      <c r="Z45" s="493">
        <f>IF(Z$3=($D$4+$D$5),$D45-SUM($E45:Y45),0)</f>
        <v>0</v>
      </c>
      <c r="AA45" s="493">
        <f>IF(AA$3=($D$4+$D$5),$D45-SUM($E45:Z45),0)</f>
        <v>0</v>
      </c>
      <c r="AB45" s="493">
        <f>IF(AB$3=($D$4+$D$5),$D45-SUM($E45:AA45),0)</f>
        <v>0</v>
      </c>
      <c r="AC45" s="493">
        <f>IF(AC$3=($D$4+$D$5),$D45-SUM($E45:AB45),0)</f>
        <v>0</v>
      </c>
      <c r="AE45" s="495">
        <f t="shared" si="17"/>
        <v>20000</v>
      </c>
      <c r="AF45" s="261" t="str">
        <f t="shared" si="18"/>
        <v/>
      </c>
    </row>
    <row r="46" spans="1:32" s="3" customFormat="1" x14ac:dyDescent="0.2">
      <c r="C46" s="486" t="str">
        <f>+'Development Costs'!C48</f>
        <v>Building Permits and Fees</v>
      </c>
      <c r="D46" s="495">
        <f>+'Development Costs'!D48</f>
        <v>40000</v>
      </c>
      <c r="E46" s="493">
        <f t="shared" si="19"/>
        <v>40000</v>
      </c>
      <c r="F46" s="493">
        <v>0</v>
      </c>
      <c r="G46" s="493">
        <f>IF(G$3=($D$4+$D$5),$D46-SUM($E46:F46),0)</f>
        <v>0</v>
      </c>
      <c r="H46" s="493">
        <f>IF(H$3=($D$4+$D$5),$D46-SUM($E46:G46),0)</f>
        <v>0</v>
      </c>
      <c r="I46" s="493">
        <f>IF(I$3=($D$4+$D$5),$D46-SUM($E46:H46),0)</f>
        <v>0</v>
      </c>
      <c r="J46" s="493">
        <f>IF(J$3=($D$4+$D$5),$D46-SUM($E46:I46),0)</f>
        <v>0</v>
      </c>
      <c r="K46" s="493">
        <f>IF(K$3=($D$4+$D$5),$D46-SUM($E46:J46),0)</f>
        <v>0</v>
      </c>
      <c r="L46" s="493">
        <f>IF(L$3=($D$4+$D$5),$D46-SUM($E46:K46),0)</f>
        <v>0</v>
      </c>
      <c r="M46" s="493">
        <f>IF(M$3=($D$4+$D$5),$D46-SUM($E46:L46),0)</f>
        <v>0</v>
      </c>
      <c r="N46" s="493">
        <f>IF(N$3=($D$4+$D$5),$D46-SUM($E46:M46),0)</f>
        <v>0</v>
      </c>
      <c r="O46" s="493">
        <f>IF(O$3=($D$4+$D$5),$D46-SUM($E46:N46),0)</f>
        <v>0</v>
      </c>
      <c r="P46" s="493">
        <f>IF(P$3=($D$4+$D$5),$D46-SUM($E46:O46),0)</f>
        <v>0</v>
      </c>
      <c r="Q46" s="493">
        <f>IF(Q$3=($D$4+$D$5),$D46-SUM($E46:P46),0)</f>
        <v>0</v>
      </c>
      <c r="R46" s="493">
        <f>IF(R$3=($D$4+$D$5),$D46-SUM($E46:Q46),0)</f>
        <v>0</v>
      </c>
      <c r="S46" s="493">
        <f>IF(S$3=($D$4+$D$5),$D46-SUM($E46:R46),0)</f>
        <v>0</v>
      </c>
      <c r="T46" s="493">
        <f>IF(T$3=($D$4+$D$5),$D46-SUM($E46:S46),0)</f>
        <v>0</v>
      </c>
      <c r="U46" s="493">
        <f>IF(U$3=($D$4+$D$5),$D46-SUM($E46:T46),0)</f>
        <v>0</v>
      </c>
      <c r="V46" s="493">
        <f>IF(V$3=($D$4+$D$5),$D46-SUM($E46:U46),0)</f>
        <v>0</v>
      </c>
      <c r="W46" s="493">
        <f>IF(W$3=($D$4+$D$5),$D46-SUM($E46:V46),0)</f>
        <v>0</v>
      </c>
      <c r="X46" s="493">
        <f>IF(X$3=($D$4+$D$5),$D46-SUM($E46:W46),0)</f>
        <v>0</v>
      </c>
      <c r="Y46" s="493">
        <f>IF(Y$3=($D$4+$D$5),$D46-SUM($E46:X46),0)</f>
        <v>0</v>
      </c>
      <c r="Z46" s="493">
        <f>IF(Z$3=($D$4+$D$5),$D46-SUM($E46:Y46),0)</f>
        <v>0</v>
      </c>
      <c r="AA46" s="493">
        <f>IF(AA$3=($D$4+$D$5),$D46-SUM($E46:Z46),0)</f>
        <v>0</v>
      </c>
      <c r="AB46" s="493">
        <f>IF(AB$3=($D$4+$D$5),$D46-SUM($E46:AA46),0)</f>
        <v>0</v>
      </c>
      <c r="AC46" s="493">
        <f>IF(AC$3=($D$4+$D$5),$D46-SUM($E46:AB46),0)</f>
        <v>0</v>
      </c>
      <c r="AE46" s="495">
        <f t="shared" si="17"/>
        <v>40000</v>
      </c>
      <c r="AF46" s="261" t="str">
        <f t="shared" si="18"/>
        <v/>
      </c>
    </row>
    <row r="47" spans="1:32" s="3" customFormat="1" x14ac:dyDescent="0.2">
      <c r="C47" s="486" t="str">
        <f>+'Development Costs'!C49</f>
        <v>Tax Credit Fees</v>
      </c>
      <c r="D47" s="495">
        <f>+'Development Costs'!D49</f>
        <v>40000</v>
      </c>
      <c r="E47" s="493">
        <f t="shared" si="19"/>
        <v>40000</v>
      </c>
      <c r="F47" s="493">
        <v>0</v>
      </c>
      <c r="G47" s="493">
        <f>IF(G$3=($D$4+$D$5),$D47-SUM($E47:F47),0)</f>
        <v>0</v>
      </c>
      <c r="H47" s="493">
        <f>IF(H$3=($D$4+$D$5),$D47-SUM($E47:G47),0)</f>
        <v>0</v>
      </c>
      <c r="I47" s="493">
        <f>IF(I$3=($D$4+$D$5),$D47-SUM($E47:H47),0)</f>
        <v>0</v>
      </c>
      <c r="J47" s="493">
        <f>IF(J$3=($D$4+$D$5),$D47-SUM($E47:I47),0)</f>
        <v>0</v>
      </c>
      <c r="K47" s="493">
        <f>IF(K$3=($D$4+$D$5),$D47-SUM($E47:J47),0)</f>
        <v>0</v>
      </c>
      <c r="L47" s="493">
        <f>IF(L$3=($D$4+$D$5),$D47-SUM($E47:K47),0)</f>
        <v>0</v>
      </c>
      <c r="M47" s="493">
        <f>IF(M$3=($D$4+$D$5),$D47-SUM($E47:L47),0)</f>
        <v>0</v>
      </c>
      <c r="N47" s="493">
        <f>IF(N$3=($D$4+$D$5),$D47-SUM($E47:M47),0)</f>
        <v>0</v>
      </c>
      <c r="O47" s="493">
        <f>IF(O$3=($D$4+$D$5),$D47-SUM($E47:N47),0)</f>
        <v>0</v>
      </c>
      <c r="P47" s="493">
        <f>IF(P$3=($D$4+$D$5),$D47-SUM($E47:O47),0)</f>
        <v>0</v>
      </c>
      <c r="Q47" s="493">
        <f>IF(Q$3=($D$4+$D$5),$D47-SUM($E47:P47),0)</f>
        <v>0</v>
      </c>
      <c r="R47" s="493">
        <f>IF(R$3=($D$4+$D$5),$D47-SUM($E47:Q47),0)</f>
        <v>0</v>
      </c>
      <c r="S47" s="493">
        <f>IF(S$3=($D$4+$D$5),$D47-SUM($E47:R47),0)</f>
        <v>0</v>
      </c>
      <c r="T47" s="493">
        <f>IF(T$3=($D$4+$D$5),$D47-SUM($E47:S47),0)</f>
        <v>0</v>
      </c>
      <c r="U47" s="493">
        <f>IF(U$3=($D$4+$D$5),$D47-SUM($E47:T47),0)</f>
        <v>0</v>
      </c>
      <c r="V47" s="493">
        <f>IF(V$3=($D$4+$D$5),$D47-SUM($E47:U47),0)</f>
        <v>0</v>
      </c>
      <c r="W47" s="493">
        <f>IF(W$3=($D$4+$D$5),$D47-SUM($E47:V47),0)</f>
        <v>0</v>
      </c>
      <c r="X47" s="493">
        <f>IF(X$3=($D$4+$D$5),$D47-SUM($E47:W47),0)</f>
        <v>0</v>
      </c>
      <c r="Y47" s="493">
        <f>IF(Y$3=($D$4+$D$5),$D47-SUM($E47:X47),0)</f>
        <v>0</v>
      </c>
      <c r="Z47" s="493">
        <f>IF(Z$3=($D$4+$D$5),$D47-SUM($E47:Y47),0)</f>
        <v>0</v>
      </c>
      <c r="AA47" s="493">
        <f>IF(AA$3=($D$4+$D$5),$D47-SUM($E47:Z47),0)</f>
        <v>0</v>
      </c>
      <c r="AB47" s="493">
        <f>IF(AB$3=($D$4+$D$5),$D47-SUM($E47:AA47),0)</f>
        <v>0</v>
      </c>
      <c r="AC47" s="493">
        <f>IF(AC$3=($D$4+$D$5),$D47-SUM($E47:AB47),0)</f>
        <v>0</v>
      </c>
      <c r="AE47" s="495">
        <f t="shared" si="17"/>
        <v>40000</v>
      </c>
      <c r="AF47" s="261" t="str">
        <f t="shared" si="18"/>
        <v/>
      </c>
    </row>
    <row r="48" spans="1:32" s="3" customFormat="1" x14ac:dyDescent="0.2">
      <c r="C48" s="486" t="str">
        <f>+'Development Costs'!C51</f>
        <v>Soft Cost Contingency</v>
      </c>
      <c r="D48" s="495">
        <f>+'Development Costs'!D51</f>
        <v>50000</v>
      </c>
      <c r="E48" s="493">
        <v>0</v>
      </c>
      <c r="F48" s="493">
        <f t="shared" ref="F48" si="20">IF($D$4=0,0,ROUND((D48-E48)/$D$4,0))</f>
        <v>0</v>
      </c>
      <c r="G48" s="493">
        <f>IF(G$3&lt;$D$4,F48,IF(G$3=$D$4,$D48-SUM($E48:F48),0))</f>
        <v>0</v>
      </c>
      <c r="H48" s="493">
        <f>IF(H$3&lt;$D$4,G48,IF(H$3=$D$4,$D48-SUM($E48:G48),0))</f>
        <v>0</v>
      </c>
      <c r="I48" s="493">
        <f>IF(I$3&lt;$D$4,H48,IF(I$3=$D$4,$D48-SUM($E48:H48),0))</f>
        <v>0</v>
      </c>
      <c r="J48" s="493">
        <f>IF(J$3&lt;$D$4,I48,IF(J$3=$D$4,$D48-SUM($E48:I48),0))</f>
        <v>0</v>
      </c>
      <c r="K48" s="493">
        <f>IF(K$3&lt;$D$4,J48,IF(K$3=$D$4,$D48-SUM($E48:J48),0))</f>
        <v>0</v>
      </c>
      <c r="L48" s="493">
        <f>IF(L$3&lt;$D$4,K48,IF(L$3=$D$4,$D48-SUM($E48:K48),0))</f>
        <v>0</v>
      </c>
      <c r="M48" s="493">
        <f>IF(M$3&lt;$D$4,L48,IF(M$3=$D$4,$D48-SUM($E48:L48),0))</f>
        <v>0</v>
      </c>
      <c r="N48" s="493">
        <f>IF(N$3&lt;$D$4,M48,IF(N$3=$D$4,$D48-SUM($E48:M48),0))</f>
        <v>0</v>
      </c>
      <c r="O48" s="493">
        <f>IF(O$3&lt;$D$4,N48,IF(O$3=$D$4,$D48-SUM($E48:N48),0))</f>
        <v>0</v>
      </c>
      <c r="P48" s="493">
        <f>IF(P$3&lt;$D$4,O48,IF(P$3=$D$4,$D48-SUM($E48:O48),0))</f>
        <v>0</v>
      </c>
      <c r="Q48" s="493">
        <f>IF(Q$3&lt;$D$4,P48,IF(Q$3=$D$4,$D48-SUM($E48:P48),0))</f>
        <v>0</v>
      </c>
      <c r="R48" s="493">
        <f>IF(R$3&lt;$D$4,Q48,IF(R$3=$D$4,$D48-SUM($E48:Q48),0))</f>
        <v>0</v>
      </c>
      <c r="S48" s="493">
        <f>IF(S$3&lt;$D$4,R48,IF(S$3=$D$4,$D48-SUM($E48:R48),0))</f>
        <v>0</v>
      </c>
      <c r="T48" s="493">
        <f>IF(T$3&lt;$D$4,S48,IF(T$3=$D$4,$D48-SUM($E48:S48),0))</f>
        <v>0</v>
      </c>
      <c r="U48" s="493">
        <f>IF(U$3&lt;$D$4,T48,IF(U$3=$D$4,$D48-SUM($E48:T48),0))</f>
        <v>0</v>
      </c>
      <c r="V48" s="493">
        <f>IF(V$3&lt;$D$4,U48,IF(V$3=$D$4,$D48-SUM($E48:U48),0))</f>
        <v>0</v>
      </c>
      <c r="W48" s="493">
        <f>IF(W$3&lt;$D$4,V48,IF(W$3=$D$4,$D48-SUM($E48:V48),0))</f>
        <v>0</v>
      </c>
      <c r="X48" s="493">
        <f>IF(X$3&lt;$D$4,W48,IF(X$3=$D$4,$D48-SUM($E48:W48),0))</f>
        <v>0</v>
      </c>
      <c r="Y48" s="493">
        <f>IF(Y$3&lt;$D$4,X48,IF(Y$3=$D$4,$D48-SUM($E48:X48),0))</f>
        <v>0</v>
      </c>
      <c r="Z48" s="493">
        <f>IF(Z$3&lt;$D$4,Y48,IF(Z$3=$D$4,$D48-SUM($E48:Y48),0))</f>
        <v>0</v>
      </c>
      <c r="AA48" s="493">
        <f>IF(AA$3&lt;$D$4,Z48,IF(AA$3=$D$4,$D48-SUM($E48:Z48),0))</f>
        <v>0</v>
      </c>
      <c r="AB48" s="493">
        <f>IF(AB$3&lt;$D$4,AA48,IF(AB$3=$D$4,$D48-SUM($E48:AA48),0))</f>
        <v>0</v>
      </c>
      <c r="AC48" s="493">
        <f>IF(AC$3&lt;$D$4,AB48,IF(AC$3=$D$4,$D48-SUM($E48:AB48),0))</f>
        <v>0</v>
      </c>
      <c r="AE48" s="495">
        <f t="shared" si="17"/>
        <v>0</v>
      </c>
      <c r="AF48" s="261" t="str">
        <f t="shared" si="18"/>
        <v/>
      </c>
    </row>
    <row r="49" spans="1:32" s="3" customFormat="1" x14ac:dyDescent="0.2">
      <c r="C49" s="486">
        <f>+'Development Costs'!C52</f>
        <v>0</v>
      </c>
      <c r="D49" s="495">
        <f>+'Development Costs'!D52</f>
        <v>0</v>
      </c>
      <c r="E49" s="493">
        <f>+D49</f>
        <v>0</v>
      </c>
      <c r="F49" s="493">
        <v>0</v>
      </c>
      <c r="G49" s="493">
        <f>IF(G$3=($D$4+$D$5),$D49-SUM($E49:F49),0)</f>
        <v>0</v>
      </c>
      <c r="H49" s="493">
        <f>IF(H$3=($D$4+$D$5),$D49-SUM($E49:G49),0)</f>
        <v>0</v>
      </c>
      <c r="I49" s="493">
        <f>IF(I$3=($D$4+$D$5),$D49-SUM($E49:H49),0)</f>
        <v>0</v>
      </c>
      <c r="J49" s="493">
        <f>IF(J$3=($D$4+$D$5),$D49-SUM($E49:I49),0)</f>
        <v>0</v>
      </c>
      <c r="K49" s="493">
        <f>IF(K$3=($D$4+$D$5),$D49-SUM($E49:J49),0)</f>
        <v>0</v>
      </c>
      <c r="L49" s="493">
        <f>IF(L$3=($D$4+$D$5),$D49-SUM($E49:K49),0)</f>
        <v>0</v>
      </c>
      <c r="M49" s="493">
        <f>IF(M$3=($D$4+$D$5),$D49-SUM($E49:L49),0)</f>
        <v>0</v>
      </c>
      <c r="N49" s="493">
        <f>IF(N$3=($D$4+$D$5),$D49-SUM($E49:M49),0)</f>
        <v>0</v>
      </c>
      <c r="O49" s="493">
        <f>IF(O$3=($D$4+$D$5),$D49-SUM($E49:N49),0)</f>
        <v>0</v>
      </c>
      <c r="P49" s="493">
        <f>IF(P$3=($D$4+$D$5),$D49-SUM($E49:O49),0)</f>
        <v>0</v>
      </c>
      <c r="Q49" s="493">
        <f>IF(Q$3=($D$4+$D$5),$D49-SUM($E49:P49),0)</f>
        <v>0</v>
      </c>
      <c r="R49" s="493">
        <f>IF(R$3=($D$4+$D$5),$D49-SUM($E49:Q49),0)</f>
        <v>0</v>
      </c>
      <c r="S49" s="493">
        <f>IF(S$3=($D$4+$D$5),$D49-SUM($E49:R49),0)</f>
        <v>0</v>
      </c>
      <c r="T49" s="493">
        <f>IF(T$3=($D$4+$D$5),$D49-SUM($E49:S49),0)</f>
        <v>0</v>
      </c>
      <c r="U49" s="493">
        <f>IF(U$3=($D$4+$D$5),$D49-SUM($E49:T49),0)</f>
        <v>0</v>
      </c>
      <c r="V49" s="493">
        <f>IF(V$3=($D$4+$D$5),$D49-SUM($E49:U49),0)</f>
        <v>0</v>
      </c>
      <c r="W49" s="493">
        <f>IF(W$3=($D$4+$D$5),$D49-SUM($E49:V49),0)</f>
        <v>0</v>
      </c>
      <c r="X49" s="493">
        <f>IF(X$3=($D$4+$D$5),$D49-SUM($E49:W49),0)</f>
        <v>0</v>
      </c>
      <c r="Y49" s="493">
        <f>IF(Y$3=($D$4+$D$5),$D49-SUM($E49:X49),0)</f>
        <v>0</v>
      </c>
      <c r="Z49" s="493">
        <f>IF(Z$3=($D$4+$D$5),$D49-SUM($E49:Y49),0)</f>
        <v>0</v>
      </c>
      <c r="AA49" s="493">
        <f>IF(AA$3=($D$4+$D$5),$D49-SUM($E49:Z49),0)</f>
        <v>0</v>
      </c>
      <c r="AB49" s="493">
        <f>IF(AB$3=($D$4+$D$5),$D49-SUM($E49:AA49),0)</f>
        <v>0</v>
      </c>
      <c r="AC49" s="493">
        <f>IF(AC$3=($D$4+$D$5),$D49-SUM($E49:AB49),0)</f>
        <v>0</v>
      </c>
      <c r="AE49" s="495">
        <f t="shared" si="17"/>
        <v>0</v>
      </c>
      <c r="AF49" s="261" t="str">
        <f t="shared" si="18"/>
        <v/>
      </c>
    </row>
    <row r="50" spans="1:32" s="3" customFormat="1" x14ac:dyDescent="0.2">
      <c r="C50" s="486">
        <f>+'Development Costs'!C53</f>
        <v>0</v>
      </c>
      <c r="D50" s="495">
        <f>+'Development Costs'!D53</f>
        <v>0</v>
      </c>
      <c r="E50" s="493">
        <f>+D50</f>
        <v>0</v>
      </c>
      <c r="F50" s="493">
        <v>0</v>
      </c>
      <c r="G50" s="493">
        <f>IF(G$3=($D$4+$D$5),$D50-SUM($E50:F50),0)</f>
        <v>0</v>
      </c>
      <c r="H50" s="493">
        <f>IF(H$3=($D$4+$D$5),$D50-SUM($E50:G50),0)</f>
        <v>0</v>
      </c>
      <c r="I50" s="493">
        <f>IF(I$3=($D$4+$D$5),$D50-SUM($E50:H50),0)</f>
        <v>0</v>
      </c>
      <c r="J50" s="493">
        <f>IF(J$3=($D$4+$D$5),$D50-SUM($E50:I50),0)</f>
        <v>0</v>
      </c>
      <c r="K50" s="493">
        <f>IF(K$3=($D$4+$D$5),$D50-SUM($E50:J50),0)</f>
        <v>0</v>
      </c>
      <c r="L50" s="493">
        <f>IF(L$3=($D$4+$D$5),$D50-SUM($E50:K50),0)</f>
        <v>0</v>
      </c>
      <c r="M50" s="493">
        <f>IF(M$3=($D$4+$D$5),$D50-SUM($E50:L50),0)</f>
        <v>0</v>
      </c>
      <c r="N50" s="493">
        <f>IF(N$3=($D$4+$D$5),$D50-SUM($E50:M50),0)</f>
        <v>0</v>
      </c>
      <c r="O50" s="493">
        <f>IF(O$3=($D$4+$D$5),$D50-SUM($E50:N50),0)</f>
        <v>0</v>
      </c>
      <c r="P50" s="493">
        <f>IF(P$3=($D$4+$D$5),$D50-SUM($E50:O50),0)</f>
        <v>0</v>
      </c>
      <c r="Q50" s="493">
        <f>IF(Q$3=($D$4+$D$5),$D50-SUM($E50:P50),0)</f>
        <v>0</v>
      </c>
      <c r="R50" s="493">
        <f>IF(R$3=($D$4+$D$5),$D50-SUM($E50:Q50),0)</f>
        <v>0</v>
      </c>
      <c r="S50" s="493">
        <f>IF(S$3=($D$4+$D$5),$D50-SUM($E50:R50),0)</f>
        <v>0</v>
      </c>
      <c r="T50" s="493">
        <f>IF(T$3=($D$4+$D$5),$D50-SUM($E50:S50),0)</f>
        <v>0</v>
      </c>
      <c r="U50" s="493">
        <f>IF(U$3=($D$4+$D$5),$D50-SUM($E50:T50),0)</f>
        <v>0</v>
      </c>
      <c r="V50" s="493">
        <f>IF(V$3=($D$4+$D$5),$D50-SUM($E50:U50),0)</f>
        <v>0</v>
      </c>
      <c r="W50" s="493">
        <f>IF(W$3=($D$4+$D$5),$D50-SUM($E50:V50),0)</f>
        <v>0</v>
      </c>
      <c r="X50" s="493">
        <f>IF(X$3=($D$4+$D$5),$D50-SUM($E50:W50),0)</f>
        <v>0</v>
      </c>
      <c r="Y50" s="493">
        <f>IF(Y$3=($D$4+$D$5),$D50-SUM($E50:X50),0)</f>
        <v>0</v>
      </c>
      <c r="Z50" s="493">
        <f>IF(Z$3=($D$4+$D$5),$D50-SUM($E50:Y50),0)</f>
        <v>0</v>
      </c>
      <c r="AA50" s="493">
        <f>IF(AA$3=($D$4+$D$5),$D50-SUM($E50:Z50),0)</f>
        <v>0</v>
      </c>
      <c r="AB50" s="493">
        <f>IF(AB$3=($D$4+$D$5),$D50-SUM($E50:AA50),0)</f>
        <v>0</v>
      </c>
      <c r="AC50" s="493">
        <f>IF(AC$3=($D$4+$D$5),$D50-SUM($E50:AB50),0)</f>
        <v>0</v>
      </c>
      <c r="AE50" s="495">
        <f t="shared" si="17"/>
        <v>0</v>
      </c>
      <c r="AF50" s="261" t="str">
        <f t="shared" si="18"/>
        <v/>
      </c>
    </row>
    <row r="51" spans="1:32" s="350" customFormat="1" ht="12.75" customHeight="1" x14ac:dyDescent="0.2">
      <c r="A51" s="3"/>
      <c r="B51" s="3"/>
      <c r="C51" s="215" t="s">
        <v>496</v>
      </c>
      <c r="D51" s="494"/>
      <c r="E51" s="494"/>
      <c r="F51" s="494"/>
      <c r="G51" s="494"/>
      <c r="H51" s="494"/>
      <c r="I51" s="494"/>
      <c r="J51" s="494"/>
      <c r="K51" s="494"/>
      <c r="L51" s="494"/>
      <c r="M51" s="494"/>
      <c r="N51" s="494"/>
      <c r="O51" s="494"/>
      <c r="P51" s="494"/>
      <c r="Q51" s="494"/>
      <c r="R51" s="494"/>
      <c r="S51" s="494"/>
      <c r="T51" s="494"/>
      <c r="U51" s="494"/>
      <c r="V51" s="494"/>
      <c r="W51" s="494"/>
      <c r="X51" s="494"/>
      <c r="Y51" s="494"/>
      <c r="Z51" s="494"/>
      <c r="AA51" s="494"/>
      <c r="AB51" s="494"/>
      <c r="AC51" s="494"/>
      <c r="AE51" s="494"/>
    </row>
    <row r="52" spans="1:32" s="3" customFormat="1" x14ac:dyDescent="0.2">
      <c r="C52" s="486" t="str">
        <f>+'Development Costs'!C55</f>
        <v>Construction Period Insurance</v>
      </c>
      <c r="D52" s="495">
        <f>+'Development Costs'!D55</f>
        <v>10000</v>
      </c>
      <c r="E52" s="493">
        <f>+D52</f>
        <v>10000</v>
      </c>
      <c r="F52" s="493">
        <v>0</v>
      </c>
      <c r="G52" s="493">
        <f>IF(G$3=($D$4+$D$5),$D52-SUM($E52:F52),0)</f>
        <v>0</v>
      </c>
      <c r="H52" s="493">
        <f>IF(H$3=($D$4+$D$5),$D52-SUM($E52:G52),0)</f>
        <v>0</v>
      </c>
      <c r="I52" s="493">
        <f>IF(I$3=($D$4+$D$5),$D52-SUM($E52:H52),0)</f>
        <v>0</v>
      </c>
      <c r="J52" s="493">
        <f>IF(J$3=($D$4+$D$5),$D52-SUM($E52:I52),0)</f>
        <v>0</v>
      </c>
      <c r="K52" s="493">
        <f>IF(K$3=($D$4+$D$5),$D52-SUM($E52:J52),0)</f>
        <v>0</v>
      </c>
      <c r="L52" s="493">
        <f>IF(L$3=($D$4+$D$5),$D52-SUM($E52:K52),0)</f>
        <v>0</v>
      </c>
      <c r="M52" s="493">
        <f>IF(M$3=($D$4+$D$5),$D52-SUM($E52:L52),0)</f>
        <v>0</v>
      </c>
      <c r="N52" s="493">
        <f>IF(N$3=($D$4+$D$5),$D52-SUM($E52:M52),0)</f>
        <v>0</v>
      </c>
      <c r="O52" s="493">
        <f>IF(O$3=($D$4+$D$5),$D52-SUM($E52:N52),0)</f>
        <v>0</v>
      </c>
      <c r="P52" s="493">
        <f>IF(P$3=($D$4+$D$5),$D52-SUM($E52:O52),0)</f>
        <v>0</v>
      </c>
      <c r="Q52" s="493">
        <f>IF(Q$3=($D$4+$D$5),$D52-SUM($E52:P52),0)</f>
        <v>0</v>
      </c>
      <c r="R52" s="493">
        <f>IF(R$3=($D$4+$D$5),$D52-SUM($E52:Q52),0)</f>
        <v>0</v>
      </c>
      <c r="S52" s="493">
        <f>IF(S$3=($D$4+$D$5),$D52-SUM($E52:R52),0)</f>
        <v>0</v>
      </c>
      <c r="T52" s="493">
        <f>IF(T$3=($D$4+$D$5),$D52-SUM($E52:S52),0)</f>
        <v>0</v>
      </c>
      <c r="U52" s="493">
        <f>IF(U$3=($D$4+$D$5),$D52-SUM($E52:T52),0)</f>
        <v>0</v>
      </c>
      <c r="V52" s="493">
        <f>IF(V$3=($D$4+$D$5),$D52-SUM($E52:U52),0)</f>
        <v>0</v>
      </c>
      <c r="W52" s="493">
        <f>IF(W$3=($D$4+$D$5),$D52-SUM($E52:V52),0)</f>
        <v>0</v>
      </c>
      <c r="X52" s="493">
        <f>IF(X$3=($D$4+$D$5),$D52-SUM($E52:W52),0)</f>
        <v>0</v>
      </c>
      <c r="Y52" s="493">
        <f>IF(Y$3=($D$4+$D$5),$D52-SUM($E52:X52),0)</f>
        <v>0</v>
      </c>
      <c r="Z52" s="493">
        <f>IF(Z$3=($D$4+$D$5),$D52-SUM($E52:Y52),0)</f>
        <v>0</v>
      </c>
      <c r="AA52" s="493">
        <f>IF(AA$3=($D$4+$D$5),$D52-SUM($E52:Z52),0)</f>
        <v>0</v>
      </c>
      <c r="AB52" s="493">
        <f>IF(AB$3=($D$4+$D$5),$D52-SUM($E52:AA52),0)</f>
        <v>0</v>
      </c>
      <c r="AC52" s="493">
        <f>IF(AC$3=($D$4+$D$5),$D52-SUM($E52:AB52),0)</f>
        <v>0</v>
      </c>
      <c r="AE52" s="495">
        <f t="shared" ref="AE52:AE61" si="21">SUM(E52:AC52)</f>
        <v>10000</v>
      </c>
      <c r="AF52" s="261" t="str">
        <f t="shared" ref="AF52:AF61" si="22">IF(AE52&gt;D52,"ERROR: Total Amount Drawn Exceeds Total Available","")</f>
        <v/>
      </c>
    </row>
    <row r="53" spans="1:32" s="3" customFormat="1" x14ac:dyDescent="0.2">
      <c r="C53" s="486" t="str">
        <f>+'Development Costs'!C56</f>
        <v>Construction Period Taxes</v>
      </c>
      <c r="D53" s="495">
        <f>+'Development Costs'!D56</f>
        <v>5000</v>
      </c>
      <c r="E53" s="493">
        <f>+D53</f>
        <v>5000</v>
      </c>
      <c r="F53" s="493">
        <v>0</v>
      </c>
      <c r="G53" s="493">
        <f>IF(G$3=($D$4+$D$5),$D53-SUM($E53:F53),0)</f>
        <v>0</v>
      </c>
      <c r="H53" s="493">
        <f>IF(H$3=($D$4+$D$5),$D53-SUM($E53:G53),0)</f>
        <v>0</v>
      </c>
      <c r="I53" s="493">
        <f>IF(I$3=($D$4+$D$5),$D53-SUM($E53:H53),0)</f>
        <v>0</v>
      </c>
      <c r="J53" s="493">
        <f>IF(J$3=($D$4+$D$5),$D53-SUM($E53:I53),0)</f>
        <v>0</v>
      </c>
      <c r="K53" s="493">
        <f>IF(K$3=($D$4+$D$5),$D53-SUM($E53:J53),0)</f>
        <v>0</v>
      </c>
      <c r="L53" s="493">
        <f>IF(L$3=($D$4+$D$5),$D53-SUM($E53:K53),0)</f>
        <v>0</v>
      </c>
      <c r="M53" s="493">
        <f>IF(M$3=($D$4+$D$5),$D53-SUM($E53:L53),0)</f>
        <v>0</v>
      </c>
      <c r="N53" s="493">
        <f>IF(N$3=($D$4+$D$5),$D53-SUM($E53:M53),0)</f>
        <v>0</v>
      </c>
      <c r="O53" s="493">
        <f>IF(O$3=($D$4+$D$5),$D53-SUM($E53:N53),0)</f>
        <v>0</v>
      </c>
      <c r="P53" s="493">
        <f>IF(P$3=($D$4+$D$5),$D53-SUM($E53:O53),0)</f>
        <v>0</v>
      </c>
      <c r="Q53" s="493">
        <f>IF(Q$3=($D$4+$D$5),$D53-SUM($E53:P53),0)</f>
        <v>0</v>
      </c>
      <c r="R53" s="493">
        <f>IF(R$3=($D$4+$D$5),$D53-SUM($E53:Q53),0)</f>
        <v>0</v>
      </c>
      <c r="S53" s="493">
        <f>IF(S$3=($D$4+$D$5),$D53-SUM($E53:R53),0)</f>
        <v>0</v>
      </c>
      <c r="T53" s="493">
        <f>IF(T$3=($D$4+$D$5),$D53-SUM($E53:S53),0)</f>
        <v>0</v>
      </c>
      <c r="U53" s="493">
        <f>IF(U$3=($D$4+$D$5),$D53-SUM($E53:T53),0)</f>
        <v>0</v>
      </c>
      <c r="V53" s="493">
        <f>IF(V$3=($D$4+$D$5),$D53-SUM($E53:U53),0)</f>
        <v>0</v>
      </c>
      <c r="W53" s="493">
        <f>IF(W$3=($D$4+$D$5),$D53-SUM($E53:V53),0)</f>
        <v>0</v>
      </c>
      <c r="X53" s="493">
        <f>IF(X$3=($D$4+$D$5),$D53-SUM($E53:W53),0)</f>
        <v>0</v>
      </c>
      <c r="Y53" s="493">
        <f>IF(Y$3=($D$4+$D$5),$D53-SUM($E53:X53),0)</f>
        <v>0</v>
      </c>
      <c r="Z53" s="493">
        <f>IF(Z$3=($D$4+$D$5),$D53-SUM($E53:Y53),0)</f>
        <v>0</v>
      </c>
      <c r="AA53" s="493">
        <f>IF(AA$3=($D$4+$D$5),$D53-SUM($E53:Z53),0)</f>
        <v>0</v>
      </c>
      <c r="AB53" s="493">
        <f>IF(AB$3=($D$4+$D$5),$D53-SUM($E53:AA53),0)</f>
        <v>0</v>
      </c>
      <c r="AC53" s="493">
        <f>IF(AC$3=($D$4+$D$5),$D53-SUM($E53:AB53),0)</f>
        <v>0</v>
      </c>
      <c r="AE53" s="495">
        <f t="shared" si="21"/>
        <v>5000</v>
      </c>
      <c r="AF53" s="261" t="str">
        <f t="shared" si="22"/>
        <v/>
      </c>
    </row>
    <row r="54" spans="1:32" s="3" customFormat="1" x14ac:dyDescent="0.2">
      <c r="A54" s="515" t="s">
        <v>424</v>
      </c>
      <c r="B54" s="513"/>
      <c r="C54" s="542" t="s">
        <v>547</v>
      </c>
      <c r="D54" s="495"/>
      <c r="E54" s="495"/>
      <c r="F54" s="495"/>
      <c r="G54" s="495"/>
      <c r="H54" s="495"/>
      <c r="I54" s="495"/>
      <c r="J54" s="495"/>
      <c r="K54" s="495"/>
      <c r="L54" s="495"/>
      <c r="M54" s="495"/>
      <c r="N54" s="495"/>
      <c r="O54" s="495"/>
      <c r="P54" s="495"/>
      <c r="Q54" s="495"/>
      <c r="R54" s="495"/>
      <c r="S54" s="495"/>
      <c r="T54" s="495"/>
      <c r="U54" s="495"/>
      <c r="V54" s="495"/>
      <c r="W54" s="495"/>
      <c r="X54" s="495"/>
      <c r="Y54" s="495"/>
      <c r="Z54" s="495"/>
      <c r="AA54" s="495"/>
      <c r="AB54" s="495"/>
      <c r="AC54" s="495"/>
      <c r="AE54" s="495">
        <f t="shared" si="21"/>
        <v>0</v>
      </c>
      <c r="AF54" s="261" t="str">
        <f t="shared" si="22"/>
        <v/>
      </c>
    </row>
    <row r="55" spans="1:32" s="3" customFormat="1" x14ac:dyDescent="0.2">
      <c r="C55" s="486" t="str">
        <f>+'Development Costs'!C58</f>
        <v>Construction Loan Origination Fee</v>
      </c>
      <c r="D55" s="495">
        <f>+'Development Costs'!D58</f>
        <v>0</v>
      </c>
      <c r="E55" s="493">
        <f t="shared" ref="E55:E61" si="23">+D55</f>
        <v>0</v>
      </c>
      <c r="F55" s="493">
        <v>0</v>
      </c>
      <c r="G55" s="493">
        <f>IF(G$3=($D$4+$D$5),$D55-SUM($E55:F55),0)</f>
        <v>0</v>
      </c>
      <c r="H55" s="493">
        <f>IF(H$3=($D$4+$D$5),$D55-SUM($E55:G55),0)</f>
        <v>0</v>
      </c>
      <c r="I55" s="493">
        <f>IF(I$3=($D$4+$D$5),$D55-SUM($E55:H55),0)</f>
        <v>0</v>
      </c>
      <c r="J55" s="493">
        <f>IF(J$3=($D$4+$D$5),$D55-SUM($E55:I55),0)</f>
        <v>0</v>
      </c>
      <c r="K55" s="493">
        <f>IF(K$3=($D$4+$D$5),$D55-SUM($E55:J55),0)</f>
        <v>0</v>
      </c>
      <c r="L55" s="493">
        <f>IF(L$3=($D$4+$D$5),$D55-SUM($E55:K55),0)</f>
        <v>0</v>
      </c>
      <c r="M55" s="493">
        <f>IF(M$3=($D$4+$D$5),$D55-SUM($E55:L55),0)</f>
        <v>0</v>
      </c>
      <c r="N55" s="493">
        <f>IF(N$3=($D$4+$D$5),$D55-SUM($E55:M55),0)</f>
        <v>0</v>
      </c>
      <c r="O55" s="493">
        <f>IF(O$3=($D$4+$D$5),$D55-SUM($E55:N55),0)</f>
        <v>0</v>
      </c>
      <c r="P55" s="493">
        <f>IF(P$3=($D$4+$D$5),$D55-SUM($E55:O55),0)</f>
        <v>0</v>
      </c>
      <c r="Q55" s="493">
        <f>IF(Q$3=($D$4+$D$5),$D55-SUM($E55:P55),0)</f>
        <v>0</v>
      </c>
      <c r="R55" s="493">
        <f>IF(R$3=($D$4+$D$5),$D55-SUM($E55:Q55),0)</f>
        <v>0</v>
      </c>
      <c r="S55" s="493">
        <f>IF(S$3=($D$4+$D$5),$D55-SUM($E55:R55),0)</f>
        <v>0</v>
      </c>
      <c r="T55" s="493">
        <f>IF(T$3=($D$4+$D$5),$D55-SUM($E55:S55),0)</f>
        <v>0</v>
      </c>
      <c r="U55" s="493">
        <f>IF(U$3=($D$4+$D$5),$D55-SUM($E55:T55),0)</f>
        <v>0</v>
      </c>
      <c r="V55" s="493">
        <f>IF(V$3=($D$4+$D$5),$D55-SUM($E55:U55),0)</f>
        <v>0</v>
      </c>
      <c r="W55" s="493">
        <f>IF(W$3=($D$4+$D$5),$D55-SUM($E55:V55),0)</f>
        <v>0</v>
      </c>
      <c r="X55" s="493">
        <f>IF(X$3=($D$4+$D$5),$D55-SUM($E55:W55),0)</f>
        <v>0</v>
      </c>
      <c r="Y55" s="493">
        <f>IF(Y$3=($D$4+$D$5),$D55-SUM($E55:X55),0)</f>
        <v>0</v>
      </c>
      <c r="Z55" s="493">
        <f>IF(Z$3=($D$4+$D$5),$D55-SUM($E55:Y55),0)</f>
        <v>0</v>
      </c>
      <c r="AA55" s="493">
        <f>IF(AA$3=($D$4+$D$5),$D55-SUM($E55:Z55),0)</f>
        <v>0</v>
      </c>
      <c r="AB55" s="493">
        <f>IF(AB$3=($D$4+$D$5),$D55-SUM($E55:AA55),0)</f>
        <v>0</v>
      </c>
      <c r="AC55" s="493">
        <f>IF(AC$3=($D$4+$D$5),$D55-SUM($E55:AB55),0)</f>
        <v>0</v>
      </c>
      <c r="AE55" s="495">
        <f t="shared" si="21"/>
        <v>0</v>
      </c>
      <c r="AF55" s="261" t="str">
        <f t="shared" si="22"/>
        <v/>
      </c>
    </row>
    <row r="56" spans="1:32" s="3" customFormat="1" x14ac:dyDescent="0.2">
      <c r="C56" s="486" t="str">
        <f>+'Development Costs'!C59</f>
        <v>Construction Loan Legal Fees</v>
      </c>
      <c r="D56" s="495">
        <f>+'Development Costs'!D59</f>
        <v>0</v>
      </c>
      <c r="E56" s="493">
        <f t="shared" si="23"/>
        <v>0</v>
      </c>
      <c r="F56" s="493">
        <v>0</v>
      </c>
      <c r="G56" s="493">
        <f>IF(G$3=($D$4+$D$5),$D56-SUM($E56:F56),0)</f>
        <v>0</v>
      </c>
      <c r="H56" s="493">
        <f>IF(H$3=($D$4+$D$5),$D56-SUM($E56:G56),0)</f>
        <v>0</v>
      </c>
      <c r="I56" s="493">
        <f>IF(I$3=($D$4+$D$5),$D56-SUM($E56:H56),0)</f>
        <v>0</v>
      </c>
      <c r="J56" s="493">
        <f>IF(J$3=($D$4+$D$5),$D56-SUM($E56:I56),0)</f>
        <v>0</v>
      </c>
      <c r="K56" s="493">
        <f>IF(K$3=($D$4+$D$5),$D56-SUM($E56:J56),0)</f>
        <v>0</v>
      </c>
      <c r="L56" s="493">
        <f>IF(L$3=($D$4+$D$5),$D56-SUM($E56:K56),0)</f>
        <v>0</v>
      </c>
      <c r="M56" s="493">
        <f>IF(M$3=($D$4+$D$5),$D56-SUM($E56:L56),0)</f>
        <v>0</v>
      </c>
      <c r="N56" s="493">
        <f>IF(N$3=($D$4+$D$5),$D56-SUM($E56:M56),0)</f>
        <v>0</v>
      </c>
      <c r="O56" s="493">
        <f>IF(O$3=($D$4+$D$5),$D56-SUM($E56:N56),0)</f>
        <v>0</v>
      </c>
      <c r="P56" s="493">
        <f>IF(P$3=($D$4+$D$5),$D56-SUM($E56:O56),0)</f>
        <v>0</v>
      </c>
      <c r="Q56" s="493">
        <f>IF(Q$3=($D$4+$D$5),$D56-SUM($E56:P56),0)</f>
        <v>0</v>
      </c>
      <c r="R56" s="493">
        <f>IF(R$3=($D$4+$D$5),$D56-SUM($E56:Q56),0)</f>
        <v>0</v>
      </c>
      <c r="S56" s="493">
        <f>IF(S$3=($D$4+$D$5),$D56-SUM($E56:R56),0)</f>
        <v>0</v>
      </c>
      <c r="T56" s="493">
        <f>IF(T$3=($D$4+$D$5),$D56-SUM($E56:S56),0)</f>
        <v>0</v>
      </c>
      <c r="U56" s="493">
        <f>IF(U$3=($D$4+$D$5),$D56-SUM($E56:T56),0)</f>
        <v>0</v>
      </c>
      <c r="V56" s="493">
        <f>IF(V$3=($D$4+$D$5),$D56-SUM($E56:U56),0)</f>
        <v>0</v>
      </c>
      <c r="W56" s="493">
        <f>IF(W$3=($D$4+$D$5),$D56-SUM($E56:V56),0)</f>
        <v>0</v>
      </c>
      <c r="X56" s="493">
        <f>IF(X$3=($D$4+$D$5),$D56-SUM($E56:W56),0)</f>
        <v>0</v>
      </c>
      <c r="Y56" s="493">
        <f>IF(Y$3=($D$4+$D$5),$D56-SUM($E56:X56),0)</f>
        <v>0</v>
      </c>
      <c r="Z56" s="493">
        <f>IF(Z$3=($D$4+$D$5),$D56-SUM($E56:Y56),0)</f>
        <v>0</v>
      </c>
      <c r="AA56" s="493">
        <f>IF(AA$3=($D$4+$D$5),$D56-SUM($E56:Z56),0)</f>
        <v>0</v>
      </c>
      <c r="AB56" s="493">
        <f>IF(AB$3=($D$4+$D$5),$D56-SUM($E56:AA56),0)</f>
        <v>0</v>
      </c>
      <c r="AC56" s="493">
        <f>IF(AC$3=($D$4+$D$5),$D56-SUM($E56:AB56),0)</f>
        <v>0</v>
      </c>
      <c r="AE56" s="495">
        <f t="shared" si="21"/>
        <v>0</v>
      </c>
      <c r="AF56" s="261" t="str">
        <f t="shared" si="22"/>
        <v/>
      </c>
    </row>
    <row r="57" spans="1:32" s="3" customFormat="1" x14ac:dyDescent="0.2">
      <c r="C57" s="486" t="str">
        <f>+'Development Costs'!C60</f>
        <v>Other Construction Loan Fees</v>
      </c>
      <c r="D57" s="495">
        <f>+'Development Costs'!D60</f>
        <v>0</v>
      </c>
      <c r="E57" s="493">
        <f t="shared" si="23"/>
        <v>0</v>
      </c>
      <c r="F57" s="493">
        <v>0</v>
      </c>
      <c r="G57" s="493">
        <f>IF(G$3=($D$4+$D$5),$D57-SUM($E57:F57),0)</f>
        <v>0</v>
      </c>
      <c r="H57" s="493">
        <f>IF(H$3=($D$4+$D$5),$D57-SUM($E57:G57),0)</f>
        <v>0</v>
      </c>
      <c r="I57" s="493">
        <f>IF(I$3=($D$4+$D$5),$D57-SUM($E57:H57),0)</f>
        <v>0</v>
      </c>
      <c r="J57" s="493">
        <f>IF(J$3=($D$4+$D$5),$D57-SUM($E57:I57),0)</f>
        <v>0</v>
      </c>
      <c r="K57" s="493">
        <f>IF(K$3=($D$4+$D$5),$D57-SUM($E57:J57),0)</f>
        <v>0</v>
      </c>
      <c r="L57" s="493">
        <f>IF(L$3=($D$4+$D$5),$D57-SUM($E57:K57),0)</f>
        <v>0</v>
      </c>
      <c r="M57" s="493">
        <f>IF(M$3=($D$4+$D$5),$D57-SUM($E57:L57),0)</f>
        <v>0</v>
      </c>
      <c r="N57" s="493">
        <f>IF(N$3=($D$4+$D$5),$D57-SUM($E57:M57),0)</f>
        <v>0</v>
      </c>
      <c r="O57" s="493">
        <f>IF(O$3=($D$4+$D$5),$D57-SUM($E57:N57),0)</f>
        <v>0</v>
      </c>
      <c r="P57" s="493">
        <f>IF(P$3=($D$4+$D$5),$D57-SUM($E57:O57),0)</f>
        <v>0</v>
      </c>
      <c r="Q57" s="493">
        <f>IF(Q$3=($D$4+$D$5),$D57-SUM($E57:P57),0)</f>
        <v>0</v>
      </c>
      <c r="R57" s="493">
        <f>IF(R$3=($D$4+$D$5),$D57-SUM($E57:Q57),0)</f>
        <v>0</v>
      </c>
      <c r="S57" s="493">
        <f>IF(S$3=($D$4+$D$5),$D57-SUM($E57:R57),0)</f>
        <v>0</v>
      </c>
      <c r="T57" s="493">
        <f>IF(T$3=($D$4+$D$5),$D57-SUM($E57:S57),0)</f>
        <v>0</v>
      </c>
      <c r="U57" s="493">
        <f>IF(U$3=($D$4+$D$5),$D57-SUM($E57:T57),0)</f>
        <v>0</v>
      </c>
      <c r="V57" s="493">
        <f>IF(V$3=($D$4+$D$5),$D57-SUM($E57:U57),0)</f>
        <v>0</v>
      </c>
      <c r="W57" s="493">
        <f>IF(W$3=($D$4+$D$5),$D57-SUM($E57:V57),0)</f>
        <v>0</v>
      </c>
      <c r="X57" s="493">
        <f>IF(X$3=($D$4+$D$5),$D57-SUM($E57:W57),0)</f>
        <v>0</v>
      </c>
      <c r="Y57" s="493">
        <f>IF(Y$3=($D$4+$D$5),$D57-SUM($E57:X57),0)</f>
        <v>0</v>
      </c>
      <c r="Z57" s="493">
        <f>IF(Z$3=($D$4+$D$5),$D57-SUM($E57:Y57),0)</f>
        <v>0</v>
      </c>
      <c r="AA57" s="493">
        <f>IF(AA$3=($D$4+$D$5),$D57-SUM($E57:Z57),0)</f>
        <v>0</v>
      </c>
      <c r="AB57" s="493">
        <f>IF(AB$3=($D$4+$D$5),$D57-SUM($E57:AA57),0)</f>
        <v>0</v>
      </c>
      <c r="AC57" s="493">
        <f>IF(AC$3=($D$4+$D$5),$D57-SUM($E57:AB57),0)</f>
        <v>0</v>
      </c>
      <c r="AE57" s="495">
        <f t="shared" si="21"/>
        <v>0</v>
      </c>
      <c r="AF57" s="261" t="str">
        <f t="shared" si="22"/>
        <v/>
      </c>
    </row>
    <row r="58" spans="1:32" s="3" customFormat="1" x14ac:dyDescent="0.2">
      <c r="C58" s="486" t="str">
        <f>+'Development Costs'!C61</f>
        <v>Bond Costs of Issuance</v>
      </c>
      <c r="D58" s="495">
        <f>+'Development Costs'!D61</f>
        <v>0</v>
      </c>
      <c r="E58" s="493">
        <f t="shared" si="23"/>
        <v>0</v>
      </c>
      <c r="F58" s="493">
        <v>0</v>
      </c>
      <c r="G58" s="493">
        <f>IF(G$3=($D$4+$D$5),$D58-SUM($E58:F58),0)</f>
        <v>0</v>
      </c>
      <c r="H58" s="493">
        <f>IF(H$3=($D$4+$D$5),$D58-SUM($E58:G58),0)</f>
        <v>0</v>
      </c>
      <c r="I58" s="493">
        <f>IF(I$3=($D$4+$D$5),$D58-SUM($E58:H58),0)</f>
        <v>0</v>
      </c>
      <c r="J58" s="493">
        <f>IF(J$3=($D$4+$D$5),$D58-SUM($E58:I58),0)</f>
        <v>0</v>
      </c>
      <c r="K58" s="493">
        <f>IF(K$3=($D$4+$D$5),$D58-SUM($E58:J58),0)</f>
        <v>0</v>
      </c>
      <c r="L58" s="493">
        <f>IF(L$3=($D$4+$D$5),$D58-SUM($E58:K58),0)</f>
        <v>0</v>
      </c>
      <c r="M58" s="493">
        <f>IF(M$3=($D$4+$D$5),$D58-SUM($E58:L58),0)</f>
        <v>0</v>
      </c>
      <c r="N58" s="493">
        <f>IF(N$3=($D$4+$D$5),$D58-SUM($E58:M58),0)</f>
        <v>0</v>
      </c>
      <c r="O58" s="493">
        <f>IF(O$3=($D$4+$D$5),$D58-SUM($E58:N58),0)</f>
        <v>0</v>
      </c>
      <c r="P58" s="493">
        <f>IF(P$3=($D$4+$D$5),$D58-SUM($E58:O58),0)</f>
        <v>0</v>
      </c>
      <c r="Q58" s="493">
        <f>IF(Q$3=($D$4+$D$5),$D58-SUM($E58:P58),0)</f>
        <v>0</v>
      </c>
      <c r="R58" s="493">
        <f>IF(R$3=($D$4+$D$5),$D58-SUM($E58:Q58),0)</f>
        <v>0</v>
      </c>
      <c r="S58" s="493">
        <f>IF(S$3=($D$4+$D$5),$D58-SUM($E58:R58),0)</f>
        <v>0</v>
      </c>
      <c r="T58" s="493">
        <f>IF(T$3=($D$4+$D$5),$D58-SUM($E58:S58),0)</f>
        <v>0</v>
      </c>
      <c r="U58" s="493">
        <f>IF(U$3=($D$4+$D$5),$D58-SUM($E58:T58),0)</f>
        <v>0</v>
      </c>
      <c r="V58" s="493">
        <f>IF(V$3=($D$4+$D$5),$D58-SUM($E58:U58),0)</f>
        <v>0</v>
      </c>
      <c r="W58" s="493">
        <f>IF(W$3=($D$4+$D$5),$D58-SUM($E58:V58),0)</f>
        <v>0</v>
      </c>
      <c r="X58" s="493">
        <f>IF(X$3=($D$4+$D$5),$D58-SUM($E58:W58),0)</f>
        <v>0</v>
      </c>
      <c r="Y58" s="493">
        <f>IF(Y$3=($D$4+$D$5),$D58-SUM($E58:X58),0)</f>
        <v>0</v>
      </c>
      <c r="Z58" s="493">
        <f>IF(Z$3=($D$4+$D$5),$D58-SUM($E58:Y58),0)</f>
        <v>0</v>
      </c>
      <c r="AA58" s="493">
        <f>IF(AA$3=($D$4+$D$5),$D58-SUM($E58:Z58),0)</f>
        <v>0</v>
      </c>
      <c r="AB58" s="493">
        <f>IF(AB$3=($D$4+$D$5),$D58-SUM($E58:AA58),0)</f>
        <v>0</v>
      </c>
      <c r="AC58" s="493">
        <f>IF(AC$3=($D$4+$D$5),$D58-SUM($E58:AB58),0)</f>
        <v>0</v>
      </c>
      <c r="AE58" s="495">
        <f t="shared" si="21"/>
        <v>0</v>
      </c>
      <c r="AF58" s="261" t="str">
        <f t="shared" si="22"/>
        <v/>
      </c>
    </row>
    <row r="59" spans="1:32" s="3" customFormat="1" x14ac:dyDescent="0.2">
      <c r="C59" s="486" t="str">
        <f>+'Development Costs'!C62</f>
        <v>Title and Recording Costs (for the construction loan)</v>
      </c>
      <c r="D59" s="495">
        <f>+'Development Costs'!D62</f>
        <v>0</v>
      </c>
      <c r="E59" s="493">
        <f t="shared" si="23"/>
        <v>0</v>
      </c>
      <c r="F59" s="493">
        <v>0</v>
      </c>
      <c r="G59" s="493">
        <f>IF(G$3=($D$4+$D$5),$D59-SUM($E59:F59),0)</f>
        <v>0</v>
      </c>
      <c r="H59" s="493">
        <f>IF(H$3=($D$4+$D$5),$D59-SUM($E59:G59),0)</f>
        <v>0</v>
      </c>
      <c r="I59" s="493">
        <f>IF(I$3=($D$4+$D$5),$D59-SUM($E59:H59),0)</f>
        <v>0</v>
      </c>
      <c r="J59" s="493">
        <f>IF(J$3=($D$4+$D$5),$D59-SUM($E59:I59),0)</f>
        <v>0</v>
      </c>
      <c r="K59" s="493">
        <f>IF(K$3=($D$4+$D$5),$D59-SUM($E59:J59),0)</f>
        <v>0</v>
      </c>
      <c r="L59" s="493">
        <f>IF(L$3=($D$4+$D$5),$D59-SUM($E59:K59),0)</f>
        <v>0</v>
      </c>
      <c r="M59" s="493">
        <f>IF(M$3=($D$4+$D$5),$D59-SUM($E59:L59),0)</f>
        <v>0</v>
      </c>
      <c r="N59" s="493">
        <f>IF(N$3=($D$4+$D$5),$D59-SUM($E59:M59),0)</f>
        <v>0</v>
      </c>
      <c r="O59" s="493">
        <f>IF(O$3=($D$4+$D$5),$D59-SUM($E59:N59),0)</f>
        <v>0</v>
      </c>
      <c r="P59" s="493">
        <f>IF(P$3=($D$4+$D$5),$D59-SUM($E59:O59),0)</f>
        <v>0</v>
      </c>
      <c r="Q59" s="493">
        <f>IF(Q$3=($D$4+$D$5),$D59-SUM($E59:P59),0)</f>
        <v>0</v>
      </c>
      <c r="R59" s="493">
        <f>IF(R$3=($D$4+$D$5),$D59-SUM($E59:Q59),0)</f>
        <v>0</v>
      </c>
      <c r="S59" s="493">
        <f>IF(S$3=($D$4+$D$5),$D59-SUM($E59:R59),0)</f>
        <v>0</v>
      </c>
      <c r="T59" s="493">
        <f>IF(T$3=($D$4+$D$5),$D59-SUM($E59:S59),0)</f>
        <v>0</v>
      </c>
      <c r="U59" s="493">
        <f>IF(U$3=($D$4+$D$5),$D59-SUM($E59:T59),0)</f>
        <v>0</v>
      </c>
      <c r="V59" s="493">
        <f>IF(V$3=($D$4+$D$5),$D59-SUM($E59:U59),0)</f>
        <v>0</v>
      </c>
      <c r="W59" s="493">
        <f>IF(W$3=($D$4+$D$5),$D59-SUM($E59:V59),0)</f>
        <v>0</v>
      </c>
      <c r="X59" s="493">
        <f>IF(X$3=($D$4+$D$5),$D59-SUM($E59:W59),0)</f>
        <v>0</v>
      </c>
      <c r="Y59" s="493">
        <f>IF(Y$3=($D$4+$D$5),$D59-SUM($E59:X59),0)</f>
        <v>0</v>
      </c>
      <c r="Z59" s="493">
        <f>IF(Z$3=($D$4+$D$5),$D59-SUM($E59:Y59),0)</f>
        <v>0</v>
      </c>
      <c r="AA59" s="493">
        <f>IF(AA$3=($D$4+$D$5),$D59-SUM($E59:Z59),0)</f>
        <v>0</v>
      </c>
      <c r="AB59" s="493">
        <f>IF(AB$3=($D$4+$D$5),$D59-SUM($E59:AA59),0)</f>
        <v>0</v>
      </c>
      <c r="AC59" s="493">
        <f>IF(AC$3=($D$4+$D$5),$D59-SUM($E59:AB59),0)</f>
        <v>0</v>
      </c>
      <c r="AE59" s="495">
        <f t="shared" si="21"/>
        <v>0</v>
      </c>
      <c r="AF59" s="261" t="str">
        <f t="shared" si="22"/>
        <v/>
      </c>
    </row>
    <row r="60" spans="1:32" s="3" customFormat="1" x14ac:dyDescent="0.2">
      <c r="C60" s="486">
        <f>+'Development Costs'!C63</f>
        <v>0</v>
      </c>
      <c r="D60" s="495">
        <f>+'Development Costs'!D63</f>
        <v>0</v>
      </c>
      <c r="E60" s="493">
        <f t="shared" si="23"/>
        <v>0</v>
      </c>
      <c r="F60" s="493">
        <v>0</v>
      </c>
      <c r="G60" s="493">
        <f>IF(G$3=($D$4+$D$5),$D60-SUM($E60:F60),0)</f>
        <v>0</v>
      </c>
      <c r="H60" s="493">
        <f>IF(H$3=($D$4+$D$5),$D60-SUM($E60:G60),0)</f>
        <v>0</v>
      </c>
      <c r="I60" s="493">
        <f>IF(I$3=($D$4+$D$5),$D60-SUM($E60:H60),0)</f>
        <v>0</v>
      </c>
      <c r="J60" s="493">
        <f>IF(J$3=($D$4+$D$5),$D60-SUM($E60:I60),0)</f>
        <v>0</v>
      </c>
      <c r="K60" s="493">
        <f>IF(K$3=($D$4+$D$5),$D60-SUM($E60:J60),0)</f>
        <v>0</v>
      </c>
      <c r="L60" s="493">
        <f>IF(L$3=($D$4+$D$5),$D60-SUM($E60:K60),0)</f>
        <v>0</v>
      </c>
      <c r="M60" s="493">
        <f>IF(M$3=($D$4+$D$5),$D60-SUM($E60:L60),0)</f>
        <v>0</v>
      </c>
      <c r="N60" s="493">
        <f>IF(N$3=($D$4+$D$5),$D60-SUM($E60:M60),0)</f>
        <v>0</v>
      </c>
      <c r="O60" s="493">
        <f>IF(O$3=($D$4+$D$5),$D60-SUM($E60:N60),0)</f>
        <v>0</v>
      </c>
      <c r="P60" s="493">
        <f>IF(P$3=($D$4+$D$5),$D60-SUM($E60:O60),0)</f>
        <v>0</v>
      </c>
      <c r="Q60" s="493">
        <f>IF(Q$3=($D$4+$D$5),$D60-SUM($E60:P60),0)</f>
        <v>0</v>
      </c>
      <c r="R60" s="493">
        <f>IF(R$3=($D$4+$D$5),$D60-SUM($E60:Q60),0)</f>
        <v>0</v>
      </c>
      <c r="S60" s="493">
        <f>IF(S$3=($D$4+$D$5),$D60-SUM($E60:R60),0)</f>
        <v>0</v>
      </c>
      <c r="T60" s="493">
        <f>IF(T$3=($D$4+$D$5),$D60-SUM($E60:S60),0)</f>
        <v>0</v>
      </c>
      <c r="U60" s="493">
        <f>IF(U$3=($D$4+$D$5),$D60-SUM($E60:T60),0)</f>
        <v>0</v>
      </c>
      <c r="V60" s="493">
        <f>IF(V$3=($D$4+$D$5),$D60-SUM($E60:U60),0)</f>
        <v>0</v>
      </c>
      <c r="W60" s="493">
        <f>IF(W$3=($D$4+$D$5),$D60-SUM($E60:V60),0)</f>
        <v>0</v>
      </c>
      <c r="X60" s="493">
        <f>IF(X$3=($D$4+$D$5),$D60-SUM($E60:W60),0)</f>
        <v>0</v>
      </c>
      <c r="Y60" s="493">
        <f>IF(Y$3=($D$4+$D$5),$D60-SUM($E60:X60),0)</f>
        <v>0</v>
      </c>
      <c r="Z60" s="493">
        <f>IF(Z$3=($D$4+$D$5),$D60-SUM($E60:Y60),0)</f>
        <v>0</v>
      </c>
      <c r="AA60" s="493">
        <f>IF(AA$3=($D$4+$D$5),$D60-SUM($E60:Z60),0)</f>
        <v>0</v>
      </c>
      <c r="AB60" s="493">
        <f>IF(AB$3=($D$4+$D$5),$D60-SUM($E60:AA60),0)</f>
        <v>0</v>
      </c>
      <c r="AC60" s="493">
        <f>IF(AC$3=($D$4+$D$5),$D60-SUM($E60:AB60),0)</f>
        <v>0</v>
      </c>
      <c r="AE60" s="495">
        <f t="shared" si="21"/>
        <v>0</v>
      </c>
      <c r="AF60" s="261" t="str">
        <f t="shared" si="22"/>
        <v/>
      </c>
    </row>
    <row r="61" spans="1:32" s="3" customFormat="1" x14ac:dyDescent="0.2">
      <c r="C61" s="486">
        <f>+'Development Costs'!C64</f>
        <v>0</v>
      </c>
      <c r="D61" s="495">
        <f>+'Development Costs'!D64</f>
        <v>0</v>
      </c>
      <c r="E61" s="493">
        <f t="shared" si="23"/>
        <v>0</v>
      </c>
      <c r="F61" s="493">
        <v>0</v>
      </c>
      <c r="G61" s="493">
        <f>IF(G$3=($D$4+$D$5),$D61-SUM($E61:F61),0)</f>
        <v>0</v>
      </c>
      <c r="H61" s="493">
        <f>IF(H$3=($D$4+$D$5),$D61-SUM($E61:G61),0)</f>
        <v>0</v>
      </c>
      <c r="I61" s="493">
        <f>IF(I$3=($D$4+$D$5),$D61-SUM($E61:H61),0)</f>
        <v>0</v>
      </c>
      <c r="J61" s="493">
        <f>IF(J$3=($D$4+$D$5),$D61-SUM($E61:I61),0)</f>
        <v>0</v>
      </c>
      <c r="K61" s="493">
        <f>IF(K$3=($D$4+$D$5),$D61-SUM($E61:J61),0)</f>
        <v>0</v>
      </c>
      <c r="L61" s="493">
        <f>IF(L$3=($D$4+$D$5),$D61-SUM($E61:K61),0)</f>
        <v>0</v>
      </c>
      <c r="M61" s="493">
        <f>IF(M$3=($D$4+$D$5),$D61-SUM($E61:L61),0)</f>
        <v>0</v>
      </c>
      <c r="N61" s="493">
        <f>IF(N$3=($D$4+$D$5),$D61-SUM($E61:M61),0)</f>
        <v>0</v>
      </c>
      <c r="O61" s="493">
        <f>IF(O$3=($D$4+$D$5),$D61-SUM($E61:N61),0)</f>
        <v>0</v>
      </c>
      <c r="P61" s="493">
        <f>IF(P$3=($D$4+$D$5),$D61-SUM($E61:O61),0)</f>
        <v>0</v>
      </c>
      <c r="Q61" s="493">
        <f>IF(Q$3=($D$4+$D$5),$D61-SUM($E61:P61),0)</f>
        <v>0</v>
      </c>
      <c r="R61" s="493">
        <f>IF(R$3=($D$4+$D$5),$D61-SUM($E61:Q61),0)</f>
        <v>0</v>
      </c>
      <c r="S61" s="493">
        <f>IF(S$3=($D$4+$D$5),$D61-SUM($E61:R61),0)</f>
        <v>0</v>
      </c>
      <c r="T61" s="493">
        <f>IF(T$3=($D$4+$D$5),$D61-SUM($E61:S61),0)</f>
        <v>0</v>
      </c>
      <c r="U61" s="493">
        <f>IF(U$3=($D$4+$D$5),$D61-SUM($E61:T61),0)</f>
        <v>0</v>
      </c>
      <c r="V61" s="493">
        <f>IF(V$3=($D$4+$D$5),$D61-SUM($E61:U61),0)</f>
        <v>0</v>
      </c>
      <c r="W61" s="493">
        <f>IF(W$3=($D$4+$D$5),$D61-SUM($E61:V61),0)</f>
        <v>0</v>
      </c>
      <c r="X61" s="493">
        <f>IF(X$3=($D$4+$D$5),$D61-SUM($E61:W61),0)</f>
        <v>0</v>
      </c>
      <c r="Y61" s="493">
        <f>IF(Y$3=($D$4+$D$5),$D61-SUM($E61:X61),0)</f>
        <v>0</v>
      </c>
      <c r="Z61" s="493">
        <f>IF(Z$3=($D$4+$D$5),$D61-SUM($E61:Y61),0)</f>
        <v>0</v>
      </c>
      <c r="AA61" s="493">
        <f>IF(AA$3=($D$4+$D$5),$D61-SUM($E61:Z61),0)</f>
        <v>0</v>
      </c>
      <c r="AB61" s="493">
        <f>IF(AB$3=($D$4+$D$5),$D61-SUM($E61:AA61),0)</f>
        <v>0</v>
      </c>
      <c r="AC61" s="493">
        <f>IF(AC$3=($D$4+$D$5),$D61-SUM($E61:AB61),0)</f>
        <v>0</v>
      </c>
      <c r="AE61" s="495">
        <f t="shared" si="21"/>
        <v>0</v>
      </c>
      <c r="AF61" s="261" t="str">
        <f t="shared" si="22"/>
        <v/>
      </c>
    </row>
    <row r="62" spans="1:32" s="350" customFormat="1" ht="12.75" customHeight="1" x14ac:dyDescent="0.2">
      <c r="A62" s="3"/>
      <c r="C62" s="215" t="s">
        <v>376</v>
      </c>
      <c r="D62" s="494"/>
      <c r="E62" s="494"/>
      <c r="F62" s="494"/>
      <c r="G62" s="494"/>
      <c r="H62" s="494"/>
      <c r="I62" s="494"/>
      <c r="J62" s="494"/>
      <c r="K62" s="494"/>
      <c r="L62" s="494"/>
      <c r="M62" s="494"/>
      <c r="N62" s="494"/>
      <c r="O62" s="494"/>
      <c r="P62" s="494"/>
      <c r="Q62" s="494"/>
      <c r="R62" s="494"/>
      <c r="S62" s="494"/>
      <c r="T62" s="494"/>
      <c r="U62" s="494"/>
      <c r="V62" s="494"/>
      <c r="W62" s="494"/>
      <c r="X62" s="494"/>
      <c r="Y62" s="494"/>
      <c r="Z62" s="494"/>
      <c r="AA62" s="494"/>
      <c r="AB62" s="494"/>
      <c r="AC62" s="494"/>
      <c r="AE62" s="494"/>
    </row>
    <row r="63" spans="1:32" s="3" customFormat="1" x14ac:dyDescent="0.2">
      <c r="C63" s="486" t="str">
        <f>+'Development Costs'!C66</f>
        <v>Credit Report</v>
      </c>
      <c r="D63" s="495">
        <f>+'Development Costs'!D66</f>
        <v>0</v>
      </c>
      <c r="E63" s="493">
        <f>+D63</f>
        <v>0</v>
      </c>
      <c r="F63" s="493">
        <v>0</v>
      </c>
      <c r="G63" s="493">
        <f>IF(G$3=($D$4+$D$5),$D63-SUM($E63:F63),0)</f>
        <v>0</v>
      </c>
      <c r="H63" s="493">
        <f>IF(H$3=($D$4+$D$5),$D63-SUM($E63:G63),0)</f>
        <v>0</v>
      </c>
      <c r="I63" s="493">
        <f>IF(I$3=($D$4+$D$5),$D63-SUM($E63:H63),0)</f>
        <v>0</v>
      </c>
      <c r="J63" s="493">
        <f>IF(J$3=($D$4+$D$5),$D63-SUM($E63:I63),0)</f>
        <v>0</v>
      </c>
      <c r="K63" s="493">
        <f>IF(K$3=($D$4+$D$5),$D63-SUM($E63:J63),0)</f>
        <v>0</v>
      </c>
      <c r="L63" s="493">
        <f>IF(L$3=($D$4+$D$5),$D63-SUM($E63:K63),0)</f>
        <v>0</v>
      </c>
      <c r="M63" s="493">
        <f>IF(M$3=($D$4+$D$5),$D63-SUM($E63:L63),0)</f>
        <v>0</v>
      </c>
      <c r="N63" s="493">
        <f>IF(N$3=($D$4+$D$5),$D63-SUM($E63:M63),0)</f>
        <v>0</v>
      </c>
      <c r="O63" s="493">
        <f>IF(O$3=($D$4+$D$5),$D63-SUM($E63:N63),0)</f>
        <v>0</v>
      </c>
      <c r="P63" s="493">
        <f>IF(P$3=($D$4+$D$5),$D63-SUM($E63:O63),0)</f>
        <v>0</v>
      </c>
      <c r="Q63" s="493">
        <f>IF(Q$3=($D$4+$D$5),$D63-SUM($E63:P63),0)</f>
        <v>0</v>
      </c>
      <c r="R63" s="493">
        <f>IF(R$3=($D$4+$D$5),$D63-SUM($E63:Q63),0)</f>
        <v>0</v>
      </c>
      <c r="S63" s="493">
        <f>IF(S$3=($D$4+$D$5),$D63-SUM($E63:R63),0)</f>
        <v>0</v>
      </c>
      <c r="T63" s="493">
        <f>IF(T$3=($D$4+$D$5),$D63-SUM($E63:S63),0)</f>
        <v>0</v>
      </c>
      <c r="U63" s="493">
        <f>IF(U$3=($D$4+$D$5),$D63-SUM($E63:T63),0)</f>
        <v>0</v>
      </c>
      <c r="V63" s="493">
        <f>IF(V$3=($D$4+$D$5),$D63-SUM($E63:U63),0)</f>
        <v>0</v>
      </c>
      <c r="W63" s="493">
        <f>IF(W$3=($D$4+$D$5),$D63-SUM($E63:V63),0)</f>
        <v>0</v>
      </c>
      <c r="X63" s="493">
        <f>IF(X$3=($D$4+$D$5),$D63-SUM($E63:W63),0)</f>
        <v>0</v>
      </c>
      <c r="Y63" s="493">
        <f>IF(Y$3=($D$4+$D$5),$D63-SUM($E63:X63),0)</f>
        <v>0</v>
      </c>
      <c r="Z63" s="493">
        <f>IF(Z$3=($D$4+$D$5),$D63-SUM($E63:Y63),0)</f>
        <v>0</v>
      </c>
      <c r="AA63" s="493">
        <f>IF(AA$3=($D$4+$D$5),$D63-SUM($E63:Z63),0)</f>
        <v>0</v>
      </c>
      <c r="AB63" s="493">
        <f>IF(AB$3=($D$4+$D$5),$D63-SUM($E63:AA63),0)</f>
        <v>0</v>
      </c>
      <c r="AC63" s="493">
        <f>IF(AC$3=($D$4+$D$5),$D63-SUM($E63:AB63),0)</f>
        <v>0</v>
      </c>
      <c r="AE63" s="495">
        <f t="shared" ref="AE63:AE71" si="24">SUM(E63:AC63)</f>
        <v>0</v>
      </c>
      <c r="AF63" s="261" t="str">
        <f t="shared" ref="AF63:AF71" si="25">IF(AE63&gt;D63,"ERROR: Total Amount Drawn Exceeds Total Available","")</f>
        <v/>
      </c>
    </row>
    <row r="64" spans="1:32" s="3" customFormat="1" x14ac:dyDescent="0.2">
      <c r="C64" s="486" t="str">
        <f>+'Development Costs'!C67</f>
        <v>Lender Origination / Financing Fee</v>
      </c>
      <c r="D64" s="495">
        <f>+'Development Costs'!D67</f>
        <v>3000</v>
      </c>
      <c r="E64" s="493">
        <v>0</v>
      </c>
      <c r="F64" s="493">
        <v>0</v>
      </c>
      <c r="G64" s="493">
        <f>IF(G$3=($D$4+$D$5),$D64-SUM($E64:F64),0)</f>
        <v>0</v>
      </c>
      <c r="H64" s="493">
        <f>IF(H$3=($D$4+$D$5),$D64-SUM($E64:G64),0)</f>
        <v>0</v>
      </c>
      <c r="I64" s="493">
        <f>IF(I$3=($D$4+$D$5),$D64-SUM($E64:H64),0)</f>
        <v>0</v>
      </c>
      <c r="J64" s="493">
        <f>IF(J$3=($D$4+$D$5),$D64-SUM($E64:I64),0)</f>
        <v>0</v>
      </c>
      <c r="K64" s="493">
        <f>IF(K$3=($D$4+$D$5),$D64-SUM($E64:J64),0)</f>
        <v>0</v>
      </c>
      <c r="L64" s="493">
        <f>IF(L$3=($D$4+$D$5),$D64-SUM($E64:K64),0)</f>
        <v>0</v>
      </c>
      <c r="M64" s="493">
        <f>IF(M$3=($D$4+$D$5),$D64-SUM($E64:L64),0)</f>
        <v>0</v>
      </c>
      <c r="N64" s="493">
        <f>IF(N$3=($D$4+$D$5),$D64-SUM($E64:M64),0)</f>
        <v>0</v>
      </c>
      <c r="O64" s="493">
        <f>IF(O$3=($D$4+$D$5),$D64-SUM($E64:N64),0)</f>
        <v>0</v>
      </c>
      <c r="P64" s="493">
        <f>IF(P$3=($D$4+$D$5),$D64-SUM($E64:O64),0)</f>
        <v>0</v>
      </c>
      <c r="Q64" s="493">
        <f>IF(Q$3=($D$4+$D$5),$D64-SUM($E64:P64),0)</f>
        <v>0</v>
      </c>
      <c r="R64" s="493">
        <f>IF(R$3=($D$4+$D$5),$D64-SUM($E64:Q64),0)</f>
        <v>0</v>
      </c>
      <c r="S64" s="493">
        <f>IF(S$3=($D$4+$D$5),$D64-SUM($E64:R64),0)</f>
        <v>0</v>
      </c>
      <c r="T64" s="493">
        <f>IF(T$3=($D$4+$D$5),$D64-SUM($E64:S64),0)</f>
        <v>0</v>
      </c>
      <c r="U64" s="493">
        <f>IF(U$3=($D$4+$D$5),$D64-SUM($E64:T64),0)</f>
        <v>0</v>
      </c>
      <c r="V64" s="493">
        <f>IF(V$3=($D$4+$D$5),$D64-SUM($E64:U64),0)</f>
        <v>0</v>
      </c>
      <c r="W64" s="493">
        <f>IF(W$3=($D$4+$D$5),$D64-SUM($E64:V64),0)</f>
        <v>0</v>
      </c>
      <c r="X64" s="493">
        <f>IF(X$3=($D$4+$D$5),$D64-SUM($E64:W64),0)</f>
        <v>0</v>
      </c>
      <c r="Y64" s="493">
        <f>IF(Y$3=($D$4+$D$5),$D64-SUM($E64:X64),0)</f>
        <v>0</v>
      </c>
      <c r="Z64" s="493">
        <f>IF(Z$3=($D$4+$D$5),$D64-SUM($E64:Y64),0)</f>
        <v>0</v>
      </c>
      <c r="AA64" s="493">
        <f>IF(AA$3=($D$4+$D$5),$D64-SUM($E64:Z64),0)</f>
        <v>0</v>
      </c>
      <c r="AB64" s="493">
        <f>IF(AB$3=($D$4+$D$5),$D64-SUM($E64:AA64),0)</f>
        <v>0</v>
      </c>
      <c r="AC64" s="493">
        <f>IF(AC$3=($D$4+$D$5),$D64-SUM($E64:AB64),0)</f>
        <v>0</v>
      </c>
      <c r="AE64" s="495">
        <f t="shared" si="24"/>
        <v>0</v>
      </c>
      <c r="AF64" s="261" t="str">
        <f t="shared" si="25"/>
        <v/>
      </c>
    </row>
    <row r="65" spans="1:32" s="3" customFormat="1" x14ac:dyDescent="0.2">
      <c r="C65" s="486" t="str">
        <f>+'Development Costs'!C68</f>
        <v>Lender’s Counsel Fee</v>
      </c>
      <c r="D65" s="495">
        <f>+'Development Costs'!D68</f>
        <v>0</v>
      </c>
      <c r="E65" s="493">
        <v>0</v>
      </c>
      <c r="F65" s="493">
        <v>0</v>
      </c>
      <c r="G65" s="493">
        <f>IF(G$3=($D$4+$D$5),$D65-SUM($E65:F65),0)</f>
        <v>0</v>
      </c>
      <c r="H65" s="493">
        <f>IF(H$3=($D$4+$D$5),$D65-SUM($E65:G65),0)</f>
        <v>0</v>
      </c>
      <c r="I65" s="493">
        <f>IF(I$3=($D$4+$D$5),$D65-SUM($E65:H65),0)</f>
        <v>0</v>
      </c>
      <c r="J65" s="493">
        <f>IF(J$3=($D$4+$D$5),$D65-SUM($E65:I65),0)</f>
        <v>0</v>
      </c>
      <c r="K65" s="493">
        <f>IF(K$3=($D$4+$D$5),$D65-SUM($E65:J65),0)</f>
        <v>0</v>
      </c>
      <c r="L65" s="493">
        <f>IF(L$3=($D$4+$D$5),$D65-SUM($E65:K65),0)</f>
        <v>0</v>
      </c>
      <c r="M65" s="493">
        <f>IF(M$3=($D$4+$D$5),$D65-SUM($E65:L65),0)</f>
        <v>0</v>
      </c>
      <c r="N65" s="493">
        <f>IF(N$3=($D$4+$D$5),$D65-SUM($E65:M65),0)</f>
        <v>0</v>
      </c>
      <c r="O65" s="493">
        <f>IF(O$3=($D$4+$D$5),$D65-SUM($E65:N65),0)</f>
        <v>0</v>
      </c>
      <c r="P65" s="493">
        <f>IF(P$3=($D$4+$D$5),$D65-SUM($E65:O65),0)</f>
        <v>0</v>
      </c>
      <c r="Q65" s="493">
        <f>IF(Q$3=($D$4+$D$5),$D65-SUM($E65:P65),0)</f>
        <v>0</v>
      </c>
      <c r="R65" s="493">
        <f>IF(R$3=($D$4+$D$5),$D65-SUM($E65:Q65),0)</f>
        <v>0</v>
      </c>
      <c r="S65" s="493">
        <f>IF(S$3=($D$4+$D$5),$D65-SUM($E65:R65),0)</f>
        <v>0</v>
      </c>
      <c r="T65" s="493">
        <f>IF(T$3=($D$4+$D$5),$D65-SUM($E65:S65),0)</f>
        <v>0</v>
      </c>
      <c r="U65" s="493">
        <f>IF(U$3=($D$4+$D$5),$D65-SUM($E65:T65),0)</f>
        <v>0</v>
      </c>
      <c r="V65" s="493">
        <f>IF(V$3=($D$4+$D$5),$D65-SUM($E65:U65),0)</f>
        <v>0</v>
      </c>
      <c r="W65" s="493">
        <f>IF(W$3=($D$4+$D$5),$D65-SUM($E65:V65),0)</f>
        <v>0</v>
      </c>
      <c r="X65" s="493">
        <f>IF(X$3=($D$4+$D$5),$D65-SUM($E65:W65),0)</f>
        <v>0</v>
      </c>
      <c r="Y65" s="493">
        <f>IF(Y$3=($D$4+$D$5),$D65-SUM($E65:X65),0)</f>
        <v>0</v>
      </c>
      <c r="Z65" s="493">
        <f>IF(Z$3=($D$4+$D$5),$D65-SUM($E65:Y65),0)</f>
        <v>0</v>
      </c>
      <c r="AA65" s="493">
        <f>IF(AA$3=($D$4+$D$5),$D65-SUM($E65:Z65),0)</f>
        <v>0</v>
      </c>
      <c r="AB65" s="493">
        <f>IF(AB$3=($D$4+$D$5),$D65-SUM($E65:AA65),0)</f>
        <v>0</v>
      </c>
      <c r="AC65" s="493">
        <f>IF(AC$3=($D$4+$D$5),$D65-SUM($E65:AB65),0)</f>
        <v>0</v>
      </c>
      <c r="AE65" s="495">
        <f t="shared" si="24"/>
        <v>0</v>
      </c>
      <c r="AF65" s="261" t="str">
        <f t="shared" si="25"/>
        <v/>
      </c>
    </row>
    <row r="66" spans="1:32" s="3" customFormat="1" x14ac:dyDescent="0.2">
      <c r="C66" s="486" t="str">
        <f>+'Development Costs'!C69</f>
        <v>Other Lender Fees</v>
      </c>
      <c r="D66" s="495">
        <f>+'Development Costs'!D69</f>
        <v>0</v>
      </c>
      <c r="E66" s="493">
        <v>0</v>
      </c>
      <c r="F66" s="493">
        <v>0</v>
      </c>
      <c r="G66" s="493">
        <f>IF(G$3=($D$4+$D$5),$D66-SUM($E66:F66),0)</f>
        <v>0</v>
      </c>
      <c r="H66" s="493">
        <f>IF(H$3=($D$4+$D$5),$D66-SUM($E66:G66),0)</f>
        <v>0</v>
      </c>
      <c r="I66" s="493">
        <f>IF(I$3=($D$4+$D$5),$D66-SUM($E66:H66),0)</f>
        <v>0</v>
      </c>
      <c r="J66" s="493">
        <f>IF(J$3=($D$4+$D$5),$D66-SUM($E66:I66),0)</f>
        <v>0</v>
      </c>
      <c r="K66" s="493">
        <f>IF(K$3=($D$4+$D$5),$D66-SUM($E66:J66),0)</f>
        <v>0</v>
      </c>
      <c r="L66" s="493">
        <f>IF(L$3=($D$4+$D$5),$D66-SUM($E66:K66),0)</f>
        <v>0</v>
      </c>
      <c r="M66" s="493">
        <f>IF(M$3=($D$4+$D$5),$D66-SUM($E66:L66),0)</f>
        <v>0</v>
      </c>
      <c r="N66" s="493">
        <f>IF(N$3=($D$4+$D$5),$D66-SUM($E66:M66),0)</f>
        <v>0</v>
      </c>
      <c r="O66" s="493">
        <f>IF(O$3=($D$4+$D$5),$D66-SUM($E66:N66),0)</f>
        <v>0</v>
      </c>
      <c r="P66" s="493">
        <f>IF(P$3=($D$4+$D$5),$D66-SUM($E66:O66),0)</f>
        <v>0</v>
      </c>
      <c r="Q66" s="493">
        <f>IF(Q$3=($D$4+$D$5),$D66-SUM($E66:P66),0)</f>
        <v>0</v>
      </c>
      <c r="R66" s="493">
        <f>IF(R$3=($D$4+$D$5),$D66-SUM($E66:Q66),0)</f>
        <v>0</v>
      </c>
      <c r="S66" s="493">
        <f>IF(S$3=($D$4+$D$5),$D66-SUM($E66:R66),0)</f>
        <v>0</v>
      </c>
      <c r="T66" s="493">
        <f>IF(T$3=($D$4+$D$5),$D66-SUM($E66:S66),0)</f>
        <v>0</v>
      </c>
      <c r="U66" s="493">
        <f>IF(U$3=($D$4+$D$5),$D66-SUM($E66:T66),0)</f>
        <v>0</v>
      </c>
      <c r="V66" s="493">
        <f>IF(V$3=($D$4+$D$5),$D66-SUM($E66:U66),0)</f>
        <v>0</v>
      </c>
      <c r="W66" s="493">
        <f>IF(W$3=($D$4+$D$5),$D66-SUM($E66:V66),0)</f>
        <v>0</v>
      </c>
      <c r="X66" s="493">
        <f>IF(X$3=($D$4+$D$5),$D66-SUM($E66:W66),0)</f>
        <v>0</v>
      </c>
      <c r="Y66" s="493">
        <f>IF(Y$3=($D$4+$D$5),$D66-SUM($E66:X66),0)</f>
        <v>0</v>
      </c>
      <c r="Z66" s="493">
        <f>IF(Z$3=($D$4+$D$5),$D66-SUM($E66:Y66),0)</f>
        <v>0</v>
      </c>
      <c r="AA66" s="493">
        <f>IF(AA$3=($D$4+$D$5),$D66-SUM($E66:Z66),0)</f>
        <v>0</v>
      </c>
      <c r="AB66" s="493">
        <f>IF(AB$3=($D$4+$D$5),$D66-SUM($E66:AA66),0)</f>
        <v>0</v>
      </c>
      <c r="AC66" s="493">
        <f>IF(AC$3=($D$4+$D$5),$D66-SUM($E66:AB66),0)</f>
        <v>0</v>
      </c>
      <c r="AE66" s="495">
        <f t="shared" si="24"/>
        <v>0</v>
      </c>
      <c r="AF66" s="261" t="str">
        <f t="shared" si="25"/>
        <v/>
      </c>
    </row>
    <row r="67" spans="1:32" s="3" customFormat="1" x14ac:dyDescent="0.2">
      <c r="C67" s="486" t="str">
        <f>+'Development Costs'!C70</f>
        <v>Title and Recording Costs (for permanent financing)</v>
      </c>
      <c r="D67" s="495">
        <f>+'Development Costs'!D70</f>
        <v>50000</v>
      </c>
      <c r="E67" s="493">
        <v>0</v>
      </c>
      <c r="F67" s="493">
        <v>0</v>
      </c>
      <c r="G67" s="493">
        <f>IF(G$3=($D$4+$D$5),$D67-SUM($E67:F67),0)</f>
        <v>0</v>
      </c>
      <c r="H67" s="493">
        <f>IF(H$3=($D$4+$D$5),$D67-SUM($E67:G67),0)</f>
        <v>0</v>
      </c>
      <c r="I67" s="493">
        <f>IF(I$3=($D$4+$D$5),$D67-SUM($E67:H67),0)</f>
        <v>0</v>
      </c>
      <c r="J67" s="493">
        <f>IF(J$3=($D$4+$D$5),$D67-SUM($E67:I67),0)</f>
        <v>0</v>
      </c>
      <c r="K67" s="493">
        <f>IF(K$3=($D$4+$D$5),$D67-SUM($E67:J67),0)</f>
        <v>0</v>
      </c>
      <c r="L67" s="493">
        <f>IF(L$3=($D$4+$D$5),$D67-SUM($E67:K67),0)</f>
        <v>0</v>
      </c>
      <c r="M67" s="493">
        <f>IF(M$3=($D$4+$D$5),$D67-SUM($E67:L67),0)</f>
        <v>0</v>
      </c>
      <c r="N67" s="493">
        <f>IF(N$3=($D$4+$D$5),$D67-SUM($E67:M67),0)</f>
        <v>0</v>
      </c>
      <c r="O67" s="493">
        <f>IF(O$3=($D$4+$D$5),$D67-SUM($E67:N67),0)</f>
        <v>0</v>
      </c>
      <c r="P67" s="493">
        <f>IF(P$3=($D$4+$D$5),$D67-SUM($E67:O67),0)</f>
        <v>0</v>
      </c>
      <c r="Q67" s="493">
        <f>IF(Q$3=($D$4+$D$5),$D67-SUM($E67:P67),0)</f>
        <v>0</v>
      </c>
      <c r="R67" s="493">
        <f>IF(R$3=($D$4+$D$5),$D67-SUM($E67:Q67),0)</f>
        <v>0</v>
      </c>
      <c r="S67" s="493">
        <f>IF(S$3=($D$4+$D$5),$D67-SUM($E67:R67),0)</f>
        <v>0</v>
      </c>
      <c r="T67" s="493">
        <f>IF(T$3=($D$4+$D$5),$D67-SUM($E67:S67),0)</f>
        <v>0</v>
      </c>
      <c r="U67" s="493">
        <f>IF(U$3=($D$4+$D$5),$D67-SUM($E67:T67),0)</f>
        <v>0</v>
      </c>
      <c r="V67" s="493">
        <f>IF(V$3=($D$4+$D$5),$D67-SUM($E67:U67),0)</f>
        <v>0</v>
      </c>
      <c r="W67" s="493">
        <f>IF(W$3=($D$4+$D$5),$D67-SUM($E67:V67),0)</f>
        <v>0</v>
      </c>
      <c r="X67" s="493">
        <f>IF(X$3=($D$4+$D$5),$D67-SUM($E67:W67),0)</f>
        <v>0</v>
      </c>
      <c r="Y67" s="493">
        <f>IF(Y$3=($D$4+$D$5),$D67-SUM($E67:X67),0)</f>
        <v>0</v>
      </c>
      <c r="Z67" s="493">
        <f>IF(Z$3=($D$4+$D$5),$D67-SUM($E67:Y67),0)</f>
        <v>0</v>
      </c>
      <c r="AA67" s="493">
        <f>IF(AA$3=($D$4+$D$5),$D67-SUM($E67:Z67),0)</f>
        <v>0</v>
      </c>
      <c r="AB67" s="493">
        <f>IF(AB$3=($D$4+$D$5),$D67-SUM($E67:AA67),0)</f>
        <v>0</v>
      </c>
      <c r="AC67" s="493">
        <f>IF(AC$3=($D$4+$D$5),$D67-SUM($E67:AB67),0)</f>
        <v>0</v>
      </c>
      <c r="AE67" s="495">
        <f t="shared" si="24"/>
        <v>0</v>
      </c>
      <c r="AF67" s="261" t="str">
        <f t="shared" si="25"/>
        <v/>
      </c>
    </row>
    <row r="68" spans="1:32" s="3" customFormat="1" x14ac:dyDescent="0.2">
      <c r="C68" s="486" t="str">
        <f>+'Development Costs'!C71</f>
        <v>Establish Tax and Insurance Escrows</v>
      </c>
      <c r="D68" s="495">
        <f>+'Development Costs'!D71</f>
        <v>5000</v>
      </c>
      <c r="E68" s="493">
        <v>0</v>
      </c>
      <c r="F68" s="493">
        <v>0</v>
      </c>
      <c r="G68" s="493">
        <f>IF(G$3=($D$4+$D$5),$D68-SUM($E68:F68),0)</f>
        <v>0</v>
      </c>
      <c r="H68" s="493">
        <f>IF(H$3=($D$4+$D$5),$D68-SUM($E68:G68),0)</f>
        <v>0</v>
      </c>
      <c r="I68" s="493">
        <f>IF(I$3=($D$4+$D$5),$D68-SUM($E68:H68),0)</f>
        <v>0</v>
      </c>
      <c r="J68" s="493">
        <f>IF(J$3=($D$4+$D$5),$D68-SUM($E68:I68),0)</f>
        <v>0</v>
      </c>
      <c r="K68" s="493">
        <f>IF(K$3=($D$4+$D$5),$D68-SUM($E68:J68),0)</f>
        <v>0</v>
      </c>
      <c r="L68" s="493">
        <f>IF(L$3=($D$4+$D$5),$D68-SUM($E68:K68),0)</f>
        <v>0</v>
      </c>
      <c r="M68" s="493">
        <f>IF(M$3=($D$4+$D$5),$D68-SUM($E68:L68),0)</f>
        <v>0</v>
      </c>
      <c r="N68" s="493">
        <f>IF(N$3=($D$4+$D$5),$D68-SUM($E68:M68),0)</f>
        <v>0</v>
      </c>
      <c r="O68" s="493">
        <f>IF(O$3=($D$4+$D$5),$D68-SUM($E68:N68),0)</f>
        <v>0</v>
      </c>
      <c r="P68" s="493">
        <f>IF(P$3=($D$4+$D$5),$D68-SUM($E68:O68),0)</f>
        <v>0</v>
      </c>
      <c r="Q68" s="493">
        <f>IF(Q$3=($D$4+$D$5),$D68-SUM($E68:P68),0)</f>
        <v>0</v>
      </c>
      <c r="R68" s="493">
        <f>IF(R$3=($D$4+$D$5),$D68-SUM($E68:Q68),0)</f>
        <v>0</v>
      </c>
      <c r="S68" s="493">
        <f>IF(S$3=($D$4+$D$5),$D68-SUM($E68:R68),0)</f>
        <v>0</v>
      </c>
      <c r="T68" s="493">
        <f>IF(T$3=($D$4+$D$5),$D68-SUM($E68:S68),0)</f>
        <v>0</v>
      </c>
      <c r="U68" s="493">
        <f>IF(U$3=($D$4+$D$5),$D68-SUM($E68:T68),0)</f>
        <v>0</v>
      </c>
      <c r="V68" s="493">
        <f>IF(V$3=($D$4+$D$5),$D68-SUM($E68:U68),0)</f>
        <v>0</v>
      </c>
      <c r="W68" s="493">
        <f>IF(W$3=($D$4+$D$5),$D68-SUM($E68:V68),0)</f>
        <v>0</v>
      </c>
      <c r="X68" s="493">
        <f>IF(X$3=($D$4+$D$5),$D68-SUM($E68:W68),0)</f>
        <v>0</v>
      </c>
      <c r="Y68" s="493">
        <f>IF(Y$3=($D$4+$D$5),$D68-SUM($E68:X68),0)</f>
        <v>0</v>
      </c>
      <c r="Z68" s="493">
        <f>IF(Z$3=($D$4+$D$5),$D68-SUM($E68:Y68),0)</f>
        <v>0</v>
      </c>
      <c r="AA68" s="493">
        <f>IF(AA$3=($D$4+$D$5),$D68-SUM($E68:Z68),0)</f>
        <v>0</v>
      </c>
      <c r="AB68" s="493">
        <f>IF(AB$3=($D$4+$D$5),$D68-SUM($E68:AA68),0)</f>
        <v>0</v>
      </c>
      <c r="AC68" s="493">
        <f>IF(AC$3=($D$4+$D$5),$D68-SUM($E68:AB68),0)</f>
        <v>0</v>
      </c>
      <c r="AE68" s="495">
        <f t="shared" si="24"/>
        <v>0</v>
      </c>
      <c r="AF68" s="261" t="str">
        <f t="shared" si="25"/>
        <v/>
      </c>
    </row>
    <row r="69" spans="1:32" s="3" customFormat="1" x14ac:dyDescent="0.2">
      <c r="C69" s="486">
        <f>+'Development Costs'!C72</f>
        <v>0</v>
      </c>
      <c r="D69" s="495">
        <f>+'Development Costs'!D72</f>
        <v>0</v>
      </c>
      <c r="E69" s="493">
        <v>0</v>
      </c>
      <c r="F69" s="493">
        <v>0</v>
      </c>
      <c r="G69" s="493">
        <f>IF(G$3=($D$4+$D$5),$D69-SUM($E69:F69),0)</f>
        <v>0</v>
      </c>
      <c r="H69" s="493">
        <f>IF(H$3=($D$4+$D$5),$D69-SUM($E69:G69),0)</f>
        <v>0</v>
      </c>
      <c r="I69" s="493">
        <f>IF(I$3=($D$4+$D$5),$D69-SUM($E69:H69),0)</f>
        <v>0</v>
      </c>
      <c r="J69" s="493">
        <f>IF(J$3=($D$4+$D$5),$D69-SUM($E69:I69),0)</f>
        <v>0</v>
      </c>
      <c r="K69" s="493">
        <f>IF(K$3=($D$4+$D$5),$D69-SUM($E69:J69),0)</f>
        <v>0</v>
      </c>
      <c r="L69" s="493">
        <f>IF(L$3=($D$4+$D$5),$D69-SUM($E69:K69),0)</f>
        <v>0</v>
      </c>
      <c r="M69" s="493">
        <f>IF(M$3=($D$4+$D$5),$D69-SUM($E69:L69),0)</f>
        <v>0</v>
      </c>
      <c r="N69" s="493">
        <f>IF(N$3=($D$4+$D$5),$D69-SUM($E69:M69),0)</f>
        <v>0</v>
      </c>
      <c r="O69" s="493">
        <f>IF(O$3=($D$4+$D$5),$D69-SUM($E69:N69),0)</f>
        <v>0</v>
      </c>
      <c r="P69" s="493">
        <f>IF(P$3=($D$4+$D$5),$D69-SUM($E69:O69),0)</f>
        <v>0</v>
      </c>
      <c r="Q69" s="493">
        <f>IF(Q$3=($D$4+$D$5),$D69-SUM($E69:P69),0)</f>
        <v>0</v>
      </c>
      <c r="R69" s="493">
        <f>IF(R$3=($D$4+$D$5),$D69-SUM($E69:Q69),0)</f>
        <v>0</v>
      </c>
      <c r="S69" s="493">
        <f>IF(S$3=($D$4+$D$5),$D69-SUM($E69:R69),0)</f>
        <v>0</v>
      </c>
      <c r="T69" s="493">
        <f>IF(T$3=($D$4+$D$5),$D69-SUM($E69:S69),0)</f>
        <v>0</v>
      </c>
      <c r="U69" s="493">
        <f>IF(U$3=($D$4+$D$5),$D69-SUM($E69:T69),0)</f>
        <v>0</v>
      </c>
      <c r="V69" s="493">
        <f>IF(V$3=($D$4+$D$5),$D69-SUM($E69:U69),0)</f>
        <v>0</v>
      </c>
      <c r="W69" s="493">
        <f>IF(W$3=($D$4+$D$5),$D69-SUM($E69:V69),0)</f>
        <v>0</v>
      </c>
      <c r="X69" s="493">
        <f>IF(X$3=($D$4+$D$5),$D69-SUM($E69:W69),0)</f>
        <v>0</v>
      </c>
      <c r="Y69" s="493">
        <f>IF(Y$3=($D$4+$D$5),$D69-SUM($E69:X69),0)</f>
        <v>0</v>
      </c>
      <c r="Z69" s="493">
        <f>IF(Z$3=($D$4+$D$5),$D69-SUM($E69:Y69),0)</f>
        <v>0</v>
      </c>
      <c r="AA69" s="493">
        <f>IF(AA$3=($D$4+$D$5),$D69-SUM($E69:Z69),0)</f>
        <v>0</v>
      </c>
      <c r="AB69" s="493">
        <f>IF(AB$3=($D$4+$D$5),$D69-SUM($E69:AA69),0)</f>
        <v>0</v>
      </c>
      <c r="AC69" s="493">
        <f>IF(AC$3=($D$4+$D$5),$D69-SUM($E69:AB69),0)</f>
        <v>0</v>
      </c>
      <c r="AE69" s="495">
        <f t="shared" si="24"/>
        <v>0</v>
      </c>
      <c r="AF69" s="261" t="str">
        <f t="shared" si="25"/>
        <v/>
      </c>
    </row>
    <row r="70" spans="1:32" s="3" customFormat="1" x14ac:dyDescent="0.2">
      <c r="C70" s="486">
        <f>+'Development Costs'!C73</f>
        <v>0</v>
      </c>
      <c r="D70" s="495">
        <f>+'Development Costs'!D73</f>
        <v>0</v>
      </c>
      <c r="E70" s="493">
        <v>0</v>
      </c>
      <c r="F70" s="493">
        <v>0</v>
      </c>
      <c r="G70" s="493">
        <f>IF(G$3=($D$4+$D$5),$D70-SUM($E70:F70),0)</f>
        <v>0</v>
      </c>
      <c r="H70" s="493">
        <f>IF(H$3=($D$4+$D$5),$D70-SUM($E70:G70),0)</f>
        <v>0</v>
      </c>
      <c r="I70" s="493">
        <f>IF(I$3=($D$4+$D$5),$D70-SUM($E70:H70),0)</f>
        <v>0</v>
      </c>
      <c r="J70" s="493">
        <f>IF(J$3=($D$4+$D$5),$D70-SUM($E70:I70),0)</f>
        <v>0</v>
      </c>
      <c r="K70" s="493">
        <f>IF(K$3=($D$4+$D$5),$D70-SUM($E70:J70),0)</f>
        <v>0</v>
      </c>
      <c r="L70" s="493">
        <f>IF(L$3=($D$4+$D$5),$D70-SUM($E70:K70),0)</f>
        <v>0</v>
      </c>
      <c r="M70" s="493">
        <f>IF(M$3=($D$4+$D$5),$D70-SUM($E70:L70),0)</f>
        <v>0</v>
      </c>
      <c r="N70" s="493">
        <f>IF(N$3=($D$4+$D$5),$D70-SUM($E70:M70),0)</f>
        <v>0</v>
      </c>
      <c r="O70" s="493">
        <f>IF(O$3=($D$4+$D$5),$D70-SUM($E70:N70),0)</f>
        <v>0</v>
      </c>
      <c r="P70" s="493">
        <f>IF(P$3=($D$4+$D$5),$D70-SUM($E70:O70),0)</f>
        <v>0</v>
      </c>
      <c r="Q70" s="493">
        <f>IF(Q$3=($D$4+$D$5),$D70-SUM($E70:P70),0)</f>
        <v>0</v>
      </c>
      <c r="R70" s="493">
        <f>IF(R$3=($D$4+$D$5),$D70-SUM($E70:Q70),0)</f>
        <v>0</v>
      </c>
      <c r="S70" s="493">
        <f>IF(S$3=($D$4+$D$5),$D70-SUM($E70:R70),0)</f>
        <v>0</v>
      </c>
      <c r="T70" s="493">
        <f>IF(T$3=($D$4+$D$5),$D70-SUM($E70:S70),0)</f>
        <v>0</v>
      </c>
      <c r="U70" s="493">
        <f>IF(U$3=($D$4+$D$5),$D70-SUM($E70:T70),0)</f>
        <v>0</v>
      </c>
      <c r="V70" s="493">
        <f>IF(V$3=($D$4+$D$5),$D70-SUM($E70:U70),0)</f>
        <v>0</v>
      </c>
      <c r="W70" s="493">
        <f>IF(W$3=($D$4+$D$5),$D70-SUM($E70:V70),0)</f>
        <v>0</v>
      </c>
      <c r="X70" s="493">
        <f>IF(X$3=($D$4+$D$5),$D70-SUM($E70:W70),0)</f>
        <v>0</v>
      </c>
      <c r="Y70" s="493">
        <f>IF(Y$3=($D$4+$D$5),$D70-SUM($E70:X70),0)</f>
        <v>0</v>
      </c>
      <c r="Z70" s="493">
        <f>IF(Z$3=($D$4+$D$5),$D70-SUM($E70:Y70),0)</f>
        <v>0</v>
      </c>
      <c r="AA70" s="493">
        <f>IF(AA$3=($D$4+$D$5),$D70-SUM($E70:Z70),0)</f>
        <v>0</v>
      </c>
      <c r="AB70" s="493">
        <f>IF(AB$3=($D$4+$D$5),$D70-SUM($E70:AA70),0)</f>
        <v>0</v>
      </c>
      <c r="AC70" s="493">
        <f>IF(AC$3=($D$4+$D$5),$D70-SUM($E70:AB70),0)</f>
        <v>0</v>
      </c>
      <c r="AE70" s="495">
        <f t="shared" si="24"/>
        <v>0</v>
      </c>
      <c r="AF70" s="261" t="str">
        <f t="shared" si="25"/>
        <v/>
      </c>
    </row>
    <row r="71" spans="1:32" s="3" customFormat="1" x14ac:dyDescent="0.2">
      <c r="A71" s="485" t="s">
        <v>424</v>
      </c>
      <c r="B71" s="513"/>
      <c r="C71" s="76" t="str">
        <f>+'Development Costs'!C74</f>
        <v>Developer's Fee</v>
      </c>
      <c r="D71" s="495">
        <f>+'Development Costs'!D74</f>
        <v>240000</v>
      </c>
      <c r="E71" s="493">
        <v>0</v>
      </c>
      <c r="F71" s="493">
        <v>0</v>
      </c>
      <c r="G71" s="493">
        <f>IF(G$3=($D$4+$D$5),$D71-SUM($E71:F71),0)</f>
        <v>0</v>
      </c>
      <c r="H71" s="493">
        <f>IF(H$3=($D$4+$D$5),$D71-SUM($E71:G71),0)</f>
        <v>0</v>
      </c>
      <c r="I71" s="493">
        <f>IF(I$3=($D$4+$D$5),$D71-SUM($E71:H71),0)</f>
        <v>0</v>
      </c>
      <c r="J71" s="493">
        <f>IF(J$3=($D$4+$D$5),$D71-SUM($E71:I71),0)</f>
        <v>0</v>
      </c>
      <c r="K71" s="493">
        <f>IF(K$3=($D$4+$D$5),$D71-SUM($E71:J71),0)</f>
        <v>0</v>
      </c>
      <c r="L71" s="493">
        <f>IF(L$3=($D$4+$D$5),$D71-SUM($E71:K71),0)</f>
        <v>0</v>
      </c>
      <c r="M71" s="493">
        <f>IF(M$3=($D$4+$D$5),$D71-SUM($E71:L71),0)</f>
        <v>0</v>
      </c>
      <c r="N71" s="493">
        <f>IF(N$3=($D$4+$D$5),$D71-SUM($E71:M71),0)</f>
        <v>0</v>
      </c>
      <c r="O71" s="493">
        <f>IF(O$3=($D$4+$D$5),$D71-SUM($E71:N71),0)</f>
        <v>0</v>
      </c>
      <c r="P71" s="493">
        <f>IF(P$3=($D$4+$D$5),$D71-SUM($E71:O71),0)</f>
        <v>0</v>
      </c>
      <c r="Q71" s="493">
        <f>IF(Q$3=($D$4+$D$5),$D71-SUM($E71:P71),0)</f>
        <v>0</v>
      </c>
      <c r="R71" s="493">
        <f>IF(R$3=($D$4+$D$5),$D71-SUM($E71:Q71),0)</f>
        <v>0</v>
      </c>
      <c r="S71" s="493">
        <f>IF(S$3=($D$4+$D$5),$D71-SUM($E71:R71),0)</f>
        <v>0</v>
      </c>
      <c r="T71" s="493">
        <f>IF(T$3=($D$4+$D$5),$D71-SUM($E71:S71),0)</f>
        <v>0</v>
      </c>
      <c r="U71" s="493">
        <f>IF(U$3=($D$4+$D$5),$D71-SUM($E71:T71),0)</f>
        <v>0</v>
      </c>
      <c r="V71" s="493">
        <f>IF(V$3=($D$4+$D$5),$D71-SUM($E71:U71),0)</f>
        <v>0</v>
      </c>
      <c r="W71" s="493">
        <f>IF(W$3=($D$4+$D$5),$D71-SUM($E71:V71),0)</f>
        <v>0</v>
      </c>
      <c r="X71" s="493">
        <f>IF(X$3=($D$4+$D$5),$D71-SUM($E71:W71),0)</f>
        <v>0</v>
      </c>
      <c r="Y71" s="493">
        <f>IF(Y$3=($D$4+$D$5),$D71-SUM($E71:X71),0)</f>
        <v>0</v>
      </c>
      <c r="Z71" s="493">
        <f>IF(Z$3=($D$4+$D$5),$D71-SUM($E71:Y71),0)</f>
        <v>0</v>
      </c>
      <c r="AA71" s="493">
        <f>IF(AA$3=($D$4+$D$5),$D71-SUM($E71:Z71),0)</f>
        <v>0</v>
      </c>
      <c r="AB71" s="493">
        <f>IF(AB$3=($D$4+$D$5),$D71-SUM($E71:AA71),0)</f>
        <v>0</v>
      </c>
      <c r="AC71" s="493">
        <f>IF(AC$3=($D$4+$D$5),$D71-SUM($E71:AB71),0)</f>
        <v>0</v>
      </c>
      <c r="AE71" s="495">
        <f t="shared" si="24"/>
        <v>0</v>
      </c>
      <c r="AF71" s="261" t="str">
        <f t="shared" si="25"/>
        <v/>
      </c>
    </row>
    <row r="72" spans="1:32" s="350" customFormat="1" ht="12.75" customHeight="1" x14ac:dyDescent="0.2">
      <c r="A72" s="3"/>
      <c r="C72" s="215" t="s">
        <v>100</v>
      </c>
      <c r="D72" s="494"/>
      <c r="E72" s="494"/>
      <c r="F72" s="494"/>
      <c r="G72" s="494"/>
      <c r="H72" s="494"/>
      <c r="I72" s="494"/>
      <c r="J72" s="494"/>
      <c r="K72" s="494"/>
      <c r="L72" s="494"/>
      <c r="M72" s="494"/>
      <c r="N72" s="494"/>
      <c r="O72" s="494"/>
      <c r="P72" s="494"/>
      <c r="Q72" s="494"/>
      <c r="R72" s="494"/>
      <c r="S72" s="494"/>
      <c r="T72" s="494"/>
      <c r="U72" s="494"/>
      <c r="V72" s="494"/>
      <c r="W72" s="494"/>
      <c r="X72" s="494"/>
      <c r="Y72" s="494"/>
      <c r="Z72" s="494"/>
      <c r="AA72" s="494"/>
      <c r="AB72" s="494"/>
      <c r="AC72" s="494"/>
      <c r="AE72" s="494"/>
    </row>
    <row r="73" spans="1:32" s="3" customFormat="1" x14ac:dyDescent="0.2">
      <c r="C73" s="486" t="str">
        <f>+'Development Costs'!C76</f>
        <v>Initial Rent-Up Reserve (not HOME eligible)</v>
      </c>
      <c r="D73" s="495">
        <f>+'Development Costs'!D76</f>
        <v>0</v>
      </c>
      <c r="E73" s="493">
        <v>0</v>
      </c>
      <c r="F73" s="493">
        <v>0</v>
      </c>
      <c r="G73" s="493">
        <f>IF(G$3=$D$4,$D73-SUM($E73:F73),0)</f>
        <v>0</v>
      </c>
      <c r="H73" s="493">
        <f>IF(H$3=$D$4,$D73-SUM($E73:G73),0)</f>
        <v>0</v>
      </c>
      <c r="I73" s="493">
        <f>IF(I$3=$D$4,$D73-SUM($E73:H73),0)</f>
        <v>0</v>
      </c>
      <c r="J73" s="493">
        <f>IF(J$3=$D$4,$D73-SUM($E73:I73),0)</f>
        <v>0</v>
      </c>
      <c r="K73" s="493">
        <f>IF(K$3=$D$4,$D73-SUM($E73:J73),0)</f>
        <v>0</v>
      </c>
      <c r="L73" s="493">
        <f>IF(L$3=$D$4,$D73-SUM($E73:K73),0)</f>
        <v>0</v>
      </c>
      <c r="M73" s="493">
        <f>IF(M$3=$D$4,$D73-SUM($E73:L73),0)</f>
        <v>0</v>
      </c>
      <c r="N73" s="493">
        <f>IF(N$3=$D$4,$D73-SUM($E73:M73),0)</f>
        <v>0</v>
      </c>
      <c r="O73" s="493">
        <f>IF(O$3=$D$4,$D73-SUM($E73:N73),0)</f>
        <v>0</v>
      </c>
      <c r="P73" s="493">
        <f>IF(P$3=$D$4,$D73-SUM($E73:O73),0)</f>
        <v>0</v>
      </c>
      <c r="Q73" s="493">
        <f>IF(Q$3=$D$4,$D73-SUM($E73:P73),0)</f>
        <v>0</v>
      </c>
      <c r="R73" s="493">
        <f>IF(R$3=$D$4,$D73-SUM($E73:Q73),0)</f>
        <v>0</v>
      </c>
      <c r="S73" s="493">
        <f>IF(S$3=$D$4,$D73-SUM($E73:R73),0)</f>
        <v>0</v>
      </c>
      <c r="T73" s="493">
        <f>IF(T$3=$D$4,$D73-SUM($E73:S73),0)</f>
        <v>0</v>
      </c>
      <c r="U73" s="493">
        <f>IF(U$3=$D$4,$D73-SUM($E73:T73),0)</f>
        <v>0</v>
      </c>
      <c r="V73" s="493">
        <f>IF(V$3=$D$4,$D73-SUM($E73:U73),0)</f>
        <v>0</v>
      </c>
      <c r="W73" s="493">
        <f>IF(W$3=$D$4,$D73-SUM($E73:V73),0)</f>
        <v>0</v>
      </c>
      <c r="X73" s="493">
        <f>IF(X$3=$D$4,$D73-SUM($E73:W73),0)</f>
        <v>0</v>
      </c>
      <c r="Y73" s="493">
        <f>IF(Y$3=$D$4,$D73-SUM($E73:X73),0)</f>
        <v>0</v>
      </c>
      <c r="Z73" s="493">
        <f>IF(Z$3=$D$4,$D73-SUM($E73:Y73),0)</f>
        <v>0</v>
      </c>
      <c r="AA73" s="493">
        <f>IF(AA$3=$D$4,$D73-SUM($E73:Z73),0)</f>
        <v>0</v>
      </c>
      <c r="AB73" s="493">
        <f>IF(AB$3=$D$4,$D73-SUM($E73:AA73),0)</f>
        <v>0</v>
      </c>
      <c r="AC73" s="493">
        <f>IF(AC$3=$D$4,$D73-SUM($E73:AB73),0)</f>
        <v>0</v>
      </c>
      <c r="AE73" s="495">
        <f t="shared" ref="AE73:AE78" si="26">SUM(E73:AC73)</f>
        <v>0</v>
      </c>
      <c r="AF73" s="261" t="str">
        <f t="shared" ref="AF73:AF78" si="27">IF(AE73&gt;D73,"ERROR: Total Amount Drawn Exceeds Total Available","")</f>
        <v/>
      </c>
    </row>
    <row r="74" spans="1:32" s="3" customFormat="1" x14ac:dyDescent="0.2">
      <c r="C74" s="486" t="str">
        <f>+'Development Costs'!C77</f>
        <v>Initial Operating Reserve (HOME-eligible portion)</v>
      </c>
      <c r="D74" s="495">
        <f>+'Development Costs'!D77</f>
        <v>10000</v>
      </c>
      <c r="E74" s="493">
        <v>0</v>
      </c>
      <c r="F74" s="493">
        <v>0</v>
      </c>
      <c r="G74" s="493">
        <f>IF(G$3=($D$4+$D$5),$D74-SUM($E74:F74),0)</f>
        <v>0</v>
      </c>
      <c r="H74" s="493">
        <f>IF(H$3=($D$4+$D$5),$D74-SUM($E74:G74),0)</f>
        <v>0</v>
      </c>
      <c r="I74" s="493">
        <f>IF(I$3=($D$4+$D$5),$D74-SUM($E74:H74),0)</f>
        <v>0</v>
      </c>
      <c r="J74" s="493">
        <f>IF(J$3=($D$4+$D$5),$D74-SUM($E74:I74),0)</f>
        <v>0</v>
      </c>
      <c r="K74" s="493">
        <f>IF(K$3=($D$4+$D$5),$D74-SUM($E74:J74),0)</f>
        <v>0</v>
      </c>
      <c r="L74" s="493">
        <f>IF(L$3=($D$4+$D$5),$D74-SUM($E74:K74),0)</f>
        <v>0</v>
      </c>
      <c r="M74" s="493">
        <f>IF(M$3=($D$4+$D$5),$D74-SUM($E74:L74),0)</f>
        <v>0</v>
      </c>
      <c r="N74" s="493">
        <f>IF(N$3=($D$4+$D$5),$D74-SUM($E74:M74),0)</f>
        <v>0</v>
      </c>
      <c r="O74" s="493">
        <f>IF(O$3=($D$4+$D$5),$D74-SUM($E74:N74),0)</f>
        <v>0</v>
      </c>
      <c r="P74" s="493">
        <f>IF(P$3=($D$4+$D$5),$D74-SUM($E74:O74),0)</f>
        <v>0</v>
      </c>
      <c r="Q74" s="493">
        <f>IF(Q$3=($D$4+$D$5),$D74-SUM($E74:P74),0)</f>
        <v>0</v>
      </c>
      <c r="R74" s="493">
        <f>IF(R$3=($D$4+$D$5),$D74-SUM($E74:Q74),0)</f>
        <v>0</v>
      </c>
      <c r="S74" s="493">
        <f>IF(S$3=($D$4+$D$5),$D74-SUM($E74:R74),0)</f>
        <v>0</v>
      </c>
      <c r="T74" s="493">
        <f>IF(T$3=($D$4+$D$5),$D74-SUM($E74:S74),0)</f>
        <v>0</v>
      </c>
      <c r="U74" s="493">
        <f>IF(U$3=($D$4+$D$5),$D74-SUM($E74:T74),0)</f>
        <v>0</v>
      </c>
      <c r="V74" s="493">
        <f>IF(V$3=($D$4+$D$5),$D74-SUM($E74:U74),0)</f>
        <v>0</v>
      </c>
      <c r="W74" s="493">
        <f>IF(W$3=($D$4+$D$5),$D74-SUM($E74:V74),0)</f>
        <v>0</v>
      </c>
      <c r="X74" s="493">
        <f>IF(X$3=($D$4+$D$5),$D74-SUM($E74:W74),0)</f>
        <v>0</v>
      </c>
      <c r="Y74" s="493">
        <f>IF(Y$3=($D$4+$D$5),$D74-SUM($E74:X74),0)</f>
        <v>0</v>
      </c>
      <c r="Z74" s="493">
        <f>IF(Z$3=($D$4+$D$5),$D74-SUM($E74:Y74),0)</f>
        <v>0</v>
      </c>
      <c r="AA74" s="493">
        <f>IF(AA$3=($D$4+$D$5),$D74-SUM($E74:Z74),0)</f>
        <v>0</v>
      </c>
      <c r="AB74" s="493">
        <f>IF(AB$3=($D$4+$D$5),$D74-SUM($E74:AA74),0)</f>
        <v>0</v>
      </c>
      <c r="AC74" s="493">
        <f>IF(AC$3=($D$4+$D$5),$D74-SUM($E74:AB74),0)</f>
        <v>0</v>
      </c>
      <c r="AE74" s="495">
        <f t="shared" si="26"/>
        <v>0</v>
      </c>
      <c r="AF74" s="261" t="str">
        <f t="shared" si="27"/>
        <v/>
      </c>
    </row>
    <row r="75" spans="1:32" s="3" customFormat="1" x14ac:dyDescent="0.2">
      <c r="C75" s="486" t="str">
        <f>+'Development Costs'!C79</f>
        <v>Initial Debt Service Reserve (not HOME eligible)</v>
      </c>
      <c r="D75" s="495">
        <f>+'Development Costs'!D79</f>
        <v>0</v>
      </c>
      <c r="E75" s="493">
        <v>0</v>
      </c>
      <c r="F75" s="493">
        <v>0</v>
      </c>
      <c r="G75" s="493">
        <f>IF(G$3=($D$4+$D$5),$D75-SUM($E75:F75),0)</f>
        <v>0</v>
      </c>
      <c r="H75" s="493">
        <f>IF(H$3=($D$4+$D$5),$D75-SUM($E75:G75),0)</f>
        <v>0</v>
      </c>
      <c r="I75" s="493">
        <f>IF(I$3=($D$4+$D$5),$D75-SUM($E75:H75),0)</f>
        <v>0</v>
      </c>
      <c r="J75" s="493">
        <f>IF(J$3=($D$4+$D$5),$D75-SUM($E75:I75),0)</f>
        <v>0</v>
      </c>
      <c r="K75" s="493">
        <f>IF(K$3=($D$4+$D$5),$D75-SUM($E75:J75),0)</f>
        <v>0</v>
      </c>
      <c r="L75" s="493">
        <f>IF(L$3=($D$4+$D$5),$D75-SUM($E75:K75),0)</f>
        <v>0</v>
      </c>
      <c r="M75" s="493">
        <f>IF(M$3=($D$4+$D$5),$D75-SUM($E75:L75),0)</f>
        <v>0</v>
      </c>
      <c r="N75" s="493">
        <f>IF(N$3=($D$4+$D$5),$D75-SUM($E75:M75),0)</f>
        <v>0</v>
      </c>
      <c r="O75" s="493">
        <f>IF(O$3=($D$4+$D$5),$D75-SUM($E75:N75),0)</f>
        <v>0</v>
      </c>
      <c r="P75" s="493">
        <f>IF(P$3=($D$4+$D$5),$D75-SUM($E75:O75),0)</f>
        <v>0</v>
      </c>
      <c r="Q75" s="493">
        <f>IF(Q$3=($D$4+$D$5),$D75-SUM($E75:P75),0)</f>
        <v>0</v>
      </c>
      <c r="R75" s="493">
        <f>IF(R$3=($D$4+$D$5),$D75-SUM($E75:Q75),0)</f>
        <v>0</v>
      </c>
      <c r="S75" s="493">
        <f>IF(S$3=($D$4+$D$5),$D75-SUM($E75:R75),0)</f>
        <v>0</v>
      </c>
      <c r="T75" s="493">
        <f>IF(T$3=($D$4+$D$5),$D75-SUM($E75:S75),0)</f>
        <v>0</v>
      </c>
      <c r="U75" s="493">
        <f>IF(U$3=($D$4+$D$5),$D75-SUM($E75:T75),0)</f>
        <v>0</v>
      </c>
      <c r="V75" s="493">
        <f>IF(V$3=($D$4+$D$5),$D75-SUM($E75:U75),0)</f>
        <v>0</v>
      </c>
      <c r="W75" s="493">
        <f>IF(W$3=($D$4+$D$5),$D75-SUM($E75:V75),0)</f>
        <v>0</v>
      </c>
      <c r="X75" s="493">
        <f>IF(X$3=($D$4+$D$5),$D75-SUM($E75:W75),0)</f>
        <v>0</v>
      </c>
      <c r="Y75" s="493">
        <f>IF(Y$3=($D$4+$D$5),$D75-SUM($E75:X75),0)</f>
        <v>0</v>
      </c>
      <c r="Z75" s="493">
        <f>IF(Z$3=($D$4+$D$5),$D75-SUM($E75:Y75),0)</f>
        <v>0</v>
      </c>
      <c r="AA75" s="493">
        <f>IF(AA$3=($D$4+$D$5),$D75-SUM($E75:Z75),0)</f>
        <v>0</v>
      </c>
      <c r="AB75" s="493">
        <f>IF(AB$3=($D$4+$D$5),$D75-SUM($E75:AA75),0)</f>
        <v>0</v>
      </c>
      <c r="AC75" s="493">
        <f>IF(AC$3=($D$4+$D$5),$D75-SUM($E75:AB75),0)</f>
        <v>0</v>
      </c>
      <c r="AE75" s="495">
        <f t="shared" si="26"/>
        <v>0</v>
      </c>
      <c r="AF75" s="261" t="str">
        <f t="shared" si="27"/>
        <v/>
      </c>
    </row>
    <row r="76" spans="1:32" s="3" customFormat="1" x14ac:dyDescent="0.2">
      <c r="C76" s="486" t="str">
        <f>+'Development Costs'!C80</f>
        <v>Initial Replacement Reserve (not HOME eligible)</v>
      </c>
      <c r="D76" s="495">
        <f>+'Development Costs'!D80</f>
        <v>20000</v>
      </c>
      <c r="E76" s="493">
        <v>0</v>
      </c>
      <c r="F76" s="493">
        <v>0</v>
      </c>
      <c r="G76" s="493">
        <f>IF(G$3=$D$4,$D76-SUM($E76:F76),0)</f>
        <v>0</v>
      </c>
      <c r="H76" s="493">
        <f>IF(H$3=$D$4,$D76-SUM($E76:G76),0)</f>
        <v>0</v>
      </c>
      <c r="I76" s="493">
        <f>IF(I$3=$D$4,$D76-SUM($E76:H76),0)</f>
        <v>0</v>
      </c>
      <c r="J76" s="493">
        <f>IF(J$3=$D$4,$D76-SUM($E76:I76),0)</f>
        <v>0</v>
      </c>
      <c r="K76" s="493">
        <f>IF(K$3=$D$4,$D76-SUM($E76:J76),0)</f>
        <v>0</v>
      </c>
      <c r="L76" s="493">
        <f>IF(L$3=$D$4,$D76-SUM($E76:K76),0)</f>
        <v>0</v>
      </c>
      <c r="M76" s="493">
        <f>IF(M$3=$D$4,$D76-SUM($E76:L76),0)</f>
        <v>0</v>
      </c>
      <c r="N76" s="493">
        <f>IF(N$3=$D$4,$D76-SUM($E76:M76),0)</f>
        <v>0</v>
      </c>
      <c r="O76" s="493">
        <f>IF(O$3=$D$4,$D76-SUM($E76:N76),0)</f>
        <v>0</v>
      </c>
      <c r="P76" s="493">
        <f>IF(P$3=$D$4,$D76-SUM($E76:O76),0)</f>
        <v>0</v>
      </c>
      <c r="Q76" s="493">
        <f>IF(Q$3=$D$4,$D76-SUM($E76:P76),0)</f>
        <v>0</v>
      </c>
      <c r="R76" s="493">
        <f>IF(R$3=$D$4,$D76-SUM($E76:Q76),0)</f>
        <v>0</v>
      </c>
      <c r="S76" s="493">
        <f>IF(S$3=$D$4,$D76-SUM($E76:R76),0)</f>
        <v>0</v>
      </c>
      <c r="T76" s="493">
        <f>IF(T$3=$D$4,$D76-SUM($E76:S76),0)</f>
        <v>0</v>
      </c>
      <c r="U76" s="493">
        <f>IF(U$3=$D$4,$D76-SUM($E76:T76),0)</f>
        <v>0</v>
      </c>
      <c r="V76" s="493">
        <f>IF(V$3=$D$4,$D76-SUM($E76:U76),0)</f>
        <v>0</v>
      </c>
      <c r="W76" s="493">
        <f>IF(W$3=$D$4,$D76-SUM($E76:V76),0)</f>
        <v>0</v>
      </c>
      <c r="X76" s="493">
        <f>IF(X$3=$D$4,$D76-SUM($E76:W76),0)</f>
        <v>0</v>
      </c>
      <c r="Y76" s="493">
        <f>IF(Y$3=$D$4,$D76-SUM($E76:X76),0)</f>
        <v>0</v>
      </c>
      <c r="Z76" s="493">
        <f>IF(Z$3=$D$4,$D76-SUM($E76:Y76),0)</f>
        <v>0</v>
      </c>
      <c r="AA76" s="493">
        <f>IF(AA$3=$D$4,$D76-SUM($E76:Z76),0)</f>
        <v>0</v>
      </c>
      <c r="AB76" s="493">
        <f>IF(AB$3=$D$4,$D76-SUM($E76:AA76),0)</f>
        <v>0</v>
      </c>
      <c r="AC76" s="493">
        <f>IF(AC$3=$D$4,$D76-SUM($E76:AB76),0)</f>
        <v>0</v>
      </c>
      <c r="AE76" s="495">
        <f t="shared" si="26"/>
        <v>0</v>
      </c>
      <c r="AF76" s="261" t="str">
        <f t="shared" si="27"/>
        <v/>
      </c>
    </row>
    <row r="77" spans="1:32" s="3" customFormat="1" x14ac:dyDescent="0.2">
      <c r="C77" s="486">
        <f>+'Development Costs'!C81</f>
        <v>0</v>
      </c>
      <c r="D77" s="495">
        <f>+'Development Costs'!D81</f>
        <v>0</v>
      </c>
      <c r="E77" s="493">
        <f>+D77</f>
        <v>0</v>
      </c>
      <c r="F77" s="493">
        <v>0</v>
      </c>
      <c r="G77" s="493">
        <f>IF(G$3=($D$4+$D$5),$D77-SUM($E77:F77),0)</f>
        <v>0</v>
      </c>
      <c r="H77" s="493">
        <f>IF(H$3=($D$4+$D$5),$D77-SUM($E77:G77),0)</f>
        <v>0</v>
      </c>
      <c r="I77" s="493">
        <f>IF(I$3=($D$4+$D$5),$D77-SUM($E77:H77),0)</f>
        <v>0</v>
      </c>
      <c r="J77" s="493">
        <f>IF(J$3=($D$4+$D$5),$D77-SUM($E77:I77),0)</f>
        <v>0</v>
      </c>
      <c r="K77" s="493">
        <f>IF(K$3=($D$4+$D$5),$D77-SUM($E77:J77),0)</f>
        <v>0</v>
      </c>
      <c r="L77" s="493">
        <f>IF(L$3=($D$4+$D$5),$D77-SUM($E77:K77),0)</f>
        <v>0</v>
      </c>
      <c r="M77" s="493">
        <f>IF(M$3=($D$4+$D$5),$D77-SUM($E77:L77),0)</f>
        <v>0</v>
      </c>
      <c r="N77" s="493">
        <f>IF(N$3=($D$4+$D$5),$D77-SUM($E77:M77),0)</f>
        <v>0</v>
      </c>
      <c r="O77" s="493">
        <f>IF(O$3=($D$4+$D$5),$D77-SUM($E77:N77),0)</f>
        <v>0</v>
      </c>
      <c r="P77" s="493">
        <f>IF(P$3=($D$4+$D$5),$D77-SUM($E77:O77),0)</f>
        <v>0</v>
      </c>
      <c r="Q77" s="493">
        <f>IF(Q$3=($D$4+$D$5),$D77-SUM($E77:P77),0)</f>
        <v>0</v>
      </c>
      <c r="R77" s="493">
        <f>IF(R$3=($D$4+$D$5),$D77-SUM($E77:Q77),0)</f>
        <v>0</v>
      </c>
      <c r="S77" s="493">
        <f>IF(S$3=($D$4+$D$5),$D77-SUM($E77:R77),0)</f>
        <v>0</v>
      </c>
      <c r="T77" s="493">
        <f>IF(T$3=($D$4+$D$5),$D77-SUM($E77:S77),0)</f>
        <v>0</v>
      </c>
      <c r="U77" s="493">
        <f>IF(U$3=($D$4+$D$5),$D77-SUM($E77:T77),0)</f>
        <v>0</v>
      </c>
      <c r="V77" s="493">
        <f>IF(V$3=($D$4+$D$5),$D77-SUM($E77:U77),0)</f>
        <v>0</v>
      </c>
      <c r="W77" s="493">
        <f>IF(W$3=($D$4+$D$5),$D77-SUM($E77:V77),0)</f>
        <v>0</v>
      </c>
      <c r="X77" s="493">
        <f>IF(X$3=($D$4+$D$5),$D77-SUM($E77:W77),0)</f>
        <v>0</v>
      </c>
      <c r="Y77" s="493">
        <f>IF(Y$3=($D$4+$D$5),$D77-SUM($E77:X77),0)</f>
        <v>0</v>
      </c>
      <c r="Z77" s="493">
        <f>IF(Z$3=($D$4+$D$5),$D77-SUM($E77:Y77),0)</f>
        <v>0</v>
      </c>
      <c r="AA77" s="493">
        <f>IF(AA$3=($D$4+$D$5),$D77-SUM($E77:Z77),0)</f>
        <v>0</v>
      </c>
      <c r="AB77" s="493">
        <f>IF(AB$3=($D$4+$D$5),$D77-SUM($E77:AA77),0)</f>
        <v>0</v>
      </c>
      <c r="AC77" s="493">
        <f>IF(AC$3=($D$4+$D$5),$D77-SUM($E77:AB77),0)</f>
        <v>0</v>
      </c>
      <c r="AE77" s="495">
        <f t="shared" si="26"/>
        <v>0</v>
      </c>
      <c r="AF77" s="261" t="str">
        <f t="shared" si="27"/>
        <v/>
      </c>
    </row>
    <row r="78" spans="1:32" s="3" customFormat="1" x14ac:dyDescent="0.2">
      <c r="C78" s="486">
        <f>+'Development Costs'!C82</f>
        <v>0</v>
      </c>
      <c r="D78" s="495">
        <f>+'Development Costs'!D82</f>
        <v>0</v>
      </c>
      <c r="E78" s="493">
        <f>+D78</f>
        <v>0</v>
      </c>
      <c r="F78" s="493">
        <v>0</v>
      </c>
      <c r="G78" s="493">
        <f>IF(G$3=($D$4+$D$5),$D78-SUM($E78:F78),0)</f>
        <v>0</v>
      </c>
      <c r="H78" s="493">
        <f>IF(H$3=($D$4+$D$5),$D78-SUM($E78:G78),0)</f>
        <v>0</v>
      </c>
      <c r="I78" s="493">
        <f>IF(I$3=($D$4+$D$5),$D78-SUM($E78:H78),0)</f>
        <v>0</v>
      </c>
      <c r="J78" s="493">
        <f>IF(J$3=($D$4+$D$5),$D78-SUM($E78:I78),0)</f>
        <v>0</v>
      </c>
      <c r="K78" s="493">
        <f>IF(K$3=($D$4+$D$5),$D78-SUM($E78:J78),0)</f>
        <v>0</v>
      </c>
      <c r="L78" s="493">
        <f>IF(L$3=($D$4+$D$5),$D78-SUM($E78:K78),0)</f>
        <v>0</v>
      </c>
      <c r="M78" s="493">
        <f>IF(M$3=($D$4+$D$5),$D78-SUM($E78:L78),0)</f>
        <v>0</v>
      </c>
      <c r="N78" s="493">
        <f>IF(N$3=($D$4+$D$5),$D78-SUM($E78:M78),0)</f>
        <v>0</v>
      </c>
      <c r="O78" s="493">
        <f>IF(O$3=($D$4+$D$5),$D78-SUM($E78:N78),0)</f>
        <v>0</v>
      </c>
      <c r="P78" s="493">
        <f>IF(P$3=($D$4+$D$5),$D78-SUM($E78:O78),0)</f>
        <v>0</v>
      </c>
      <c r="Q78" s="493">
        <f>IF(Q$3=($D$4+$D$5),$D78-SUM($E78:P78),0)</f>
        <v>0</v>
      </c>
      <c r="R78" s="493">
        <f>IF(R$3=($D$4+$D$5),$D78-SUM($E78:Q78),0)</f>
        <v>0</v>
      </c>
      <c r="S78" s="493">
        <f>IF(S$3=($D$4+$D$5),$D78-SUM($E78:R78),0)</f>
        <v>0</v>
      </c>
      <c r="T78" s="493">
        <f>IF(T$3=($D$4+$D$5),$D78-SUM($E78:S78),0)</f>
        <v>0</v>
      </c>
      <c r="U78" s="493">
        <f>IF(U$3=($D$4+$D$5),$D78-SUM($E78:T78),0)</f>
        <v>0</v>
      </c>
      <c r="V78" s="493">
        <f>IF(V$3=($D$4+$D$5),$D78-SUM($E78:U78),0)</f>
        <v>0</v>
      </c>
      <c r="W78" s="493">
        <f>IF(W$3=($D$4+$D$5),$D78-SUM($E78:V78),0)</f>
        <v>0</v>
      </c>
      <c r="X78" s="493">
        <f>IF(X$3=($D$4+$D$5),$D78-SUM($E78:W78),0)</f>
        <v>0</v>
      </c>
      <c r="Y78" s="493">
        <f>IF(Y$3=($D$4+$D$5),$D78-SUM($E78:X78),0)</f>
        <v>0</v>
      </c>
      <c r="Z78" s="493">
        <f>IF(Z$3=($D$4+$D$5),$D78-SUM($E78:Y78),0)</f>
        <v>0</v>
      </c>
      <c r="AA78" s="493">
        <f>IF(AA$3=($D$4+$D$5),$D78-SUM($E78:Z78),0)</f>
        <v>0</v>
      </c>
      <c r="AB78" s="493">
        <f>IF(AB$3=($D$4+$D$5),$D78-SUM($E78:AA78),0)</f>
        <v>0</v>
      </c>
      <c r="AC78" s="493">
        <f>IF(AC$3=($D$4+$D$5),$D78-SUM($E78:AB78),0)</f>
        <v>0</v>
      </c>
      <c r="AE78" s="495">
        <f t="shared" si="26"/>
        <v>0</v>
      </c>
      <c r="AF78" s="261" t="str">
        <f t="shared" si="27"/>
        <v/>
      </c>
    </row>
    <row r="79" spans="1:32" s="350" customFormat="1" ht="12.75" customHeight="1" x14ac:dyDescent="0.2">
      <c r="A79" s="3"/>
      <c r="C79" s="215" t="s">
        <v>229</v>
      </c>
      <c r="D79" s="494"/>
      <c r="E79" s="494"/>
      <c r="F79" s="494"/>
      <c r="G79" s="494"/>
      <c r="H79" s="494"/>
      <c r="I79" s="494"/>
      <c r="J79" s="494"/>
      <c r="K79" s="494"/>
      <c r="L79" s="494"/>
      <c r="M79" s="494"/>
      <c r="N79" s="494"/>
      <c r="O79" s="494"/>
      <c r="P79" s="494"/>
      <c r="Q79" s="494"/>
      <c r="R79" s="494"/>
      <c r="S79" s="494"/>
      <c r="T79" s="494"/>
      <c r="U79" s="494"/>
      <c r="V79" s="494"/>
      <c r="W79" s="494"/>
      <c r="X79" s="494"/>
      <c r="Y79" s="494"/>
      <c r="Z79" s="494"/>
      <c r="AA79" s="494"/>
      <c r="AB79" s="494"/>
      <c r="AC79" s="494"/>
      <c r="AE79" s="494"/>
    </row>
    <row r="80" spans="1:32" s="3" customFormat="1" x14ac:dyDescent="0.2">
      <c r="C80" s="486" t="str">
        <f>+'Development Costs'!C84</f>
        <v>Marketing/Management</v>
      </c>
      <c r="D80" s="495">
        <f>+'Development Costs'!D84</f>
        <v>0</v>
      </c>
      <c r="E80" s="493">
        <v>0</v>
      </c>
      <c r="F80" s="493">
        <v>0</v>
      </c>
      <c r="G80" s="493">
        <f>IF(G$3=$D$4,$D80-SUM($E80:F80),0)</f>
        <v>0</v>
      </c>
      <c r="H80" s="493">
        <f>IF(H$3=$D$4,$D80-SUM($E80:G80),0)</f>
        <v>0</v>
      </c>
      <c r="I80" s="493">
        <f>IF(I$3=$D$4,$D80-SUM($E80:H80),0)</f>
        <v>0</v>
      </c>
      <c r="J80" s="493">
        <f>IF(J$3=$D$4,$D80-SUM($E80:I80),0)</f>
        <v>0</v>
      </c>
      <c r="K80" s="493">
        <f>IF(K$3=$D$4,$D80-SUM($E80:J80),0)</f>
        <v>0</v>
      </c>
      <c r="L80" s="493">
        <f>IF(L$3=$D$4,$D80-SUM($E80:K80),0)</f>
        <v>0</v>
      </c>
      <c r="M80" s="493">
        <f>IF(M$3=$D$4,$D80-SUM($E80:L80),0)</f>
        <v>0</v>
      </c>
      <c r="N80" s="493">
        <f>IF(N$3=$D$4,$D80-SUM($E80:M80),0)</f>
        <v>0</v>
      </c>
      <c r="O80" s="493">
        <f>IF(O$3=$D$4,$D80-SUM($E80:N80),0)</f>
        <v>0</v>
      </c>
      <c r="P80" s="493">
        <f>IF(P$3=$D$4,$D80-SUM($E80:O80),0)</f>
        <v>0</v>
      </c>
      <c r="Q80" s="493">
        <f>IF(Q$3=$D$4,$D80-SUM($E80:P80),0)</f>
        <v>0</v>
      </c>
      <c r="R80" s="493">
        <f>IF(R$3=$D$4,$D80-SUM($E80:Q80),0)</f>
        <v>0</v>
      </c>
      <c r="S80" s="493">
        <f>IF(S$3=$D$4,$D80-SUM($E80:R80),0)</f>
        <v>0</v>
      </c>
      <c r="T80" s="493">
        <f>IF(T$3=$D$4,$D80-SUM($E80:S80),0)</f>
        <v>0</v>
      </c>
      <c r="U80" s="493">
        <f>IF(U$3=$D$4,$D80-SUM($E80:T80),0)</f>
        <v>0</v>
      </c>
      <c r="V80" s="493">
        <f>IF(V$3=$D$4,$D80-SUM($E80:U80),0)</f>
        <v>0</v>
      </c>
      <c r="W80" s="493">
        <f>IF(W$3=$D$4,$D80-SUM($E80:V80),0)</f>
        <v>0</v>
      </c>
      <c r="X80" s="493">
        <f>IF(X$3=$D$4,$D80-SUM($E80:W80),0)</f>
        <v>0</v>
      </c>
      <c r="Y80" s="493">
        <f>IF(Y$3=$D$4,$D80-SUM($E80:X80),0)</f>
        <v>0</v>
      </c>
      <c r="Z80" s="493">
        <f>IF(Z$3=$D$4,$D80-SUM($E80:Y80),0)</f>
        <v>0</v>
      </c>
      <c r="AA80" s="493">
        <f>IF(AA$3=$D$4,$D80-SUM($E80:Z80),0)</f>
        <v>0</v>
      </c>
      <c r="AB80" s="493">
        <f>IF(AB$3=$D$4,$D80-SUM($E80:AA80),0)</f>
        <v>0</v>
      </c>
      <c r="AC80" s="493">
        <f>IF(AC$3=$D$4,$D80-SUM($E80:AB80),0)</f>
        <v>0</v>
      </c>
      <c r="AE80" s="495">
        <f t="shared" ref="AE80:AE85" si="28">SUM(E80:AC80)</f>
        <v>0</v>
      </c>
      <c r="AF80" s="261" t="str">
        <f t="shared" ref="AF80:AF85" si="29">IF(AE80&gt;D80,"ERROR: Total Amount Drawn Exceeds Total Available","")</f>
        <v/>
      </c>
    </row>
    <row r="81" spans="1:32" s="3" customFormat="1" x14ac:dyDescent="0.2">
      <c r="C81" s="486" t="str">
        <f>+'Development Costs'!C85</f>
        <v>Operating Expenses</v>
      </c>
      <c r="D81" s="495">
        <f>+'Development Costs'!D85</f>
        <v>0</v>
      </c>
      <c r="E81" s="493">
        <v>0</v>
      </c>
      <c r="F81" s="493">
        <v>0</v>
      </c>
      <c r="G81" s="493">
        <f>IF(G$3=$D$4,$D81-SUM($E81:F81),0)</f>
        <v>0</v>
      </c>
      <c r="H81" s="493">
        <f>IF(H$3=$D$4,$D81-SUM($E81:G81),0)</f>
        <v>0</v>
      </c>
      <c r="I81" s="493">
        <f>IF(I$3=$D$4,$D81-SUM($E81:H81),0)</f>
        <v>0</v>
      </c>
      <c r="J81" s="493">
        <f>IF(J$3=$D$4,$D81-SUM($E81:I81),0)</f>
        <v>0</v>
      </c>
      <c r="K81" s="493">
        <f>IF(K$3=$D$4,$D81-SUM($E81:J81),0)</f>
        <v>0</v>
      </c>
      <c r="L81" s="493">
        <f>IF(L$3=$D$4,$D81-SUM($E81:K81),0)</f>
        <v>0</v>
      </c>
      <c r="M81" s="493">
        <f>IF(M$3=$D$4,$D81-SUM($E81:L81),0)</f>
        <v>0</v>
      </c>
      <c r="N81" s="493">
        <f>IF(N$3=$D$4,$D81-SUM($E81:M81),0)</f>
        <v>0</v>
      </c>
      <c r="O81" s="493">
        <f>IF(O$3=$D$4,$D81-SUM($E81:N81),0)</f>
        <v>0</v>
      </c>
      <c r="P81" s="493">
        <f>IF(P$3=$D$4,$D81-SUM($E81:O81),0)</f>
        <v>0</v>
      </c>
      <c r="Q81" s="493">
        <f>IF(Q$3=$D$4,$D81-SUM($E81:P81),0)</f>
        <v>0</v>
      </c>
      <c r="R81" s="493">
        <f>IF(R$3=$D$4,$D81-SUM($E81:Q81),0)</f>
        <v>0</v>
      </c>
      <c r="S81" s="493">
        <f>IF(S$3=$D$4,$D81-SUM($E81:R81),0)</f>
        <v>0</v>
      </c>
      <c r="T81" s="493">
        <f>IF(T$3=$D$4,$D81-SUM($E81:S81),0)</f>
        <v>0</v>
      </c>
      <c r="U81" s="493">
        <f>IF(U$3=$D$4,$D81-SUM($E81:T81),0)</f>
        <v>0</v>
      </c>
      <c r="V81" s="493">
        <f>IF(V$3=$D$4,$D81-SUM($E81:U81),0)</f>
        <v>0</v>
      </c>
      <c r="W81" s="493">
        <f>IF(W$3=$D$4,$D81-SUM($E81:V81),0)</f>
        <v>0</v>
      </c>
      <c r="X81" s="493">
        <f>IF(X$3=$D$4,$D81-SUM($E81:W81),0)</f>
        <v>0</v>
      </c>
      <c r="Y81" s="493">
        <f>IF(Y$3=$D$4,$D81-SUM($E81:X81),0)</f>
        <v>0</v>
      </c>
      <c r="Z81" s="493">
        <f>IF(Z$3=$D$4,$D81-SUM($E81:Y81),0)</f>
        <v>0</v>
      </c>
      <c r="AA81" s="493">
        <f>IF(AA$3=$D$4,$D81-SUM($E81:Z81),0)</f>
        <v>0</v>
      </c>
      <c r="AB81" s="493">
        <f>IF(AB$3=$D$4,$D81-SUM($E81:AA81),0)</f>
        <v>0</v>
      </c>
      <c r="AC81" s="493">
        <f>IF(AC$3=$D$4,$D81-SUM($E81:AB81),0)</f>
        <v>0</v>
      </c>
      <c r="AE81" s="495">
        <f t="shared" si="28"/>
        <v>0</v>
      </c>
      <c r="AF81" s="261" t="str">
        <f t="shared" si="29"/>
        <v/>
      </c>
    </row>
    <row r="82" spans="1:32" s="3" customFormat="1" x14ac:dyDescent="0.2">
      <c r="C82" s="486" t="str">
        <f>+'Development Costs'!C86</f>
        <v>Furniture, Fixtures &amp; Equipment</v>
      </c>
      <c r="D82" s="495">
        <f>+'Development Costs'!D86</f>
        <v>5000</v>
      </c>
      <c r="E82" s="493">
        <v>0</v>
      </c>
      <c r="F82" s="493">
        <v>0</v>
      </c>
      <c r="G82" s="493">
        <f>IF(G$3=$D$4,$D82-SUM($E82:F82),0)</f>
        <v>0</v>
      </c>
      <c r="H82" s="493">
        <f>IF(H$3=$D$4,$D82-SUM($E82:G82),0)</f>
        <v>0</v>
      </c>
      <c r="I82" s="493">
        <f>IF(I$3=$D$4,$D82-SUM($E82:H82),0)</f>
        <v>0</v>
      </c>
      <c r="J82" s="493">
        <f>IF(J$3=$D$4,$D82-SUM($E82:I82),0)</f>
        <v>0</v>
      </c>
      <c r="K82" s="493">
        <f>IF(K$3=$D$4,$D82-SUM($E82:J82),0)</f>
        <v>0</v>
      </c>
      <c r="L82" s="493">
        <f>IF(L$3=$D$4,$D82-SUM($E82:K82),0)</f>
        <v>0</v>
      </c>
      <c r="M82" s="493">
        <f>IF(M$3=$D$4,$D82-SUM($E82:L82),0)</f>
        <v>0</v>
      </c>
      <c r="N82" s="493">
        <f>IF(N$3=$D$4,$D82-SUM($E82:M82),0)</f>
        <v>0</v>
      </c>
      <c r="O82" s="493">
        <f>IF(O$3=$D$4,$D82-SUM($E82:N82),0)</f>
        <v>0</v>
      </c>
      <c r="P82" s="493">
        <f>IF(P$3=$D$4,$D82-SUM($E82:O82),0)</f>
        <v>0</v>
      </c>
      <c r="Q82" s="493">
        <f>IF(Q$3=$D$4,$D82-SUM($E82:P82),0)</f>
        <v>0</v>
      </c>
      <c r="R82" s="493">
        <f>IF(R$3=$D$4,$D82-SUM($E82:Q82),0)</f>
        <v>0</v>
      </c>
      <c r="S82" s="493">
        <f>IF(S$3=$D$4,$D82-SUM($E82:R82),0)</f>
        <v>0</v>
      </c>
      <c r="T82" s="493">
        <f>IF(T$3=$D$4,$D82-SUM($E82:S82),0)</f>
        <v>0</v>
      </c>
      <c r="U82" s="493">
        <f>IF(U$3=$D$4,$D82-SUM($E82:T82),0)</f>
        <v>0</v>
      </c>
      <c r="V82" s="493">
        <f>IF(V$3=$D$4,$D82-SUM($E82:U82),0)</f>
        <v>0</v>
      </c>
      <c r="W82" s="493">
        <f>IF(W$3=$D$4,$D82-SUM($E82:V82),0)</f>
        <v>0</v>
      </c>
      <c r="X82" s="493">
        <f>IF(X$3=$D$4,$D82-SUM($E82:W82),0)</f>
        <v>0</v>
      </c>
      <c r="Y82" s="493">
        <f>IF(Y$3=$D$4,$D82-SUM($E82:X82),0)</f>
        <v>0</v>
      </c>
      <c r="Z82" s="493">
        <f>IF(Z$3=$D$4,$D82-SUM($E82:Y82),0)</f>
        <v>0</v>
      </c>
      <c r="AA82" s="493">
        <f>IF(AA$3=$D$4,$D82-SUM($E82:Z82),0)</f>
        <v>0</v>
      </c>
      <c r="AB82" s="493">
        <f>IF(AB$3=$D$4,$D82-SUM($E82:AA82),0)</f>
        <v>0</v>
      </c>
      <c r="AC82" s="493">
        <f>IF(AC$3=$D$4,$D82-SUM($E82:AB82),0)</f>
        <v>0</v>
      </c>
      <c r="AE82" s="495">
        <f t="shared" si="28"/>
        <v>0</v>
      </c>
      <c r="AF82" s="261" t="str">
        <f t="shared" si="29"/>
        <v/>
      </c>
    </row>
    <row r="83" spans="1:32" s="3" customFormat="1" x14ac:dyDescent="0.2">
      <c r="C83" s="486" t="str">
        <f>+'Development Costs'!C87</f>
        <v>Tenant Relocation Costs</v>
      </c>
      <c r="D83" s="495">
        <f>+'Development Costs'!D87</f>
        <v>0</v>
      </c>
      <c r="E83" s="493">
        <v>0</v>
      </c>
      <c r="F83" s="493">
        <f t="shared" ref="F83" si="30">IF($D$4=0,0,ROUND((D83-E83)/$D$4,0))</f>
        <v>0</v>
      </c>
      <c r="G83" s="493">
        <f>IF(G$3&lt;$D$4,F83,IF(G$3=$D$4,$D83-SUM($E83:F83),0))</f>
        <v>0</v>
      </c>
      <c r="H83" s="493">
        <f>IF(H$3&lt;$D$4,G83,IF(H$3=$D$4,$D83-SUM($E83:G83),0))</f>
        <v>0</v>
      </c>
      <c r="I83" s="493">
        <f>IF(I$3&lt;$D$4,H83,IF(I$3=$D$4,$D83-SUM($E83:H83),0))</f>
        <v>0</v>
      </c>
      <c r="J83" s="493">
        <f>IF(J$3&lt;$D$4,I83,IF(J$3=$D$4,$D83-SUM($E83:I83),0))</f>
        <v>0</v>
      </c>
      <c r="K83" s="493">
        <f>IF(K$3&lt;$D$4,J83,IF(K$3=$D$4,$D83-SUM($E83:J83),0))</f>
        <v>0</v>
      </c>
      <c r="L83" s="493">
        <f>IF(L$3&lt;$D$4,K83,IF(L$3=$D$4,$D83-SUM($E83:K83),0))</f>
        <v>0</v>
      </c>
      <c r="M83" s="493">
        <f>IF(M$3&lt;$D$4,L83,IF(M$3=$D$4,$D83-SUM($E83:L83),0))</f>
        <v>0</v>
      </c>
      <c r="N83" s="493">
        <f>IF(N$3&lt;$D$4,M83,IF(N$3=$D$4,$D83-SUM($E83:M83),0))</f>
        <v>0</v>
      </c>
      <c r="O83" s="493">
        <f>IF(O$3&lt;$D$4,N83,IF(O$3=$D$4,$D83-SUM($E83:N83),0))</f>
        <v>0</v>
      </c>
      <c r="P83" s="493">
        <f>IF(P$3&lt;$D$4,O83,IF(P$3=$D$4,$D83-SUM($E83:O83),0))</f>
        <v>0</v>
      </c>
      <c r="Q83" s="493">
        <f>IF(Q$3&lt;$D$4,P83,IF(Q$3=$D$4,$D83-SUM($E83:P83),0))</f>
        <v>0</v>
      </c>
      <c r="R83" s="493">
        <f>IF(R$3&lt;$D$4,Q83,IF(R$3=$D$4,$D83-SUM($E83:Q83),0))</f>
        <v>0</v>
      </c>
      <c r="S83" s="493">
        <f>IF(S$3&lt;$D$4,R83,IF(S$3=$D$4,$D83-SUM($E83:R83),0))</f>
        <v>0</v>
      </c>
      <c r="T83" s="493">
        <f>IF(T$3&lt;$D$4,S83,IF(T$3=$D$4,$D83-SUM($E83:S83),0))</f>
        <v>0</v>
      </c>
      <c r="U83" s="493">
        <f>IF(U$3&lt;$D$4,T83,IF(U$3=$D$4,$D83-SUM($E83:T83),0))</f>
        <v>0</v>
      </c>
      <c r="V83" s="493">
        <f>IF(V$3&lt;$D$4,U83,IF(V$3=$D$4,$D83-SUM($E83:U83),0))</f>
        <v>0</v>
      </c>
      <c r="W83" s="493">
        <f>IF(W$3&lt;$D$4,V83,IF(W$3=$D$4,$D83-SUM($E83:V83),0))</f>
        <v>0</v>
      </c>
      <c r="X83" s="493">
        <f>IF(X$3&lt;$D$4,W83,IF(X$3=$D$4,$D83-SUM($E83:W83),0))</f>
        <v>0</v>
      </c>
      <c r="Y83" s="493">
        <f>IF(Y$3&lt;$D$4,X83,IF(Y$3=$D$4,$D83-SUM($E83:X83),0))</f>
        <v>0</v>
      </c>
      <c r="Z83" s="493">
        <f>IF(Z$3&lt;$D$4,Y83,IF(Z$3=$D$4,$D83-SUM($E83:Y83),0))</f>
        <v>0</v>
      </c>
      <c r="AA83" s="493">
        <f>IF(AA$3&lt;$D$4,Z83,IF(AA$3=$D$4,$D83-SUM($E83:Z83),0))</f>
        <v>0</v>
      </c>
      <c r="AB83" s="493">
        <f>IF(AB$3&lt;$D$4,AA83,IF(AB$3=$D$4,$D83-SUM($E83:AA83),0))</f>
        <v>0</v>
      </c>
      <c r="AC83" s="493">
        <f>IF(AC$3&lt;$D$4,AB83,IF(AC$3=$D$4,$D83-SUM($E83:AB83),0))</f>
        <v>0</v>
      </c>
      <c r="AE83" s="495">
        <f t="shared" si="28"/>
        <v>0</v>
      </c>
      <c r="AF83" s="261" t="str">
        <f t="shared" si="29"/>
        <v/>
      </c>
    </row>
    <row r="84" spans="1:32" s="3" customFormat="1" x14ac:dyDescent="0.2">
      <c r="C84" s="486">
        <f>+'Development Costs'!C88</f>
        <v>0</v>
      </c>
      <c r="D84" s="495">
        <f>+'Development Costs'!D88</f>
        <v>0</v>
      </c>
      <c r="E84" s="493">
        <f>+D84</f>
        <v>0</v>
      </c>
      <c r="F84" s="493">
        <v>0</v>
      </c>
      <c r="G84" s="493">
        <f>IF(G$3=($D$4+$D$5),$D84-SUM($E84:F84),0)</f>
        <v>0</v>
      </c>
      <c r="H84" s="493">
        <f>IF(H$3=($D$4+$D$5),$D84-SUM($E84:G84),0)</f>
        <v>0</v>
      </c>
      <c r="I84" s="493">
        <f>IF(I$3=($D$4+$D$5),$D84-SUM($E84:H84),0)</f>
        <v>0</v>
      </c>
      <c r="J84" s="493">
        <f>IF(J$3=($D$4+$D$5),$D84-SUM($E84:I84),0)</f>
        <v>0</v>
      </c>
      <c r="K84" s="493">
        <f>IF(K$3=($D$4+$D$5),$D84-SUM($E84:J84),0)</f>
        <v>0</v>
      </c>
      <c r="L84" s="493">
        <f>IF(L$3=($D$4+$D$5),$D84-SUM($E84:K84),0)</f>
        <v>0</v>
      </c>
      <c r="M84" s="493">
        <f>IF(M$3=($D$4+$D$5),$D84-SUM($E84:L84),0)</f>
        <v>0</v>
      </c>
      <c r="N84" s="493">
        <f>IF(N$3=($D$4+$D$5),$D84-SUM($E84:M84),0)</f>
        <v>0</v>
      </c>
      <c r="O84" s="493">
        <f>IF(O$3=($D$4+$D$5),$D84-SUM($E84:N84),0)</f>
        <v>0</v>
      </c>
      <c r="P84" s="493">
        <f>IF(P$3=($D$4+$D$5),$D84-SUM($E84:O84),0)</f>
        <v>0</v>
      </c>
      <c r="Q84" s="493">
        <f>IF(Q$3=($D$4+$D$5),$D84-SUM($E84:P84),0)</f>
        <v>0</v>
      </c>
      <c r="R84" s="493">
        <f>IF(R$3=($D$4+$D$5),$D84-SUM($E84:Q84),0)</f>
        <v>0</v>
      </c>
      <c r="S84" s="493">
        <f>IF(S$3=($D$4+$D$5),$D84-SUM($E84:R84),0)</f>
        <v>0</v>
      </c>
      <c r="T84" s="493">
        <f>IF(T$3=($D$4+$D$5),$D84-SUM($E84:S84),0)</f>
        <v>0</v>
      </c>
      <c r="U84" s="493">
        <f>IF(U$3=($D$4+$D$5),$D84-SUM($E84:T84),0)</f>
        <v>0</v>
      </c>
      <c r="V84" s="493">
        <f>IF(V$3=($D$4+$D$5),$D84-SUM($E84:U84),0)</f>
        <v>0</v>
      </c>
      <c r="W84" s="493">
        <f>IF(W$3=($D$4+$D$5),$D84-SUM($E84:V84),0)</f>
        <v>0</v>
      </c>
      <c r="X84" s="493">
        <f>IF(X$3=($D$4+$D$5),$D84-SUM($E84:W84),0)</f>
        <v>0</v>
      </c>
      <c r="Y84" s="493">
        <f>IF(Y$3=($D$4+$D$5),$D84-SUM($E84:X84),0)</f>
        <v>0</v>
      </c>
      <c r="Z84" s="493">
        <f>IF(Z$3=($D$4+$D$5),$D84-SUM($E84:Y84),0)</f>
        <v>0</v>
      </c>
      <c r="AA84" s="493">
        <f>IF(AA$3=($D$4+$D$5),$D84-SUM($E84:Z84),0)</f>
        <v>0</v>
      </c>
      <c r="AB84" s="493">
        <f>IF(AB$3=($D$4+$D$5),$D84-SUM($E84:AA84),0)</f>
        <v>0</v>
      </c>
      <c r="AC84" s="493">
        <f>IF(AC$3=($D$4+$D$5),$D84-SUM($E84:AB84),0)</f>
        <v>0</v>
      </c>
      <c r="AE84" s="495">
        <f t="shared" si="28"/>
        <v>0</v>
      </c>
      <c r="AF84" s="261" t="str">
        <f t="shared" si="29"/>
        <v/>
      </c>
    </row>
    <row r="85" spans="1:32" s="3" customFormat="1" x14ac:dyDescent="0.2">
      <c r="C85" s="486">
        <f>+'Development Costs'!C89</f>
        <v>0</v>
      </c>
      <c r="D85" s="495">
        <f>+'Development Costs'!D89</f>
        <v>0</v>
      </c>
      <c r="E85" s="493">
        <f>+D85</f>
        <v>0</v>
      </c>
      <c r="F85" s="493">
        <v>0</v>
      </c>
      <c r="G85" s="493">
        <f>IF(G$3=($D$4+$D$5),$D85-SUM($E85:F85),0)</f>
        <v>0</v>
      </c>
      <c r="H85" s="493">
        <f>IF(H$3=($D$4+$D$5),$D85-SUM($E85:G85),0)</f>
        <v>0</v>
      </c>
      <c r="I85" s="493">
        <f>IF(I$3=($D$4+$D$5),$D85-SUM($E85:H85),0)</f>
        <v>0</v>
      </c>
      <c r="J85" s="493">
        <f>IF(J$3=($D$4+$D$5),$D85-SUM($E85:I85),0)</f>
        <v>0</v>
      </c>
      <c r="K85" s="493">
        <f>IF(K$3=($D$4+$D$5),$D85-SUM($E85:J85),0)</f>
        <v>0</v>
      </c>
      <c r="L85" s="493">
        <f>IF(L$3=($D$4+$D$5),$D85-SUM($E85:K85),0)</f>
        <v>0</v>
      </c>
      <c r="M85" s="493">
        <f>IF(M$3=($D$4+$D$5),$D85-SUM($E85:L85),0)</f>
        <v>0</v>
      </c>
      <c r="N85" s="493">
        <f>IF(N$3=($D$4+$D$5),$D85-SUM($E85:M85),0)</f>
        <v>0</v>
      </c>
      <c r="O85" s="493">
        <f>IF(O$3=($D$4+$D$5),$D85-SUM($E85:N85),0)</f>
        <v>0</v>
      </c>
      <c r="P85" s="493">
        <f>IF(P$3=($D$4+$D$5),$D85-SUM($E85:O85),0)</f>
        <v>0</v>
      </c>
      <c r="Q85" s="493">
        <f>IF(Q$3=($D$4+$D$5),$D85-SUM($E85:P85),0)</f>
        <v>0</v>
      </c>
      <c r="R85" s="493">
        <f>IF(R$3=($D$4+$D$5),$D85-SUM($E85:Q85),0)</f>
        <v>0</v>
      </c>
      <c r="S85" s="493">
        <f>IF(S$3=($D$4+$D$5),$D85-SUM($E85:R85),0)</f>
        <v>0</v>
      </c>
      <c r="T85" s="493">
        <f>IF(T$3=($D$4+$D$5),$D85-SUM($E85:S85),0)</f>
        <v>0</v>
      </c>
      <c r="U85" s="493">
        <f>IF(U$3=($D$4+$D$5),$D85-SUM($E85:T85),0)</f>
        <v>0</v>
      </c>
      <c r="V85" s="493">
        <f>IF(V$3=($D$4+$D$5),$D85-SUM($E85:U85),0)</f>
        <v>0</v>
      </c>
      <c r="W85" s="493">
        <f>IF(W$3=($D$4+$D$5),$D85-SUM($E85:V85),0)</f>
        <v>0</v>
      </c>
      <c r="X85" s="493">
        <f>IF(X$3=($D$4+$D$5),$D85-SUM($E85:W85),0)</f>
        <v>0</v>
      </c>
      <c r="Y85" s="493">
        <f>IF(Y$3=($D$4+$D$5),$D85-SUM($E85:X85),0)</f>
        <v>0</v>
      </c>
      <c r="Z85" s="493">
        <f>IF(Z$3=($D$4+$D$5),$D85-SUM($E85:Y85),0)</f>
        <v>0</v>
      </c>
      <c r="AA85" s="493">
        <f>IF(AA$3=($D$4+$D$5),$D85-SUM($E85:Z85),0)</f>
        <v>0</v>
      </c>
      <c r="AB85" s="493">
        <f>IF(AB$3=($D$4+$D$5),$D85-SUM($E85:AA85),0)</f>
        <v>0</v>
      </c>
      <c r="AC85" s="493">
        <f>IF(AC$3=($D$4+$D$5),$D85-SUM($E85:AB85),0)</f>
        <v>0</v>
      </c>
      <c r="AE85" s="495">
        <f t="shared" si="28"/>
        <v>0</v>
      </c>
      <c r="AF85" s="261" t="str">
        <f t="shared" si="29"/>
        <v/>
      </c>
    </row>
    <row r="86" spans="1:32" s="350" customFormat="1" ht="12.75" customHeight="1" x14ac:dyDescent="0.2">
      <c r="A86" s="3"/>
      <c r="C86" s="215" t="s">
        <v>172</v>
      </c>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E86" s="494"/>
    </row>
    <row r="87" spans="1:32" s="3" customFormat="1" x14ac:dyDescent="0.2">
      <c r="C87" s="486">
        <f>+'Development Costs'!C91</f>
        <v>0</v>
      </c>
      <c r="D87" s="495">
        <f>+'Development Costs'!D91</f>
        <v>0</v>
      </c>
      <c r="E87" s="493">
        <f t="shared" ref="E87:E92" si="31">+D87</f>
        <v>0</v>
      </c>
      <c r="F87" s="493">
        <f t="shared" ref="F87:F92" si="32">IF($D$4=0,0,ROUND((D87-E87)/$D$4,0))</f>
        <v>0</v>
      </c>
      <c r="G87" s="493">
        <f>IF(G$3=($D$4+$D$5),$D87-SUM($E87:F87),0)</f>
        <v>0</v>
      </c>
      <c r="H87" s="493">
        <f>IF(H$3=($D$4+$D$5),$D87-SUM($E87:G87),0)</f>
        <v>0</v>
      </c>
      <c r="I87" s="493">
        <f>IF(I$3=($D$4+$D$5),$D87-SUM($E87:H87),0)</f>
        <v>0</v>
      </c>
      <c r="J87" s="493">
        <f>IF(J$3=($D$4+$D$5),$D87-SUM($E87:I87),0)</f>
        <v>0</v>
      </c>
      <c r="K87" s="493">
        <f>IF(K$3=($D$4+$D$5),$D87-SUM($E87:J87),0)</f>
        <v>0</v>
      </c>
      <c r="L87" s="493">
        <f>IF(L$3=($D$4+$D$5),$D87-SUM($E87:K87),0)</f>
        <v>0</v>
      </c>
      <c r="M87" s="493">
        <f>IF(M$3=($D$4+$D$5),$D87-SUM($E87:L87),0)</f>
        <v>0</v>
      </c>
      <c r="N87" s="493">
        <f>IF(N$3=($D$4+$D$5),$D87-SUM($E87:M87),0)</f>
        <v>0</v>
      </c>
      <c r="O87" s="493">
        <f>IF(O$3=($D$4+$D$5),$D87-SUM($E87:N87),0)</f>
        <v>0</v>
      </c>
      <c r="P87" s="493">
        <f>IF(P$3=($D$4+$D$5),$D87-SUM($E87:O87),0)</f>
        <v>0</v>
      </c>
      <c r="Q87" s="493">
        <f>IF(Q$3=($D$4+$D$5),$D87-SUM($E87:P87),0)</f>
        <v>0</v>
      </c>
      <c r="R87" s="493">
        <f>IF(R$3=($D$4+$D$5),$D87-SUM($E87:Q87),0)</f>
        <v>0</v>
      </c>
      <c r="S87" s="493">
        <f>IF(S$3=($D$4+$D$5),$D87-SUM($E87:R87),0)</f>
        <v>0</v>
      </c>
      <c r="T87" s="493">
        <f>IF(T$3=($D$4+$D$5),$D87-SUM($E87:S87),0)</f>
        <v>0</v>
      </c>
      <c r="U87" s="493">
        <f>IF(U$3=($D$4+$D$5),$D87-SUM($E87:T87),0)</f>
        <v>0</v>
      </c>
      <c r="V87" s="493">
        <f>IF(V$3=($D$4+$D$5),$D87-SUM($E87:U87),0)</f>
        <v>0</v>
      </c>
      <c r="W87" s="493">
        <f>IF(W$3=($D$4+$D$5),$D87-SUM($E87:V87),0)</f>
        <v>0</v>
      </c>
      <c r="X87" s="493">
        <f>IF(X$3=($D$4+$D$5),$D87-SUM($E87:W87),0)</f>
        <v>0</v>
      </c>
      <c r="Y87" s="493">
        <f>IF(Y$3=($D$4+$D$5),$D87-SUM($E87:X87),0)</f>
        <v>0</v>
      </c>
      <c r="Z87" s="493">
        <f>IF(Z$3=($D$4+$D$5),$D87-SUM($E87:Y87),0)</f>
        <v>0</v>
      </c>
      <c r="AA87" s="493">
        <f>IF(AA$3=($D$4+$D$5),$D87-SUM($E87:Z87),0)</f>
        <v>0</v>
      </c>
      <c r="AB87" s="493">
        <f>IF(AB$3=($D$4+$D$5),$D87-SUM($E87:AA87),0)</f>
        <v>0</v>
      </c>
      <c r="AC87" s="493">
        <f>IF(AC$3=($D$4+$D$5),$D87-SUM($E87:AB87),0)</f>
        <v>0</v>
      </c>
      <c r="AE87" s="495">
        <f t="shared" ref="AE87:AE92" si="33">SUM(E87:AC87)</f>
        <v>0</v>
      </c>
      <c r="AF87" s="261" t="str">
        <f t="shared" ref="AF87:AF92" si="34">IF(AE87&gt;D87,"ERROR: Total Amount Drawn Exceeds Total Available","")</f>
        <v/>
      </c>
    </row>
    <row r="88" spans="1:32" s="3" customFormat="1" x14ac:dyDescent="0.2">
      <c r="C88" s="486">
        <f>+'Development Costs'!C92</f>
        <v>0</v>
      </c>
      <c r="D88" s="495">
        <f>+'Development Costs'!D92</f>
        <v>0</v>
      </c>
      <c r="E88" s="493">
        <f t="shared" si="31"/>
        <v>0</v>
      </c>
      <c r="F88" s="493">
        <f t="shared" si="32"/>
        <v>0</v>
      </c>
      <c r="G88" s="493">
        <f>IF(G$3=($D$4+$D$5),$D88-SUM($E88:F88),0)</f>
        <v>0</v>
      </c>
      <c r="H88" s="493">
        <f>IF(H$3=($D$4+$D$5),$D88-SUM($E88:G88),0)</f>
        <v>0</v>
      </c>
      <c r="I88" s="493">
        <f>IF(I$3=($D$4+$D$5),$D88-SUM($E88:H88),0)</f>
        <v>0</v>
      </c>
      <c r="J88" s="493">
        <f>IF(J$3=($D$4+$D$5),$D88-SUM($E88:I88),0)</f>
        <v>0</v>
      </c>
      <c r="K88" s="493">
        <f>IF(K$3=($D$4+$D$5),$D88-SUM($E88:J88),0)</f>
        <v>0</v>
      </c>
      <c r="L88" s="493">
        <f>IF(L$3=($D$4+$D$5),$D88-SUM($E88:K88),0)</f>
        <v>0</v>
      </c>
      <c r="M88" s="493">
        <f>IF(M$3=($D$4+$D$5),$D88-SUM($E88:L88),0)</f>
        <v>0</v>
      </c>
      <c r="N88" s="493">
        <f>IF(N$3=($D$4+$D$5),$D88-SUM($E88:M88),0)</f>
        <v>0</v>
      </c>
      <c r="O88" s="493">
        <f>IF(O$3=($D$4+$D$5),$D88-SUM($E88:N88),0)</f>
        <v>0</v>
      </c>
      <c r="P88" s="493">
        <f>IF(P$3=($D$4+$D$5),$D88-SUM($E88:O88),0)</f>
        <v>0</v>
      </c>
      <c r="Q88" s="493">
        <f>IF(Q$3=($D$4+$D$5),$D88-SUM($E88:P88),0)</f>
        <v>0</v>
      </c>
      <c r="R88" s="493">
        <f>IF(R$3=($D$4+$D$5),$D88-SUM($E88:Q88),0)</f>
        <v>0</v>
      </c>
      <c r="S88" s="493">
        <f>IF(S$3=($D$4+$D$5),$D88-SUM($E88:R88),0)</f>
        <v>0</v>
      </c>
      <c r="T88" s="493">
        <f>IF(T$3=($D$4+$D$5),$D88-SUM($E88:S88),0)</f>
        <v>0</v>
      </c>
      <c r="U88" s="493">
        <f>IF(U$3=($D$4+$D$5),$D88-SUM($E88:T88),0)</f>
        <v>0</v>
      </c>
      <c r="V88" s="493">
        <f>IF(V$3=($D$4+$D$5),$D88-SUM($E88:U88),0)</f>
        <v>0</v>
      </c>
      <c r="W88" s="493">
        <f>IF(W$3=($D$4+$D$5),$D88-SUM($E88:V88),0)</f>
        <v>0</v>
      </c>
      <c r="X88" s="493">
        <f>IF(X$3=($D$4+$D$5),$D88-SUM($E88:W88),0)</f>
        <v>0</v>
      </c>
      <c r="Y88" s="493">
        <f>IF(Y$3=($D$4+$D$5),$D88-SUM($E88:X88),0)</f>
        <v>0</v>
      </c>
      <c r="Z88" s="493">
        <f>IF(Z$3=($D$4+$D$5),$D88-SUM($E88:Y88),0)</f>
        <v>0</v>
      </c>
      <c r="AA88" s="493">
        <f>IF(AA$3=($D$4+$D$5),$D88-SUM($E88:Z88),0)</f>
        <v>0</v>
      </c>
      <c r="AB88" s="493">
        <f>IF(AB$3=($D$4+$D$5),$D88-SUM($E88:AA88),0)</f>
        <v>0</v>
      </c>
      <c r="AC88" s="493">
        <f>IF(AC$3=($D$4+$D$5),$D88-SUM($E88:AB88),0)</f>
        <v>0</v>
      </c>
      <c r="AE88" s="495">
        <f t="shared" si="33"/>
        <v>0</v>
      </c>
      <c r="AF88" s="261" t="str">
        <f t="shared" si="34"/>
        <v/>
      </c>
    </row>
    <row r="89" spans="1:32" s="3" customFormat="1" x14ac:dyDescent="0.2">
      <c r="C89" s="486">
        <f>+'Development Costs'!C93</f>
        <v>0</v>
      </c>
      <c r="D89" s="495">
        <f>+'Development Costs'!D93</f>
        <v>0</v>
      </c>
      <c r="E89" s="493">
        <f t="shared" si="31"/>
        <v>0</v>
      </c>
      <c r="F89" s="493">
        <f t="shared" si="32"/>
        <v>0</v>
      </c>
      <c r="G89" s="493">
        <f>IF(G$3=($D$4+$D$5),$D89-SUM($E89:F89),0)</f>
        <v>0</v>
      </c>
      <c r="H89" s="493">
        <f>IF(H$3=($D$4+$D$5),$D89-SUM($E89:G89),0)</f>
        <v>0</v>
      </c>
      <c r="I89" s="493">
        <f>IF(I$3=($D$4+$D$5),$D89-SUM($E89:H89),0)</f>
        <v>0</v>
      </c>
      <c r="J89" s="493">
        <f>IF(J$3=($D$4+$D$5),$D89-SUM($E89:I89),0)</f>
        <v>0</v>
      </c>
      <c r="K89" s="493">
        <f>IF(K$3=($D$4+$D$5),$D89-SUM($E89:J89),0)</f>
        <v>0</v>
      </c>
      <c r="L89" s="493">
        <f>IF(L$3=($D$4+$D$5),$D89-SUM($E89:K89),0)</f>
        <v>0</v>
      </c>
      <c r="M89" s="493">
        <f>IF(M$3=($D$4+$D$5),$D89-SUM($E89:L89),0)</f>
        <v>0</v>
      </c>
      <c r="N89" s="493">
        <f>IF(N$3=($D$4+$D$5),$D89-SUM($E89:M89),0)</f>
        <v>0</v>
      </c>
      <c r="O89" s="493">
        <f>IF(O$3=($D$4+$D$5),$D89-SUM($E89:N89),0)</f>
        <v>0</v>
      </c>
      <c r="P89" s="493">
        <f>IF(P$3=($D$4+$D$5),$D89-SUM($E89:O89),0)</f>
        <v>0</v>
      </c>
      <c r="Q89" s="493">
        <f>IF(Q$3=($D$4+$D$5),$D89-SUM($E89:P89),0)</f>
        <v>0</v>
      </c>
      <c r="R89" s="493">
        <f>IF(R$3=($D$4+$D$5),$D89-SUM($E89:Q89),0)</f>
        <v>0</v>
      </c>
      <c r="S89" s="493">
        <f>IF(S$3=($D$4+$D$5),$D89-SUM($E89:R89),0)</f>
        <v>0</v>
      </c>
      <c r="T89" s="493">
        <f>IF(T$3=($D$4+$D$5),$D89-SUM($E89:S89),0)</f>
        <v>0</v>
      </c>
      <c r="U89" s="493">
        <f>IF(U$3=($D$4+$D$5),$D89-SUM($E89:T89),0)</f>
        <v>0</v>
      </c>
      <c r="V89" s="493">
        <f>IF(V$3=($D$4+$D$5),$D89-SUM($E89:U89),0)</f>
        <v>0</v>
      </c>
      <c r="W89" s="493">
        <f>IF(W$3=($D$4+$D$5),$D89-SUM($E89:V89),0)</f>
        <v>0</v>
      </c>
      <c r="X89" s="493">
        <f>IF(X$3=($D$4+$D$5),$D89-SUM($E89:W89),0)</f>
        <v>0</v>
      </c>
      <c r="Y89" s="493">
        <f>IF(Y$3=($D$4+$D$5),$D89-SUM($E89:X89),0)</f>
        <v>0</v>
      </c>
      <c r="Z89" s="493">
        <f>IF(Z$3=($D$4+$D$5),$D89-SUM($E89:Y89),0)</f>
        <v>0</v>
      </c>
      <c r="AA89" s="493">
        <f>IF(AA$3=($D$4+$D$5),$D89-SUM($E89:Z89),0)</f>
        <v>0</v>
      </c>
      <c r="AB89" s="493">
        <f>IF(AB$3=($D$4+$D$5),$D89-SUM($E89:AA89),0)</f>
        <v>0</v>
      </c>
      <c r="AC89" s="493">
        <f>IF(AC$3=($D$4+$D$5),$D89-SUM($E89:AB89),0)</f>
        <v>0</v>
      </c>
      <c r="AE89" s="495">
        <f t="shared" si="33"/>
        <v>0</v>
      </c>
      <c r="AF89" s="261" t="str">
        <f t="shared" si="34"/>
        <v/>
      </c>
    </row>
    <row r="90" spans="1:32" s="3" customFormat="1" x14ac:dyDescent="0.2">
      <c r="C90" s="486">
        <f>+'Development Costs'!C94</f>
        <v>0</v>
      </c>
      <c r="D90" s="495">
        <f>+'Development Costs'!D94</f>
        <v>0</v>
      </c>
      <c r="E90" s="493">
        <f t="shared" si="31"/>
        <v>0</v>
      </c>
      <c r="F90" s="493">
        <f t="shared" si="32"/>
        <v>0</v>
      </c>
      <c r="G90" s="493">
        <f>IF(G$3=($D$4+$D$5),$D90-SUM($E90:F90),0)</f>
        <v>0</v>
      </c>
      <c r="H90" s="493">
        <f>IF(H$3=($D$4+$D$5),$D90-SUM($E90:G90),0)</f>
        <v>0</v>
      </c>
      <c r="I90" s="493">
        <f>IF(I$3=($D$4+$D$5),$D90-SUM($E90:H90),0)</f>
        <v>0</v>
      </c>
      <c r="J90" s="493">
        <f>IF(J$3=($D$4+$D$5),$D90-SUM($E90:I90),0)</f>
        <v>0</v>
      </c>
      <c r="K90" s="493">
        <f>IF(K$3=($D$4+$D$5),$D90-SUM($E90:J90),0)</f>
        <v>0</v>
      </c>
      <c r="L90" s="493">
        <f>IF(L$3=($D$4+$D$5),$D90-SUM($E90:K90),0)</f>
        <v>0</v>
      </c>
      <c r="M90" s="493">
        <f>IF(M$3=($D$4+$D$5),$D90-SUM($E90:L90),0)</f>
        <v>0</v>
      </c>
      <c r="N90" s="493">
        <f>IF(N$3=($D$4+$D$5),$D90-SUM($E90:M90),0)</f>
        <v>0</v>
      </c>
      <c r="O90" s="493">
        <f>IF(O$3=($D$4+$D$5),$D90-SUM($E90:N90),0)</f>
        <v>0</v>
      </c>
      <c r="P90" s="493">
        <f>IF(P$3=($D$4+$D$5),$D90-SUM($E90:O90),0)</f>
        <v>0</v>
      </c>
      <c r="Q90" s="493">
        <f>IF(Q$3=($D$4+$D$5),$D90-SUM($E90:P90),0)</f>
        <v>0</v>
      </c>
      <c r="R90" s="493">
        <f>IF(R$3=($D$4+$D$5),$D90-SUM($E90:Q90),0)</f>
        <v>0</v>
      </c>
      <c r="S90" s="493">
        <f>IF(S$3=($D$4+$D$5),$D90-SUM($E90:R90),0)</f>
        <v>0</v>
      </c>
      <c r="T90" s="493">
        <f>IF(T$3=($D$4+$D$5),$D90-SUM($E90:S90),0)</f>
        <v>0</v>
      </c>
      <c r="U90" s="493">
        <f>IF(U$3=($D$4+$D$5),$D90-SUM($E90:T90),0)</f>
        <v>0</v>
      </c>
      <c r="V90" s="493">
        <f>IF(V$3=($D$4+$D$5),$D90-SUM($E90:U90),0)</f>
        <v>0</v>
      </c>
      <c r="W90" s="493">
        <f>IF(W$3=($D$4+$D$5),$D90-SUM($E90:V90),0)</f>
        <v>0</v>
      </c>
      <c r="X90" s="493">
        <f>IF(X$3=($D$4+$D$5),$D90-SUM($E90:W90),0)</f>
        <v>0</v>
      </c>
      <c r="Y90" s="493">
        <f>IF(Y$3=($D$4+$D$5),$D90-SUM($E90:X90),0)</f>
        <v>0</v>
      </c>
      <c r="Z90" s="493">
        <f>IF(Z$3=($D$4+$D$5),$D90-SUM($E90:Y90),0)</f>
        <v>0</v>
      </c>
      <c r="AA90" s="493">
        <f>IF(AA$3=($D$4+$D$5),$D90-SUM($E90:Z90),0)</f>
        <v>0</v>
      </c>
      <c r="AB90" s="493">
        <f>IF(AB$3=($D$4+$D$5),$D90-SUM($E90:AA90),0)</f>
        <v>0</v>
      </c>
      <c r="AC90" s="493">
        <f>IF(AC$3=($D$4+$D$5),$D90-SUM($E90:AB90),0)</f>
        <v>0</v>
      </c>
      <c r="AE90" s="495">
        <f t="shared" si="33"/>
        <v>0</v>
      </c>
      <c r="AF90" s="261" t="str">
        <f t="shared" si="34"/>
        <v/>
      </c>
    </row>
    <row r="91" spans="1:32" s="3" customFormat="1" x14ac:dyDescent="0.2">
      <c r="C91" s="486">
        <f>+'Development Costs'!C95</f>
        <v>0</v>
      </c>
      <c r="D91" s="495">
        <f>+'Development Costs'!D95</f>
        <v>0</v>
      </c>
      <c r="E91" s="493">
        <f t="shared" si="31"/>
        <v>0</v>
      </c>
      <c r="F91" s="493">
        <f t="shared" si="32"/>
        <v>0</v>
      </c>
      <c r="G91" s="493">
        <f>IF(G$3=($D$4+$D$5),$D91-SUM($E91:F91),0)</f>
        <v>0</v>
      </c>
      <c r="H91" s="493">
        <f>IF(H$3=($D$4+$D$5),$D91-SUM($E91:G91),0)</f>
        <v>0</v>
      </c>
      <c r="I91" s="493">
        <f>IF(I$3=($D$4+$D$5),$D91-SUM($E91:H91),0)</f>
        <v>0</v>
      </c>
      <c r="J91" s="493">
        <f>IF(J$3=($D$4+$D$5),$D91-SUM($E91:I91),0)</f>
        <v>0</v>
      </c>
      <c r="K91" s="493">
        <f>IF(K$3=($D$4+$D$5),$D91-SUM($E91:J91),0)</f>
        <v>0</v>
      </c>
      <c r="L91" s="493">
        <f>IF(L$3=($D$4+$D$5),$D91-SUM($E91:K91),0)</f>
        <v>0</v>
      </c>
      <c r="M91" s="493">
        <f>IF(M$3=($D$4+$D$5),$D91-SUM($E91:L91),0)</f>
        <v>0</v>
      </c>
      <c r="N91" s="493">
        <f>IF(N$3=($D$4+$D$5),$D91-SUM($E91:M91),0)</f>
        <v>0</v>
      </c>
      <c r="O91" s="493">
        <f>IF(O$3=($D$4+$D$5),$D91-SUM($E91:N91),0)</f>
        <v>0</v>
      </c>
      <c r="P91" s="493">
        <f>IF(P$3=($D$4+$D$5),$D91-SUM($E91:O91),0)</f>
        <v>0</v>
      </c>
      <c r="Q91" s="493">
        <f>IF(Q$3=($D$4+$D$5),$D91-SUM($E91:P91),0)</f>
        <v>0</v>
      </c>
      <c r="R91" s="493">
        <f>IF(R$3=($D$4+$D$5),$D91-SUM($E91:Q91),0)</f>
        <v>0</v>
      </c>
      <c r="S91" s="493">
        <f>IF(S$3=($D$4+$D$5),$D91-SUM($E91:R91),0)</f>
        <v>0</v>
      </c>
      <c r="T91" s="493">
        <f>IF(T$3=($D$4+$D$5),$D91-SUM($E91:S91),0)</f>
        <v>0</v>
      </c>
      <c r="U91" s="493">
        <f>IF(U$3=($D$4+$D$5),$D91-SUM($E91:T91),0)</f>
        <v>0</v>
      </c>
      <c r="V91" s="493">
        <f>IF(V$3=($D$4+$D$5),$D91-SUM($E91:U91),0)</f>
        <v>0</v>
      </c>
      <c r="W91" s="493">
        <f>IF(W$3=($D$4+$D$5),$D91-SUM($E91:V91),0)</f>
        <v>0</v>
      </c>
      <c r="X91" s="493">
        <f>IF(X$3=($D$4+$D$5),$D91-SUM($E91:W91),0)</f>
        <v>0</v>
      </c>
      <c r="Y91" s="493">
        <f>IF(Y$3=($D$4+$D$5),$D91-SUM($E91:X91),0)</f>
        <v>0</v>
      </c>
      <c r="Z91" s="493">
        <f>IF(Z$3=($D$4+$D$5),$D91-SUM($E91:Y91),0)</f>
        <v>0</v>
      </c>
      <c r="AA91" s="493">
        <f>IF(AA$3=($D$4+$D$5),$D91-SUM($E91:Z91),0)</f>
        <v>0</v>
      </c>
      <c r="AB91" s="493">
        <f>IF(AB$3=($D$4+$D$5),$D91-SUM($E91:AA91),0)</f>
        <v>0</v>
      </c>
      <c r="AC91" s="493">
        <f>IF(AC$3=($D$4+$D$5),$D91-SUM($E91:AB91),0)</f>
        <v>0</v>
      </c>
      <c r="AE91" s="495">
        <f t="shared" si="33"/>
        <v>0</v>
      </c>
      <c r="AF91" s="261" t="str">
        <f t="shared" si="34"/>
        <v/>
      </c>
    </row>
    <row r="92" spans="1:32" s="3" customFormat="1" x14ac:dyDescent="0.2">
      <c r="C92" s="486">
        <f>+'Development Costs'!C96</f>
        <v>0</v>
      </c>
      <c r="D92" s="495">
        <f>+'Development Costs'!D96</f>
        <v>0</v>
      </c>
      <c r="E92" s="493">
        <f t="shared" si="31"/>
        <v>0</v>
      </c>
      <c r="F92" s="493">
        <f t="shared" si="32"/>
        <v>0</v>
      </c>
      <c r="G92" s="493">
        <f>IF(G$3=($D$4+$D$5),$D92-SUM($E92:F92),0)</f>
        <v>0</v>
      </c>
      <c r="H92" s="493">
        <f>IF(H$3=($D$4+$D$5),$D92-SUM($E92:G92),0)</f>
        <v>0</v>
      </c>
      <c r="I92" s="493">
        <f>IF(I$3=($D$4+$D$5),$D92-SUM($E92:H92),0)</f>
        <v>0</v>
      </c>
      <c r="J92" s="493">
        <f>IF(J$3=($D$4+$D$5),$D92-SUM($E92:I92),0)</f>
        <v>0</v>
      </c>
      <c r="K92" s="493">
        <f>IF(K$3=($D$4+$D$5),$D92-SUM($E92:J92),0)</f>
        <v>0</v>
      </c>
      <c r="L92" s="493">
        <f>IF(L$3=($D$4+$D$5),$D92-SUM($E92:K92),0)</f>
        <v>0</v>
      </c>
      <c r="M92" s="493">
        <f>IF(M$3=($D$4+$D$5),$D92-SUM($E92:L92),0)</f>
        <v>0</v>
      </c>
      <c r="N92" s="493">
        <f>IF(N$3=($D$4+$D$5),$D92-SUM($E92:M92),0)</f>
        <v>0</v>
      </c>
      <c r="O92" s="493">
        <f>IF(O$3=($D$4+$D$5),$D92-SUM($E92:N92),0)</f>
        <v>0</v>
      </c>
      <c r="P92" s="493">
        <f>IF(P$3=($D$4+$D$5),$D92-SUM($E92:O92),0)</f>
        <v>0</v>
      </c>
      <c r="Q92" s="493">
        <f>IF(Q$3=($D$4+$D$5),$D92-SUM($E92:P92),0)</f>
        <v>0</v>
      </c>
      <c r="R92" s="493">
        <f>IF(R$3=($D$4+$D$5),$D92-SUM($E92:Q92),0)</f>
        <v>0</v>
      </c>
      <c r="S92" s="493">
        <f>IF(S$3=($D$4+$D$5),$D92-SUM($E92:R92),0)</f>
        <v>0</v>
      </c>
      <c r="T92" s="493">
        <f>IF(T$3=($D$4+$D$5),$D92-SUM($E92:S92),0)</f>
        <v>0</v>
      </c>
      <c r="U92" s="493">
        <f>IF(U$3=($D$4+$D$5),$D92-SUM($E92:T92),0)</f>
        <v>0</v>
      </c>
      <c r="V92" s="493">
        <f>IF(V$3=($D$4+$D$5),$D92-SUM($E92:U92),0)</f>
        <v>0</v>
      </c>
      <c r="W92" s="493">
        <f>IF(W$3=($D$4+$D$5),$D92-SUM($E92:V92),0)</f>
        <v>0</v>
      </c>
      <c r="X92" s="493">
        <f>IF(X$3=($D$4+$D$5),$D92-SUM($E92:W92),0)</f>
        <v>0</v>
      </c>
      <c r="Y92" s="493">
        <f>IF(Y$3=($D$4+$D$5),$D92-SUM($E92:X92),0)</f>
        <v>0</v>
      </c>
      <c r="Z92" s="493">
        <f>IF(Z$3=($D$4+$D$5),$D92-SUM($E92:Y92),0)</f>
        <v>0</v>
      </c>
      <c r="AA92" s="493">
        <f>IF(AA$3=($D$4+$D$5),$D92-SUM($E92:Z92),0)</f>
        <v>0</v>
      </c>
      <c r="AB92" s="493">
        <f>IF(AB$3=($D$4+$D$5),$D92-SUM($E92:AA92),0)</f>
        <v>0</v>
      </c>
      <c r="AC92" s="493">
        <f>IF(AC$3=($D$4+$D$5),$D92-SUM($E92:AB92),0)</f>
        <v>0</v>
      </c>
      <c r="AE92" s="495">
        <f t="shared" si="33"/>
        <v>0</v>
      </c>
      <c r="AF92" s="261" t="str">
        <f t="shared" si="34"/>
        <v/>
      </c>
    </row>
    <row r="93" spans="1:32" x14ac:dyDescent="0.2">
      <c r="C93" s="44"/>
      <c r="D93" s="496"/>
      <c r="E93" s="496"/>
      <c r="F93" s="496"/>
      <c r="G93" s="496"/>
      <c r="H93" s="496"/>
      <c r="I93" s="496"/>
      <c r="J93" s="496"/>
      <c r="K93" s="496"/>
      <c r="L93" s="496"/>
      <c r="M93" s="496"/>
      <c r="N93" s="496"/>
      <c r="O93" s="496"/>
      <c r="P93" s="496"/>
      <c r="Q93" s="496"/>
      <c r="R93" s="496"/>
      <c r="S93" s="496"/>
      <c r="T93" s="496"/>
      <c r="U93" s="496"/>
      <c r="V93" s="496"/>
      <c r="W93" s="496"/>
      <c r="X93" s="496"/>
      <c r="Y93" s="496"/>
      <c r="Z93" s="496"/>
      <c r="AA93" s="496"/>
      <c r="AB93" s="496"/>
      <c r="AC93" s="496"/>
      <c r="AE93" s="496"/>
    </row>
    <row r="94" spans="1:32" ht="15" x14ac:dyDescent="0.2">
      <c r="C94" s="86" t="s">
        <v>525</v>
      </c>
      <c r="D94" s="497">
        <f t="shared" ref="D94:AC94" si="35">SUM(D9:D93)</f>
        <v>1918000</v>
      </c>
      <c r="E94" s="497">
        <f t="shared" si="35"/>
        <v>490000</v>
      </c>
      <c r="F94" s="497">
        <f t="shared" si="35"/>
        <v>0</v>
      </c>
      <c r="G94" s="497">
        <f t="shared" si="35"/>
        <v>0</v>
      </c>
      <c r="H94" s="497">
        <f t="shared" si="35"/>
        <v>0</v>
      </c>
      <c r="I94" s="497">
        <f t="shared" si="35"/>
        <v>0</v>
      </c>
      <c r="J94" s="497">
        <f t="shared" si="35"/>
        <v>0</v>
      </c>
      <c r="K94" s="497">
        <f t="shared" si="35"/>
        <v>0</v>
      </c>
      <c r="L94" s="497">
        <f t="shared" si="35"/>
        <v>0</v>
      </c>
      <c r="M94" s="497">
        <f t="shared" si="35"/>
        <v>0</v>
      </c>
      <c r="N94" s="497">
        <f t="shared" si="35"/>
        <v>0</v>
      </c>
      <c r="O94" s="497">
        <f t="shared" si="35"/>
        <v>0</v>
      </c>
      <c r="P94" s="497">
        <f t="shared" si="35"/>
        <v>0</v>
      </c>
      <c r="Q94" s="497">
        <f t="shared" si="35"/>
        <v>0</v>
      </c>
      <c r="R94" s="497">
        <f t="shared" si="35"/>
        <v>0</v>
      </c>
      <c r="S94" s="497">
        <f t="shared" si="35"/>
        <v>0</v>
      </c>
      <c r="T94" s="497">
        <f t="shared" si="35"/>
        <v>0</v>
      </c>
      <c r="U94" s="497">
        <f t="shared" si="35"/>
        <v>0</v>
      </c>
      <c r="V94" s="497">
        <f t="shared" si="35"/>
        <v>0</v>
      </c>
      <c r="W94" s="497">
        <f t="shared" si="35"/>
        <v>0</v>
      </c>
      <c r="X94" s="497">
        <f t="shared" si="35"/>
        <v>0</v>
      </c>
      <c r="Y94" s="497">
        <f t="shared" si="35"/>
        <v>0</v>
      </c>
      <c r="Z94" s="497">
        <f t="shared" si="35"/>
        <v>0</v>
      </c>
      <c r="AA94" s="497">
        <f t="shared" si="35"/>
        <v>0</v>
      </c>
      <c r="AB94" s="497">
        <f t="shared" si="35"/>
        <v>0</v>
      </c>
      <c r="AC94" s="497">
        <f t="shared" si="35"/>
        <v>0</v>
      </c>
      <c r="AE94" s="505">
        <f>SUM(E94:AC94)</f>
        <v>490000</v>
      </c>
      <c r="AF94" s="261" t="str">
        <f>IF(AE94&gt;D94,"ERROR: Total Amount Drawn Exceeds Total Available","")</f>
        <v/>
      </c>
    </row>
    <row r="95" spans="1:32" x14ac:dyDescent="0.2">
      <c r="A95" s="513"/>
      <c r="C95" s="44"/>
      <c r="D95" s="496"/>
      <c r="E95" s="79"/>
      <c r="F95" s="79"/>
      <c r="G95" s="80"/>
      <c r="H95" s="80"/>
      <c r="I95" s="80"/>
      <c r="J95" s="80"/>
      <c r="K95" s="80"/>
      <c r="L95" s="80"/>
      <c r="M95" s="80"/>
      <c r="N95" s="80"/>
      <c r="O95" s="80"/>
      <c r="P95" s="80"/>
      <c r="Q95" s="80"/>
      <c r="R95" s="80"/>
      <c r="S95" s="80"/>
      <c r="T95" s="80"/>
      <c r="U95" s="80"/>
      <c r="V95" s="80"/>
      <c r="W95" s="80"/>
      <c r="X95" s="80"/>
      <c r="Y95" s="80"/>
      <c r="Z95" s="80"/>
      <c r="AA95" s="80"/>
      <c r="AB95" s="80"/>
      <c r="AC95" s="80"/>
      <c r="AE95" s="496"/>
    </row>
    <row r="96" spans="1:32" ht="15" x14ac:dyDescent="0.2">
      <c r="C96" s="86" t="s">
        <v>495</v>
      </c>
      <c r="D96" s="497">
        <f>+D94-D54</f>
        <v>1918000</v>
      </c>
      <c r="E96" s="497">
        <f t="shared" ref="E96:AC96" si="36">+E94-E54</f>
        <v>490000</v>
      </c>
      <c r="F96" s="497">
        <f t="shared" si="36"/>
        <v>0</v>
      </c>
      <c r="G96" s="497">
        <f t="shared" si="36"/>
        <v>0</v>
      </c>
      <c r="H96" s="497">
        <f t="shared" si="36"/>
        <v>0</v>
      </c>
      <c r="I96" s="497">
        <f t="shared" si="36"/>
        <v>0</v>
      </c>
      <c r="J96" s="497">
        <f t="shared" si="36"/>
        <v>0</v>
      </c>
      <c r="K96" s="497">
        <f t="shared" si="36"/>
        <v>0</v>
      </c>
      <c r="L96" s="497">
        <f t="shared" si="36"/>
        <v>0</v>
      </c>
      <c r="M96" s="497">
        <f t="shared" si="36"/>
        <v>0</v>
      </c>
      <c r="N96" s="497">
        <f t="shared" si="36"/>
        <v>0</v>
      </c>
      <c r="O96" s="497">
        <f t="shared" si="36"/>
        <v>0</v>
      </c>
      <c r="P96" s="497">
        <f t="shared" si="36"/>
        <v>0</v>
      </c>
      <c r="Q96" s="497">
        <f t="shared" si="36"/>
        <v>0</v>
      </c>
      <c r="R96" s="497">
        <f t="shared" si="36"/>
        <v>0</v>
      </c>
      <c r="S96" s="497">
        <f t="shared" si="36"/>
        <v>0</v>
      </c>
      <c r="T96" s="497">
        <f t="shared" si="36"/>
        <v>0</v>
      </c>
      <c r="U96" s="497">
        <f t="shared" si="36"/>
        <v>0</v>
      </c>
      <c r="V96" s="497">
        <f t="shared" si="36"/>
        <v>0</v>
      </c>
      <c r="W96" s="497">
        <f t="shared" si="36"/>
        <v>0</v>
      </c>
      <c r="X96" s="497">
        <f t="shared" si="36"/>
        <v>0</v>
      </c>
      <c r="Y96" s="497">
        <f t="shared" si="36"/>
        <v>0</v>
      </c>
      <c r="Z96" s="497">
        <f t="shared" si="36"/>
        <v>0</v>
      </c>
      <c r="AA96" s="497">
        <f t="shared" si="36"/>
        <v>0</v>
      </c>
      <c r="AB96" s="497">
        <f t="shared" si="36"/>
        <v>0</v>
      </c>
      <c r="AC96" s="497">
        <f t="shared" si="36"/>
        <v>0</v>
      </c>
      <c r="AE96" s="505">
        <f>SUM(E96:AC96)</f>
        <v>490000</v>
      </c>
      <c r="AF96" s="261" t="str">
        <f>IF(AE96&gt;D96,"ERROR: Total Amount Drawn Exceeds Total Available","")</f>
        <v/>
      </c>
    </row>
    <row r="97" spans="1:32" x14ac:dyDescent="0.2">
      <c r="A97" s="513"/>
      <c r="C97" s="44"/>
      <c r="D97" s="496"/>
      <c r="E97" s="79"/>
      <c r="F97" s="79"/>
      <c r="G97" s="80"/>
      <c r="H97" s="80"/>
      <c r="I97" s="80"/>
      <c r="J97" s="80"/>
      <c r="K97" s="80"/>
      <c r="L97" s="80"/>
      <c r="M97" s="80"/>
      <c r="N97" s="80"/>
      <c r="O97" s="80"/>
      <c r="P97" s="80"/>
      <c r="Q97" s="80"/>
      <c r="R97" s="80"/>
      <c r="S97" s="80"/>
      <c r="T97" s="80"/>
      <c r="U97" s="80"/>
      <c r="V97" s="80"/>
      <c r="W97" s="80"/>
      <c r="X97" s="80"/>
      <c r="Y97" s="80"/>
      <c r="Z97" s="80"/>
      <c r="AA97" s="80"/>
      <c r="AB97" s="80"/>
      <c r="AC97" s="80"/>
      <c r="AE97" s="496"/>
    </row>
    <row r="98" spans="1:32" s="3" customFormat="1" ht="41.25" customHeight="1" x14ac:dyDescent="0.2">
      <c r="A98" s="485" t="s">
        <v>424</v>
      </c>
      <c r="C98" s="53" t="s">
        <v>452</v>
      </c>
      <c r="D98" s="491" t="s">
        <v>5</v>
      </c>
      <c r="E98" s="491" t="s">
        <v>488</v>
      </c>
      <c r="F98" s="491" t="str">
        <f t="shared" ref="F98:AC98" si="37">"Month "&amp;F3</f>
        <v>Month 1</v>
      </c>
      <c r="G98" s="491" t="str">
        <f t="shared" si="37"/>
        <v>Month 2</v>
      </c>
      <c r="H98" s="491" t="str">
        <f t="shared" si="37"/>
        <v>Month 3</v>
      </c>
      <c r="I98" s="491" t="str">
        <f t="shared" si="37"/>
        <v>Month 4</v>
      </c>
      <c r="J98" s="491" t="str">
        <f t="shared" si="37"/>
        <v>Month 5</v>
      </c>
      <c r="K98" s="491" t="str">
        <f t="shared" si="37"/>
        <v>Month 6</v>
      </c>
      <c r="L98" s="491" t="str">
        <f t="shared" si="37"/>
        <v>Month 7</v>
      </c>
      <c r="M98" s="491" t="str">
        <f t="shared" si="37"/>
        <v>Month 8</v>
      </c>
      <c r="N98" s="491" t="str">
        <f t="shared" si="37"/>
        <v>Month 9</v>
      </c>
      <c r="O98" s="491" t="str">
        <f t="shared" si="37"/>
        <v>Month 10</v>
      </c>
      <c r="P98" s="491" t="str">
        <f t="shared" si="37"/>
        <v>Month 11</v>
      </c>
      <c r="Q98" s="491" t="str">
        <f t="shared" si="37"/>
        <v>Month 12</v>
      </c>
      <c r="R98" s="491" t="str">
        <f t="shared" si="37"/>
        <v>Month 13</v>
      </c>
      <c r="S98" s="491" t="str">
        <f t="shared" si="37"/>
        <v>Month 14</v>
      </c>
      <c r="T98" s="491" t="str">
        <f t="shared" si="37"/>
        <v>Month 15</v>
      </c>
      <c r="U98" s="491" t="str">
        <f t="shared" si="37"/>
        <v>Month 16</v>
      </c>
      <c r="V98" s="491" t="str">
        <f t="shared" si="37"/>
        <v>Month 17</v>
      </c>
      <c r="W98" s="491" t="str">
        <f t="shared" si="37"/>
        <v>Month 18</v>
      </c>
      <c r="X98" s="491" t="str">
        <f t="shared" si="37"/>
        <v>Month 19</v>
      </c>
      <c r="Y98" s="491" t="str">
        <f t="shared" si="37"/>
        <v>Month 20</v>
      </c>
      <c r="Z98" s="491" t="str">
        <f t="shared" si="37"/>
        <v>Month 21</v>
      </c>
      <c r="AA98" s="491" t="str">
        <f t="shared" si="37"/>
        <v>Month 22</v>
      </c>
      <c r="AB98" s="491" t="str">
        <f t="shared" si="37"/>
        <v>Month 23</v>
      </c>
      <c r="AC98" s="491" t="str">
        <f t="shared" si="37"/>
        <v>Month 24</v>
      </c>
      <c r="AE98" s="491" t="s">
        <v>506</v>
      </c>
    </row>
    <row r="99" spans="1:32" s="3" customFormat="1" x14ac:dyDescent="0.2">
      <c r="C99" s="486" t="str">
        <f>+'Sources and Uses'!C8</f>
        <v>First Mortgage Loan (proposed amount)</v>
      </c>
      <c r="D99" s="495">
        <f>+'Sources and Uses'!D8</f>
        <v>150000</v>
      </c>
      <c r="E99" s="493">
        <v>0</v>
      </c>
      <c r="F99" s="493">
        <f t="shared" ref="F99:F113" si="38">IF(F$3=($D$4+$D$5),$D99,0)</f>
        <v>0</v>
      </c>
      <c r="G99" s="493">
        <f t="shared" ref="G99:AC110" si="39">IF(G$3=($D$4+$D$5),$D99,0)</f>
        <v>0</v>
      </c>
      <c r="H99" s="493">
        <f t="shared" si="39"/>
        <v>0</v>
      </c>
      <c r="I99" s="493">
        <f t="shared" si="39"/>
        <v>0</v>
      </c>
      <c r="J99" s="493">
        <f t="shared" si="39"/>
        <v>0</v>
      </c>
      <c r="K99" s="493">
        <f t="shared" si="39"/>
        <v>0</v>
      </c>
      <c r="L99" s="493">
        <f t="shared" si="39"/>
        <v>0</v>
      </c>
      <c r="M99" s="493">
        <f t="shared" si="39"/>
        <v>0</v>
      </c>
      <c r="N99" s="493">
        <f t="shared" si="39"/>
        <v>0</v>
      </c>
      <c r="O99" s="493">
        <f t="shared" si="39"/>
        <v>0</v>
      </c>
      <c r="P99" s="493">
        <f t="shared" si="39"/>
        <v>0</v>
      </c>
      <c r="Q99" s="493">
        <f t="shared" si="39"/>
        <v>0</v>
      </c>
      <c r="R99" s="493">
        <f t="shared" si="39"/>
        <v>0</v>
      </c>
      <c r="S99" s="493">
        <f t="shared" si="39"/>
        <v>0</v>
      </c>
      <c r="T99" s="493">
        <f t="shared" si="39"/>
        <v>0</v>
      </c>
      <c r="U99" s="493">
        <f t="shared" si="39"/>
        <v>0</v>
      </c>
      <c r="V99" s="493">
        <f t="shared" si="39"/>
        <v>0</v>
      </c>
      <c r="W99" s="493">
        <f t="shared" si="39"/>
        <v>0</v>
      </c>
      <c r="X99" s="493">
        <f t="shared" si="39"/>
        <v>0</v>
      </c>
      <c r="Y99" s="493">
        <f t="shared" si="39"/>
        <v>0</v>
      </c>
      <c r="Z99" s="493">
        <f t="shared" si="39"/>
        <v>0</v>
      </c>
      <c r="AA99" s="493">
        <f t="shared" si="39"/>
        <v>0</v>
      </c>
      <c r="AB99" s="493">
        <f t="shared" si="39"/>
        <v>0</v>
      </c>
      <c r="AC99" s="493">
        <f t="shared" si="39"/>
        <v>0</v>
      </c>
      <c r="AE99" s="495">
        <f t="shared" ref="AE99:AE113" si="40">SUM(E99:AC99)</f>
        <v>0</v>
      </c>
      <c r="AF99" s="261" t="str">
        <f t="shared" ref="AF99:AF113" si="41">IF(AE99&gt;D99,"ERROR: Total Amount Drawn Exceeds Total Available","")</f>
        <v/>
      </c>
    </row>
    <row r="100" spans="1:32" s="3" customFormat="1" x14ac:dyDescent="0.2">
      <c r="C100" s="486" t="str">
        <f>+'Sources and Uses'!C9</f>
        <v>Amortizing Second Mortgage Loan</v>
      </c>
      <c r="D100" s="495">
        <f>+'Sources and Uses'!D9</f>
        <v>0</v>
      </c>
      <c r="E100" s="493">
        <v>0</v>
      </c>
      <c r="F100" s="493">
        <f t="shared" si="38"/>
        <v>0</v>
      </c>
      <c r="G100" s="493">
        <f t="shared" si="39"/>
        <v>0</v>
      </c>
      <c r="H100" s="493">
        <f t="shared" si="39"/>
        <v>0</v>
      </c>
      <c r="I100" s="493">
        <f t="shared" si="39"/>
        <v>0</v>
      </c>
      <c r="J100" s="493">
        <f t="shared" si="39"/>
        <v>0</v>
      </c>
      <c r="K100" s="493">
        <f t="shared" si="39"/>
        <v>0</v>
      </c>
      <c r="L100" s="493">
        <f t="shared" si="39"/>
        <v>0</v>
      </c>
      <c r="M100" s="493">
        <f t="shared" si="39"/>
        <v>0</v>
      </c>
      <c r="N100" s="493">
        <f t="shared" si="39"/>
        <v>0</v>
      </c>
      <c r="O100" s="493">
        <f t="shared" si="39"/>
        <v>0</v>
      </c>
      <c r="P100" s="493">
        <f t="shared" si="39"/>
        <v>0</v>
      </c>
      <c r="Q100" s="493">
        <f t="shared" si="39"/>
        <v>0</v>
      </c>
      <c r="R100" s="493">
        <f t="shared" si="39"/>
        <v>0</v>
      </c>
      <c r="S100" s="493">
        <f t="shared" si="39"/>
        <v>0</v>
      </c>
      <c r="T100" s="493">
        <f t="shared" si="39"/>
        <v>0</v>
      </c>
      <c r="U100" s="493">
        <f t="shared" si="39"/>
        <v>0</v>
      </c>
      <c r="V100" s="493">
        <f t="shared" si="39"/>
        <v>0</v>
      </c>
      <c r="W100" s="493">
        <f t="shared" si="39"/>
        <v>0</v>
      </c>
      <c r="X100" s="493">
        <f t="shared" si="39"/>
        <v>0</v>
      </c>
      <c r="Y100" s="493">
        <f t="shared" si="39"/>
        <v>0</v>
      </c>
      <c r="Z100" s="493">
        <f t="shared" si="39"/>
        <v>0</v>
      </c>
      <c r="AA100" s="493">
        <f t="shared" si="39"/>
        <v>0</v>
      </c>
      <c r="AB100" s="493">
        <f t="shared" si="39"/>
        <v>0</v>
      </c>
      <c r="AC100" s="493">
        <f t="shared" si="39"/>
        <v>0</v>
      </c>
      <c r="AE100" s="495">
        <f t="shared" si="40"/>
        <v>0</v>
      </c>
      <c r="AF100" s="261" t="str">
        <f t="shared" si="41"/>
        <v/>
      </c>
    </row>
    <row r="101" spans="1:32" s="3" customFormat="1" x14ac:dyDescent="0.2">
      <c r="C101" s="486" t="str">
        <f>+'Sources and Uses'!C10</f>
        <v>HOME</v>
      </c>
      <c r="D101" s="495">
        <f>+'Sources and Uses'!D10</f>
        <v>1400000</v>
      </c>
      <c r="E101" s="493">
        <v>0</v>
      </c>
      <c r="F101" s="493">
        <f t="shared" si="38"/>
        <v>0</v>
      </c>
      <c r="G101" s="493">
        <f t="shared" si="39"/>
        <v>0</v>
      </c>
      <c r="H101" s="493">
        <f t="shared" si="39"/>
        <v>0</v>
      </c>
      <c r="I101" s="493">
        <f t="shared" si="39"/>
        <v>0</v>
      </c>
      <c r="J101" s="493">
        <f t="shared" si="39"/>
        <v>0</v>
      </c>
      <c r="K101" s="493">
        <f t="shared" si="39"/>
        <v>0</v>
      </c>
      <c r="L101" s="493">
        <f t="shared" si="39"/>
        <v>0</v>
      </c>
      <c r="M101" s="493">
        <f t="shared" si="39"/>
        <v>0</v>
      </c>
      <c r="N101" s="493">
        <f t="shared" si="39"/>
        <v>0</v>
      </c>
      <c r="O101" s="493">
        <f t="shared" si="39"/>
        <v>0</v>
      </c>
      <c r="P101" s="493">
        <f t="shared" si="39"/>
        <v>0</v>
      </c>
      <c r="Q101" s="493">
        <f t="shared" si="39"/>
        <v>0</v>
      </c>
      <c r="R101" s="493">
        <f t="shared" si="39"/>
        <v>0</v>
      </c>
      <c r="S101" s="493">
        <f t="shared" si="39"/>
        <v>0</v>
      </c>
      <c r="T101" s="493">
        <f t="shared" si="39"/>
        <v>0</v>
      </c>
      <c r="U101" s="493">
        <f t="shared" si="39"/>
        <v>0</v>
      </c>
      <c r="V101" s="493">
        <f t="shared" si="39"/>
        <v>0</v>
      </c>
      <c r="W101" s="493">
        <f t="shared" si="39"/>
        <v>0</v>
      </c>
      <c r="X101" s="493">
        <f t="shared" si="39"/>
        <v>0</v>
      </c>
      <c r="Y101" s="493">
        <f t="shared" si="39"/>
        <v>0</v>
      </c>
      <c r="Z101" s="493">
        <f t="shared" si="39"/>
        <v>0</v>
      </c>
      <c r="AA101" s="493">
        <f t="shared" si="39"/>
        <v>0</v>
      </c>
      <c r="AB101" s="493">
        <f t="shared" si="39"/>
        <v>0</v>
      </c>
      <c r="AC101" s="493">
        <f t="shared" si="39"/>
        <v>0</v>
      </c>
      <c r="AE101" s="495">
        <f t="shared" si="40"/>
        <v>0</v>
      </c>
      <c r="AF101" s="261" t="str">
        <f t="shared" si="41"/>
        <v/>
      </c>
    </row>
    <row r="102" spans="1:32" s="3" customFormat="1" x14ac:dyDescent="0.2">
      <c r="C102" s="486" t="str">
        <f>+'Sources and Uses'!C11</f>
        <v/>
      </c>
      <c r="D102" s="495">
        <f>+'Sources and Uses'!D11</f>
        <v>0</v>
      </c>
      <c r="E102" s="493">
        <v>0</v>
      </c>
      <c r="F102" s="493">
        <f t="shared" si="38"/>
        <v>0</v>
      </c>
      <c r="G102" s="493">
        <f t="shared" si="39"/>
        <v>0</v>
      </c>
      <c r="H102" s="493">
        <f t="shared" si="39"/>
        <v>0</v>
      </c>
      <c r="I102" s="493">
        <f t="shared" si="39"/>
        <v>0</v>
      </c>
      <c r="J102" s="493">
        <f t="shared" si="39"/>
        <v>0</v>
      </c>
      <c r="K102" s="493">
        <f t="shared" si="39"/>
        <v>0</v>
      </c>
      <c r="L102" s="493">
        <f t="shared" si="39"/>
        <v>0</v>
      </c>
      <c r="M102" s="493">
        <f t="shared" si="39"/>
        <v>0</v>
      </c>
      <c r="N102" s="493">
        <f t="shared" si="39"/>
        <v>0</v>
      </c>
      <c r="O102" s="493">
        <f t="shared" si="39"/>
        <v>0</v>
      </c>
      <c r="P102" s="493">
        <f t="shared" si="39"/>
        <v>0</v>
      </c>
      <c r="Q102" s="493">
        <f t="shared" si="39"/>
        <v>0</v>
      </c>
      <c r="R102" s="493">
        <f t="shared" si="39"/>
        <v>0</v>
      </c>
      <c r="S102" s="493">
        <f t="shared" si="39"/>
        <v>0</v>
      </c>
      <c r="T102" s="493">
        <f t="shared" si="39"/>
        <v>0</v>
      </c>
      <c r="U102" s="493">
        <f t="shared" si="39"/>
        <v>0</v>
      </c>
      <c r="V102" s="493">
        <f t="shared" si="39"/>
        <v>0</v>
      </c>
      <c r="W102" s="493">
        <f t="shared" si="39"/>
        <v>0</v>
      </c>
      <c r="X102" s="493">
        <f t="shared" si="39"/>
        <v>0</v>
      </c>
      <c r="Y102" s="493">
        <f t="shared" si="39"/>
        <v>0</v>
      </c>
      <c r="Z102" s="493">
        <f t="shared" si="39"/>
        <v>0</v>
      </c>
      <c r="AA102" s="493">
        <f t="shared" si="39"/>
        <v>0</v>
      </c>
      <c r="AB102" s="493">
        <f t="shared" si="39"/>
        <v>0</v>
      </c>
      <c r="AC102" s="493">
        <f t="shared" si="39"/>
        <v>0</v>
      </c>
      <c r="AE102" s="495">
        <f t="shared" si="40"/>
        <v>0</v>
      </c>
      <c r="AF102" s="261" t="str">
        <f t="shared" si="41"/>
        <v/>
      </c>
    </row>
    <row r="103" spans="1:32" s="3" customFormat="1" x14ac:dyDescent="0.2">
      <c r="C103" s="486" t="str">
        <f>+'Sources and Uses'!C12</f>
        <v/>
      </c>
      <c r="D103" s="495">
        <f>+'Sources and Uses'!D12</f>
        <v>0</v>
      </c>
      <c r="E103" s="493">
        <v>0</v>
      </c>
      <c r="F103" s="493">
        <f t="shared" si="38"/>
        <v>0</v>
      </c>
      <c r="G103" s="493">
        <f t="shared" si="39"/>
        <v>0</v>
      </c>
      <c r="H103" s="493">
        <f t="shared" si="39"/>
        <v>0</v>
      </c>
      <c r="I103" s="493">
        <f t="shared" si="39"/>
        <v>0</v>
      </c>
      <c r="J103" s="493">
        <f t="shared" si="39"/>
        <v>0</v>
      </c>
      <c r="K103" s="493">
        <f t="shared" si="39"/>
        <v>0</v>
      </c>
      <c r="L103" s="493">
        <f t="shared" si="39"/>
        <v>0</v>
      </c>
      <c r="M103" s="493">
        <f t="shared" si="39"/>
        <v>0</v>
      </c>
      <c r="N103" s="493">
        <f t="shared" si="39"/>
        <v>0</v>
      </c>
      <c r="O103" s="493">
        <f t="shared" si="39"/>
        <v>0</v>
      </c>
      <c r="P103" s="493">
        <f t="shared" si="39"/>
        <v>0</v>
      </c>
      <c r="Q103" s="493">
        <f t="shared" si="39"/>
        <v>0</v>
      </c>
      <c r="R103" s="493">
        <f t="shared" si="39"/>
        <v>0</v>
      </c>
      <c r="S103" s="493">
        <f t="shared" si="39"/>
        <v>0</v>
      </c>
      <c r="T103" s="493">
        <f t="shared" si="39"/>
        <v>0</v>
      </c>
      <c r="U103" s="493">
        <f t="shared" si="39"/>
        <v>0</v>
      </c>
      <c r="V103" s="493">
        <f t="shared" si="39"/>
        <v>0</v>
      </c>
      <c r="W103" s="493">
        <f t="shared" si="39"/>
        <v>0</v>
      </c>
      <c r="X103" s="493">
        <f t="shared" si="39"/>
        <v>0</v>
      </c>
      <c r="Y103" s="493">
        <f t="shared" si="39"/>
        <v>0</v>
      </c>
      <c r="Z103" s="493">
        <f t="shared" si="39"/>
        <v>0</v>
      </c>
      <c r="AA103" s="493">
        <f t="shared" si="39"/>
        <v>0</v>
      </c>
      <c r="AB103" s="493">
        <f t="shared" si="39"/>
        <v>0</v>
      </c>
      <c r="AC103" s="493">
        <f t="shared" si="39"/>
        <v>0</v>
      </c>
      <c r="AE103" s="495">
        <f t="shared" si="40"/>
        <v>0</v>
      </c>
      <c r="AF103" s="261" t="str">
        <f t="shared" si="41"/>
        <v/>
      </c>
    </row>
    <row r="104" spans="1:32" s="3" customFormat="1" x14ac:dyDescent="0.2">
      <c r="C104" s="486" t="str">
        <f>+'Sources and Uses'!C13</f>
        <v/>
      </c>
      <c r="D104" s="495">
        <f>+'Sources and Uses'!D13</f>
        <v>0</v>
      </c>
      <c r="E104" s="493">
        <v>0</v>
      </c>
      <c r="F104" s="493">
        <f t="shared" si="38"/>
        <v>0</v>
      </c>
      <c r="G104" s="493">
        <f t="shared" si="39"/>
        <v>0</v>
      </c>
      <c r="H104" s="493">
        <f t="shared" si="39"/>
        <v>0</v>
      </c>
      <c r="I104" s="493">
        <f t="shared" si="39"/>
        <v>0</v>
      </c>
      <c r="J104" s="493">
        <f t="shared" si="39"/>
        <v>0</v>
      </c>
      <c r="K104" s="493">
        <f t="shared" si="39"/>
        <v>0</v>
      </c>
      <c r="L104" s="493">
        <f t="shared" si="39"/>
        <v>0</v>
      </c>
      <c r="M104" s="493">
        <f t="shared" si="39"/>
        <v>0</v>
      </c>
      <c r="N104" s="493">
        <f t="shared" si="39"/>
        <v>0</v>
      </c>
      <c r="O104" s="493">
        <f t="shared" si="39"/>
        <v>0</v>
      </c>
      <c r="P104" s="493">
        <f t="shared" si="39"/>
        <v>0</v>
      </c>
      <c r="Q104" s="493">
        <f t="shared" si="39"/>
        <v>0</v>
      </c>
      <c r="R104" s="493">
        <f t="shared" si="39"/>
        <v>0</v>
      </c>
      <c r="S104" s="493">
        <f t="shared" si="39"/>
        <v>0</v>
      </c>
      <c r="T104" s="493">
        <f t="shared" si="39"/>
        <v>0</v>
      </c>
      <c r="U104" s="493">
        <f t="shared" si="39"/>
        <v>0</v>
      </c>
      <c r="V104" s="493">
        <f t="shared" si="39"/>
        <v>0</v>
      </c>
      <c r="W104" s="493">
        <f t="shared" si="39"/>
        <v>0</v>
      </c>
      <c r="X104" s="493">
        <f t="shared" si="39"/>
        <v>0</v>
      </c>
      <c r="Y104" s="493">
        <f t="shared" si="39"/>
        <v>0</v>
      </c>
      <c r="Z104" s="493">
        <f t="shared" si="39"/>
        <v>0</v>
      </c>
      <c r="AA104" s="493">
        <f t="shared" si="39"/>
        <v>0</v>
      </c>
      <c r="AB104" s="493">
        <f t="shared" si="39"/>
        <v>0</v>
      </c>
      <c r="AC104" s="493">
        <f t="shared" si="39"/>
        <v>0</v>
      </c>
      <c r="AE104" s="495">
        <f t="shared" si="40"/>
        <v>0</v>
      </c>
      <c r="AF104" s="261" t="str">
        <f t="shared" si="41"/>
        <v/>
      </c>
    </row>
    <row r="105" spans="1:32" s="3" customFormat="1" x14ac:dyDescent="0.2">
      <c r="C105" s="486" t="str">
        <f>+'Sources and Uses'!C14</f>
        <v>Deferred Developer Fee</v>
      </c>
      <c r="D105" s="495">
        <f>+'Sources and Uses'!D14</f>
        <v>39000</v>
      </c>
      <c r="E105" s="493">
        <v>0</v>
      </c>
      <c r="F105" s="493">
        <f t="shared" si="38"/>
        <v>0</v>
      </c>
      <c r="G105" s="493">
        <f t="shared" si="39"/>
        <v>0</v>
      </c>
      <c r="H105" s="493">
        <f t="shared" si="39"/>
        <v>0</v>
      </c>
      <c r="I105" s="493">
        <f t="shared" si="39"/>
        <v>0</v>
      </c>
      <c r="J105" s="493">
        <f t="shared" si="39"/>
        <v>0</v>
      </c>
      <c r="K105" s="493">
        <f t="shared" si="39"/>
        <v>0</v>
      </c>
      <c r="L105" s="493">
        <f t="shared" si="39"/>
        <v>0</v>
      </c>
      <c r="M105" s="493">
        <f t="shared" si="39"/>
        <v>0</v>
      </c>
      <c r="N105" s="493">
        <f t="shared" si="39"/>
        <v>0</v>
      </c>
      <c r="O105" s="493">
        <f t="shared" si="39"/>
        <v>0</v>
      </c>
      <c r="P105" s="493">
        <f t="shared" si="39"/>
        <v>0</v>
      </c>
      <c r="Q105" s="493">
        <f t="shared" si="39"/>
        <v>0</v>
      </c>
      <c r="R105" s="493">
        <f t="shared" si="39"/>
        <v>0</v>
      </c>
      <c r="S105" s="493">
        <f t="shared" si="39"/>
        <v>0</v>
      </c>
      <c r="T105" s="493">
        <f t="shared" si="39"/>
        <v>0</v>
      </c>
      <c r="U105" s="493">
        <f t="shared" si="39"/>
        <v>0</v>
      </c>
      <c r="V105" s="493">
        <f t="shared" si="39"/>
        <v>0</v>
      </c>
      <c r="W105" s="493">
        <f t="shared" si="39"/>
        <v>0</v>
      </c>
      <c r="X105" s="493">
        <f t="shared" si="39"/>
        <v>0</v>
      </c>
      <c r="Y105" s="493">
        <f t="shared" si="39"/>
        <v>0</v>
      </c>
      <c r="Z105" s="493">
        <f t="shared" si="39"/>
        <v>0</v>
      </c>
      <c r="AA105" s="493">
        <f t="shared" si="39"/>
        <v>0</v>
      </c>
      <c r="AB105" s="493">
        <f t="shared" si="39"/>
        <v>0</v>
      </c>
      <c r="AC105" s="493">
        <f t="shared" si="39"/>
        <v>0</v>
      </c>
      <c r="AE105" s="495">
        <f t="shared" si="40"/>
        <v>0</v>
      </c>
      <c r="AF105" s="261" t="str">
        <f t="shared" si="41"/>
        <v/>
      </c>
    </row>
    <row r="106" spans="1:32" s="3" customFormat="1" x14ac:dyDescent="0.2">
      <c r="C106" s="486" t="str">
        <f>+'Sources and Uses'!C15</f>
        <v>Developer Cash Investment</v>
      </c>
      <c r="D106" s="495">
        <f>+'Sources and Uses'!D15</f>
        <v>0</v>
      </c>
      <c r="E106" s="493">
        <v>0</v>
      </c>
      <c r="F106" s="493">
        <f t="shared" si="38"/>
        <v>0</v>
      </c>
      <c r="G106" s="493">
        <f t="shared" si="39"/>
        <v>0</v>
      </c>
      <c r="H106" s="493">
        <f t="shared" si="39"/>
        <v>0</v>
      </c>
      <c r="I106" s="493">
        <f t="shared" si="39"/>
        <v>0</v>
      </c>
      <c r="J106" s="493">
        <f t="shared" si="39"/>
        <v>0</v>
      </c>
      <c r="K106" s="493">
        <f t="shared" si="39"/>
        <v>0</v>
      </c>
      <c r="L106" s="493">
        <f t="shared" si="39"/>
        <v>0</v>
      </c>
      <c r="M106" s="493">
        <f t="shared" si="39"/>
        <v>0</v>
      </c>
      <c r="N106" s="493">
        <f t="shared" si="39"/>
        <v>0</v>
      </c>
      <c r="O106" s="493">
        <f t="shared" si="39"/>
        <v>0</v>
      </c>
      <c r="P106" s="493">
        <f t="shared" si="39"/>
        <v>0</v>
      </c>
      <c r="Q106" s="493">
        <f t="shared" si="39"/>
        <v>0</v>
      </c>
      <c r="R106" s="493">
        <f t="shared" si="39"/>
        <v>0</v>
      </c>
      <c r="S106" s="493">
        <f t="shared" si="39"/>
        <v>0</v>
      </c>
      <c r="T106" s="493">
        <f t="shared" si="39"/>
        <v>0</v>
      </c>
      <c r="U106" s="493">
        <f t="shared" si="39"/>
        <v>0</v>
      </c>
      <c r="V106" s="493">
        <f t="shared" si="39"/>
        <v>0</v>
      </c>
      <c r="W106" s="493">
        <f t="shared" si="39"/>
        <v>0</v>
      </c>
      <c r="X106" s="493">
        <f t="shared" si="39"/>
        <v>0</v>
      </c>
      <c r="Y106" s="493">
        <f t="shared" si="39"/>
        <v>0</v>
      </c>
      <c r="Z106" s="493">
        <f t="shared" si="39"/>
        <v>0</v>
      </c>
      <c r="AA106" s="493">
        <f t="shared" si="39"/>
        <v>0</v>
      </c>
      <c r="AB106" s="493">
        <f t="shared" si="39"/>
        <v>0</v>
      </c>
      <c r="AC106" s="493">
        <f t="shared" si="39"/>
        <v>0</v>
      </c>
      <c r="AE106" s="495">
        <f t="shared" si="40"/>
        <v>0</v>
      </c>
      <c r="AF106" s="261" t="str">
        <f t="shared" si="41"/>
        <v/>
      </c>
    </row>
    <row r="107" spans="1:32" s="3" customFormat="1" x14ac:dyDescent="0.2">
      <c r="C107" s="486" t="str">
        <f>+'Sources and Uses'!C16</f>
        <v>Tax Credit Equity (proposed amount)</v>
      </c>
      <c r="D107" s="495">
        <f>+'Sources and Uses'!D16</f>
        <v>450000</v>
      </c>
      <c r="E107" s="493">
        <v>0</v>
      </c>
      <c r="F107" s="493">
        <f t="shared" si="38"/>
        <v>0</v>
      </c>
      <c r="G107" s="493">
        <f t="shared" si="39"/>
        <v>0</v>
      </c>
      <c r="H107" s="493">
        <f t="shared" si="39"/>
        <v>0</v>
      </c>
      <c r="I107" s="493">
        <f t="shared" si="39"/>
        <v>0</v>
      </c>
      <c r="J107" s="493">
        <f t="shared" si="39"/>
        <v>0</v>
      </c>
      <c r="K107" s="493">
        <f t="shared" si="39"/>
        <v>0</v>
      </c>
      <c r="L107" s="493">
        <f t="shared" si="39"/>
        <v>0</v>
      </c>
      <c r="M107" s="493">
        <f t="shared" si="39"/>
        <v>0</v>
      </c>
      <c r="N107" s="493">
        <f t="shared" si="39"/>
        <v>0</v>
      </c>
      <c r="O107" s="493">
        <f t="shared" si="39"/>
        <v>0</v>
      </c>
      <c r="P107" s="493">
        <f t="shared" si="39"/>
        <v>0</v>
      </c>
      <c r="Q107" s="493">
        <f t="shared" si="39"/>
        <v>0</v>
      </c>
      <c r="R107" s="493">
        <f t="shared" si="39"/>
        <v>0</v>
      </c>
      <c r="S107" s="493">
        <f t="shared" si="39"/>
        <v>0</v>
      </c>
      <c r="T107" s="493">
        <f t="shared" si="39"/>
        <v>0</v>
      </c>
      <c r="U107" s="493">
        <f t="shared" si="39"/>
        <v>0</v>
      </c>
      <c r="V107" s="493">
        <f t="shared" si="39"/>
        <v>0</v>
      </c>
      <c r="W107" s="493">
        <f t="shared" si="39"/>
        <v>0</v>
      </c>
      <c r="X107" s="493">
        <f t="shared" si="39"/>
        <v>0</v>
      </c>
      <c r="Y107" s="493">
        <f t="shared" si="39"/>
        <v>0</v>
      </c>
      <c r="Z107" s="493">
        <f t="shared" si="39"/>
        <v>0</v>
      </c>
      <c r="AA107" s="493">
        <f t="shared" si="39"/>
        <v>0</v>
      </c>
      <c r="AB107" s="493">
        <f t="shared" si="39"/>
        <v>0</v>
      </c>
      <c r="AC107" s="493">
        <f t="shared" si="39"/>
        <v>0</v>
      </c>
      <c r="AE107" s="495">
        <f t="shared" si="40"/>
        <v>0</v>
      </c>
      <c r="AF107" s="261" t="str">
        <f t="shared" si="41"/>
        <v/>
      </c>
    </row>
    <row r="108" spans="1:32" s="3" customFormat="1" x14ac:dyDescent="0.2">
      <c r="C108" s="486">
        <f>+'Sources and Uses'!C17</f>
        <v>0</v>
      </c>
      <c r="D108" s="495">
        <f>+'Sources and Uses'!D17</f>
        <v>0</v>
      </c>
      <c r="E108" s="493">
        <v>0</v>
      </c>
      <c r="F108" s="493">
        <f t="shared" si="38"/>
        <v>0</v>
      </c>
      <c r="G108" s="493">
        <f t="shared" si="39"/>
        <v>0</v>
      </c>
      <c r="H108" s="493">
        <f t="shared" si="39"/>
        <v>0</v>
      </c>
      <c r="I108" s="493">
        <f t="shared" si="39"/>
        <v>0</v>
      </c>
      <c r="J108" s="493">
        <f t="shared" si="39"/>
        <v>0</v>
      </c>
      <c r="K108" s="493">
        <f t="shared" si="39"/>
        <v>0</v>
      </c>
      <c r="L108" s="493">
        <f t="shared" si="39"/>
        <v>0</v>
      </c>
      <c r="M108" s="493">
        <f t="shared" si="39"/>
        <v>0</v>
      </c>
      <c r="N108" s="493">
        <f t="shared" si="39"/>
        <v>0</v>
      </c>
      <c r="O108" s="493">
        <f t="shared" si="39"/>
        <v>0</v>
      </c>
      <c r="P108" s="493">
        <f t="shared" si="39"/>
        <v>0</v>
      </c>
      <c r="Q108" s="493">
        <f t="shared" si="39"/>
        <v>0</v>
      </c>
      <c r="R108" s="493">
        <f t="shared" si="39"/>
        <v>0</v>
      </c>
      <c r="S108" s="493">
        <f t="shared" si="39"/>
        <v>0</v>
      </c>
      <c r="T108" s="493">
        <f t="shared" si="39"/>
        <v>0</v>
      </c>
      <c r="U108" s="493">
        <f t="shared" si="39"/>
        <v>0</v>
      </c>
      <c r="V108" s="493">
        <f t="shared" si="39"/>
        <v>0</v>
      </c>
      <c r="W108" s="493">
        <f t="shared" si="39"/>
        <v>0</v>
      </c>
      <c r="X108" s="493">
        <f t="shared" si="39"/>
        <v>0</v>
      </c>
      <c r="Y108" s="493">
        <f t="shared" si="39"/>
        <v>0</v>
      </c>
      <c r="Z108" s="493">
        <f t="shared" si="39"/>
        <v>0</v>
      </c>
      <c r="AA108" s="493">
        <f t="shared" si="39"/>
        <v>0</v>
      </c>
      <c r="AB108" s="493">
        <f t="shared" si="39"/>
        <v>0</v>
      </c>
      <c r="AC108" s="493">
        <f t="shared" si="39"/>
        <v>0</v>
      </c>
      <c r="AE108" s="495">
        <f t="shared" si="40"/>
        <v>0</v>
      </c>
      <c r="AF108" s="261" t="str">
        <f t="shared" si="41"/>
        <v/>
      </c>
    </row>
    <row r="109" spans="1:32" s="3" customFormat="1" x14ac:dyDescent="0.2">
      <c r="C109" s="486">
        <f>+'Sources and Uses'!C18</f>
        <v>0</v>
      </c>
      <c r="D109" s="495">
        <f>+'Sources and Uses'!D18</f>
        <v>0</v>
      </c>
      <c r="E109" s="493">
        <v>0</v>
      </c>
      <c r="F109" s="493">
        <f t="shared" si="38"/>
        <v>0</v>
      </c>
      <c r="G109" s="493">
        <f t="shared" si="39"/>
        <v>0</v>
      </c>
      <c r="H109" s="493">
        <f t="shared" si="39"/>
        <v>0</v>
      </c>
      <c r="I109" s="493">
        <f t="shared" si="39"/>
        <v>0</v>
      </c>
      <c r="J109" s="493">
        <f t="shared" si="39"/>
        <v>0</v>
      </c>
      <c r="K109" s="493">
        <f t="shared" si="39"/>
        <v>0</v>
      </c>
      <c r="L109" s="493">
        <f t="shared" si="39"/>
        <v>0</v>
      </c>
      <c r="M109" s="493">
        <f t="shared" si="39"/>
        <v>0</v>
      </c>
      <c r="N109" s="493">
        <f t="shared" si="39"/>
        <v>0</v>
      </c>
      <c r="O109" s="493">
        <f t="shared" si="39"/>
        <v>0</v>
      </c>
      <c r="P109" s="493">
        <f t="shared" si="39"/>
        <v>0</v>
      </c>
      <c r="Q109" s="493">
        <f t="shared" si="39"/>
        <v>0</v>
      </c>
      <c r="R109" s="493">
        <f t="shared" si="39"/>
        <v>0</v>
      </c>
      <c r="S109" s="493">
        <f t="shared" si="39"/>
        <v>0</v>
      </c>
      <c r="T109" s="493">
        <f t="shared" si="39"/>
        <v>0</v>
      </c>
      <c r="U109" s="493">
        <f t="shared" si="39"/>
        <v>0</v>
      </c>
      <c r="V109" s="493">
        <f t="shared" si="39"/>
        <v>0</v>
      </c>
      <c r="W109" s="493">
        <f t="shared" si="39"/>
        <v>0</v>
      </c>
      <c r="X109" s="493">
        <f t="shared" si="39"/>
        <v>0</v>
      </c>
      <c r="Y109" s="493">
        <f t="shared" si="39"/>
        <v>0</v>
      </c>
      <c r="Z109" s="493">
        <f t="shared" si="39"/>
        <v>0</v>
      </c>
      <c r="AA109" s="493">
        <f t="shared" si="39"/>
        <v>0</v>
      </c>
      <c r="AB109" s="493">
        <f t="shared" si="39"/>
        <v>0</v>
      </c>
      <c r="AC109" s="493">
        <f t="shared" si="39"/>
        <v>0</v>
      </c>
      <c r="AE109" s="495">
        <f t="shared" si="40"/>
        <v>0</v>
      </c>
      <c r="AF109" s="261" t="str">
        <f t="shared" si="41"/>
        <v/>
      </c>
    </row>
    <row r="110" spans="1:32" s="3" customFormat="1" x14ac:dyDescent="0.2">
      <c r="C110" s="486">
        <f>+'Sources and Uses'!C19</f>
        <v>0</v>
      </c>
      <c r="D110" s="495">
        <f>+'Sources and Uses'!D19</f>
        <v>0</v>
      </c>
      <c r="E110" s="493">
        <v>0</v>
      </c>
      <c r="F110" s="493">
        <f t="shared" si="38"/>
        <v>0</v>
      </c>
      <c r="G110" s="493">
        <f t="shared" si="39"/>
        <v>0</v>
      </c>
      <c r="H110" s="493">
        <f t="shared" si="39"/>
        <v>0</v>
      </c>
      <c r="I110" s="493">
        <f t="shared" ref="I110:AC110" si="42">IF(I$3=($D$4+$D$5),$D110,0)</f>
        <v>0</v>
      </c>
      <c r="J110" s="493">
        <f t="shared" si="42"/>
        <v>0</v>
      </c>
      <c r="K110" s="493">
        <f t="shared" si="42"/>
        <v>0</v>
      </c>
      <c r="L110" s="493">
        <f t="shared" si="42"/>
        <v>0</v>
      </c>
      <c r="M110" s="493">
        <f t="shared" si="42"/>
        <v>0</v>
      </c>
      <c r="N110" s="493">
        <f t="shared" si="42"/>
        <v>0</v>
      </c>
      <c r="O110" s="493">
        <f t="shared" si="42"/>
        <v>0</v>
      </c>
      <c r="P110" s="493">
        <f t="shared" si="42"/>
        <v>0</v>
      </c>
      <c r="Q110" s="493">
        <f t="shared" si="42"/>
        <v>0</v>
      </c>
      <c r="R110" s="493">
        <f t="shared" si="42"/>
        <v>0</v>
      </c>
      <c r="S110" s="493">
        <f t="shared" si="42"/>
        <v>0</v>
      </c>
      <c r="T110" s="493">
        <f t="shared" si="42"/>
        <v>0</v>
      </c>
      <c r="U110" s="493">
        <f t="shared" si="42"/>
        <v>0</v>
      </c>
      <c r="V110" s="493">
        <f t="shared" si="42"/>
        <v>0</v>
      </c>
      <c r="W110" s="493">
        <f t="shared" si="42"/>
        <v>0</v>
      </c>
      <c r="X110" s="493">
        <f t="shared" si="42"/>
        <v>0</v>
      </c>
      <c r="Y110" s="493">
        <f t="shared" si="42"/>
        <v>0</v>
      </c>
      <c r="Z110" s="493">
        <f t="shared" si="42"/>
        <v>0</v>
      </c>
      <c r="AA110" s="493">
        <f t="shared" si="42"/>
        <v>0</v>
      </c>
      <c r="AB110" s="493">
        <f t="shared" si="42"/>
        <v>0</v>
      </c>
      <c r="AC110" s="493">
        <f t="shared" si="42"/>
        <v>0</v>
      </c>
      <c r="AE110" s="495">
        <f t="shared" si="40"/>
        <v>0</v>
      </c>
      <c r="AF110" s="261" t="str">
        <f t="shared" si="41"/>
        <v/>
      </c>
    </row>
    <row r="111" spans="1:32" s="3" customFormat="1" x14ac:dyDescent="0.2">
      <c r="C111" s="486">
        <f>+'Sources and Uses'!C20</f>
        <v>0</v>
      </c>
      <c r="D111" s="495">
        <f>+'Sources and Uses'!D20</f>
        <v>0</v>
      </c>
      <c r="E111" s="493">
        <v>0</v>
      </c>
      <c r="F111" s="493">
        <f t="shared" si="38"/>
        <v>0</v>
      </c>
      <c r="G111" s="493">
        <f t="shared" ref="G111:AC113" si="43">IF(G$3=($D$4+$D$5),$D111,0)</f>
        <v>0</v>
      </c>
      <c r="H111" s="493">
        <f t="shared" si="43"/>
        <v>0</v>
      </c>
      <c r="I111" s="493">
        <f t="shared" si="43"/>
        <v>0</v>
      </c>
      <c r="J111" s="493">
        <f t="shared" si="43"/>
        <v>0</v>
      </c>
      <c r="K111" s="493">
        <f t="shared" si="43"/>
        <v>0</v>
      </c>
      <c r="L111" s="493">
        <f t="shared" si="43"/>
        <v>0</v>
      </c>
      <c r="M111" s="493">
        <f t="shared" si="43"/>
        <v>0</v>
      </c>
      <c r="N111" s="493">
        <f t="shared" si="43"/>
        <v>0</v>
      </c>
      <c r="O111" s="493">
        <f t="shared" si="43"/>
        <v>0</v>
      </c>
      <c r="P111" s="493">
        <f t="shared" si="43"/>
        <v>0</v>
      </c>
      <c r="Q111" s="493">
        <f t="shared" si="43"/>
        <v>0</v>
      </c>
      <c r="R111" s="493">
        <f t="shared" si="43"/>
        <v>0</v>
      </c>
      <c r="S111" s="493">
        <f t="shared" si="43"/>
        <v>0</v>
      </c>
      <c r="T111" s="493">
        <f t="shared" si="43"/>
        <v>0</v>
      </c>
      <c r="U111" s="493">
        <f t="shared" si="43"/>
        <v>0</v>
      </c>
      <c r="V111" s="493">
        <f t="shared" si="43"/>
        <v>0</v>
      </c>
      <c r="W111" s="493">
        <f t="shared" si="43"/>
        <v>0</v>
      </c>
      <c r="X111" s="493">
        <f t="shared" si="43"/>
        <v>0</v>
      </c>
      <c r="Y111" s="493">
        <f t="shared" si="43"/>
        <v>0</v>
      </c>
      <c r="Z111" s="493">
        <f t="shared" si="43"/>
        <v>0</v>
      </c>
      <c r="AA111" s="493">
        <f t="shared" si="43"/>
        <v>0</v>
      </c>
      <c r="AB111" s="493">
        <f t="shared" si="43"/>
        <v>0</v>
      </c>
      <c r="AC111" s="493">
        <f t="shared" si="43"/>
        <v>0</v>
      </c>
      <c r="AE111" s="495">
        <f t="shared" si="40"/>
        <v>0</v>
      </c>
      <c r="AF111" s="261" t="str">
        <f t="shared" si="41"/>
        <v/>
      </c>
    </row>
    <row r="112" spans="1:32" s="3" customFormat="1" x14ac:dyDescent="0.2">
      <c r="C112" s="486">
        <f>+'Sources and Uses'!C21</f>
        <v>0</v>
      </c>
      <c r="D112" s="495">
        <f>+'Sources and Uses'!D21</f>
        <v>0</v>
      </c>
      <c r="E112" s="493">
        <v>0</v>
      </c>
      <c r="F112" s="493">
        <f t="shared" si="38"/>
        <v>0</v>
      </c>
      <c r="G112" s="493">
        <f t="shared" si="43"/>
        <v>0</v>
      </c>
      <c r="H112" s="493">
        <f t="shared" si="43"/>
        <v>0</v>
      </c>
      <c r="I112" s="493">
        <f t="shared" si="43"/>
        <v>0</v>
      </c>
      <c r="J112" s="493">
        <f t="shared" si="43"/>
        <v>0</v>
      </c>
      <c r="K112" s="493">
        <f t="shared" si="43"/>
        <v>0</v>
      </c>
      <c r="L112" s="493">
        <f t="shared" si="43"/>
        <v>0</v>
      </c>
      <c r="M112" s="493">
        <f t="shared" si="43"/>
        <v>0</v>
      </c>
      <c r="N112" s="493">
        <f t="shared" si="43"/>
        <v>0</v>
      </c>
      <c r="O112" s="493">
        <f t="shared" si="43"/>
        <v>0</v>
      </c>
      <c r="P112" s="493">
        <f t="shared" si="43"/>
        <v>0</v>
      </c>
      <c r="Q112" s="493">
        <f t="shared" si="43"/>
        <v>0</v>
      </c>
      <c r="R112" s="493">
        <f t="shared" si="43"/>
        <v>0</v>
      </c>
      <c r="S112" s="493">
        <f t="shared" si="43"/>
        <v>0</v>
      </c>
      <c r="T112" s="493">
        <f t="shared" si="43"/>
        <v>0</v>
      </c>
      <c r="U112" s="493">
        <f t="shared" si="43"/>
        <v>0</v>
      </c>
      <c r="V112" s="493">
        <f t="shared" si="43"/>
        <v>0</v>
      </c>
      <c r="W112" s="493">
        <f t="shared" si="43"/>
        <v>0</v>
      </c>
      <c r="X112" s="493">
        <f t="shared" si="43"/>
        <v>0</v>
      </c>
      <c r="Y112" s="493">
        <f t="shared" si="43"/>
        <v>0</v>
      </c>
      <c r="Z112" s="493">
        <f t="shared" si="43"/>
        <v>0</v>
      </c>
      <c r="AA112" s="493">
        <f t="shared" si="43"/>
        <v>0</v>
      </c>
      <c r="AB112" s="493">
        <f t="shared" si="43"/>
        <v>0</v>
      </c>
      <c r="AC112" s="493">
        <f t="shared" si="43"/>
        <v>0</v>
      </c>
      <c r="AE112" s="495">
        <f t="shared" si="40"/>
        <v>0</v>
      </c>
      <c r="AF112" s="261" t="str">
        <f t="shared" si="41"/>
        <v/>
      </c>
    </row>
    <row r="113" spans="1:32" s="3" customFormat="1" x14ac:dyDescent="0.2">
      <c r="C113" s="486">
        <f>+'Sources and Uses'!C22</f>
        <v>0</v>
      </c>
      <c r="D113" s="495">
        <f>+'Sources and Uses'!D22</f>
        <v>0</v>
      </c>
      <c r="E113" s="493">
        <v>0</v>
      </c>
      <c r="F113" s="493">
        <f t="shared" si="38"/>
        <v>0</v>
      </c>
      <c r="G113" s="493">
        <f t="shared" si="43"/>
        <v>0</v>
      </c>
      <c r="H113" s="493">
        <f t="shared" si="43"/>
        <v>0</v>
      </c>
      <c r="I113" s="493">
        <f t="shared" si="43"/>
        <v>0</v>
      </c>
      <c r="J113" s="493">
        <f t="shared" si="43"/>
        <v>0</v>
      </c>
      <c r="K113" s="493">
        <f t="shared" si="43"/>
        <v>0</v>
      </c>
      <c r="L113" s="493">
        <f t="shared" si="43"/>
        <v>0</v>
      </c>
      <c r="M113" s="493">
        <f t="shared" si="43"/>
        <v>0</v>
      </c>
      <c r="N113" s="493">
        <f t="shared" si="43"/>
        <v>0</v>
      </c>
      <c r="O113" s="493">
        <f t="shared" si="43"/>
        <v>0</v>
      </c>
      <c r="P113" s="493">
        <f t="shared" si="43"/>
        <v>0</v>
      </c>
      <c r="Q113" s="493">
        <f t="shared" si="43"/>
        <v>0</v>
      </c>
      <c r="R113" s="493">
        <f t="shared" si="43"/>
        <v>0</v>
      </c>
      <c r="S113" s="493">
        <f t="shared" si="43"/>
        <v>0</v>
      </c>
      <c r="T113" s="493">
        <f t="shared" si="43"/>
        <v>0</v>
      </c>
      <c r="U113" s="493">
        <f t="shared" si="43"/>
        <v>0</v>
      </c>
      <c r="V113" s="493">
        <f t="shared" si="43"/>
        <v>0</v>
      </c>
      <c r="W113" s="493">
        <f t="shared" si="43"/>
        <v>0</v>
      </c>
      <c r="X113" s="493">
        <f t="shared" si="43"/>
        <v>0</v>
      </c>
      <c r="Y113" s="493">
        <f t="shared" si="43"/>
        <v>0</v>
      </c>
      <c r="Z113" s="493">
        <f t="shared" si="43"/>
        <v>0</v>
      </c>
      <c r="AA113" s="493">
        <f t="shared" si="43"/>
        <v>0</v>
      </c>
      <c r="AB113" s="493">
        <f t="shared" si="43"/>
        <v>0</v>
      </c>
      <c r="AC113" s="493">
        <f t="shared" si="43"/>
        <v>0</v>
      </c>
      <c r="AE113" s="495">
        <f t="shared" si="40"/>
        <v>0</v>
      </c>
      <c r="AF113" s="261" t="str">
        <f t="shared" si="41"/>
        <v/>
      </c>
    </row>
    <row r="114" spans="1:32" x14ac:dyDescent="0.2">
      <c r="C114" s="3"/>
      <c r="AE114" s="498"/>
    </row>
    <row r="115" spans="1:32" ht="15" x14ac:dyDescent="0.2">
      <c r="C115" s="86" t="s">
        <v>490</v>
      </c>
      <c r="D115" s="497">
        <f>SUM(D99:D114)</f>
        <v>2039000</v>
      </c>
      <c r="E115" s="497">
        <f t="shared" ref="E115:AC115" si="44">SUM(E99:E114)</f>
        <v>0</v>
      </c>
      <c r="F115" s="497">
        <f t="shared" si="44"/>
        <v>0</v>
      </c>
      <c r="G115" s="497">
        <f t="shared" si="44"/>
        <v>0</v>
      </c>
      <c r="H115" s="497">
        <f t="shared" si="44"/>
        <v>0</v>
      </c>
      <c r="I115" s="497">
        <f t="shared" si="44"/>
        <v>0</v>
      </c>
      <c r="J115" s="497">
        <f t="shared" si="44"/>
        <v>0</v>
      </c>
      <c r="K115" s="497">
        <f t="shared" si="44"/>
        <v>0</v>
      </c>
      <c r="L115" s="497">
        <f t="shared" si="44"/>
        <v>0</v>
      </c>
      <c r="M115" s="497">
        <f t="shared" si="44"/>
        <v>0</v>
      </c>
      <c r="N115" s="497">
        <f t="shared" si="44"/>
        <v>0</v>
      </c>
      <c r="O115" s="497">
        <f t="shared" si="44"/>
        <v>0</v>
      </c>
      <c r="P115" s="497">
        <f t="shared" si="44"/>
        <v>0</v>
      </c>
      <c r="Q115" s="497">
        <f t="shared" si="44"/>
        <v>0</v>
      </c>
      <c r="R115" s="497">
        <f t="shared" si="44"/>
        <v>0</v>
      </c>
      <c r="S115" s="497">
        <f t="shared" si="44"/>
        <v>0</v>
      </c>
      <c r="T115" s="497">
        <f t="shared" si="44"/>
        <v>0</v>
      </c>
      <c r="U115" s="497">
        <f t="shared" si="44"/>
        <v>0</v>
      </c>
      <c r="V115" s="497">
        <f t="shared" si="44"/>
        <v>0</v>
      </c>
      <c r="W115" s="497">
        <f t="shared" si="44"/>
        <v>0</v>
      </c>
      <c r="X115" s="497">
        <f t="shared" si="44"/>
        <v>0</v>
      </c>
      <c r="Y115" s="497">
        <f t="shared" si="44"/>
        <v>0</v>
      </c>
      <c r="Z115" s="497">
        <f t="shared" si="44"/>
        <v>0</v>
      </c>
      <c r="AA115" s="497">
        <f t="shared" si="44"/>
        <v>0</v>
      </c>
      <c r="AB115" s="497">
        <f t="shared" si="44"/>
        <v>0</v>
      </c>
      <c r="AC115" s="497">
        <f t="shared" si="44"/>
        <v>0</v>
      </c>
      <c r="AE115" s="505">
        <f t="shared" ref="AE115" si="45">SUM(E115:AC115)</f>
        <v>0</v>
      </c>
      <c r="AF115" s="261" t="str">
        <f t="shared" ref="AF115" si="46">IF(AE115&gt;D115,"ERROR: Total Amount Drawn Exceeds Total Available","")</f>
        <v/>
      </c>
    </row>
    <row r="116" spans="1:32" x14ac:dyDescent="0.2">
      <c r="C116" s="3"/>
      <c r="AE116" s="498"/>
    </row>
    <row r="117" spans="1:32" ht="15" x14ac:dyDescent="0.2">
      <c r="A117" s="515" t="s">
        <v>424</v>
      </c>
      <c r="C117" s="86" t="s">
        <v>526</v>
      </c>
      <c r="D117" s="86"/>
      <c r="E117" s="497">
        <f t="shared" ref="E117:AC117" si="47">+E96-E115</f>
        <v>490000</v>
      </c>
      <c r="F117" s="497">
        <f t="shared" si="47"/>
        <v>0</v>
      </c>
      <c r="G117" s="497">
        <f t="shared" si="47"/>
        <v>0</v>
      </c>
      <c r="H117" s="497">
        <f t="shared" si="47"/>
        <v>0</v>
      </c>
      <c r="I117" s="497">
        <f t="shared" si="47"/>
        <v>0</v>
      </c>
      <c r="J117" s="497">
        <f t="shared" si="47"/>
        <v>0</v>
      </c>
      <c r="K117" s="497">
        <f t="shared" si="47"/>
        <v>0</v>
      </c>
      <c r="L117" s="497">
        <f t="shared" si="47"/>
        <v>0</v>
      </c>
      <c r="M117" s="497">
        <f t="shared" si="47"/>
        <v>0</v>
      </c>
      <c r="N117" s="497">
        <f t="shared" si="47"/>
        <v>0</v>
      </c>
      <c r="O117" s="497">
        <f t="shared" si="47"/>
        <v>0</v>
      </c>
      <c r="P117" s="497">
        <f t="shared" si="47"/>
        <v>0</v>
      </c>
      <c r="Q117" s="497">
        <f t="shared" si="47"/>
        <v>0</v>
      </c>
      <c r="R117" s="497">
        <f t="shared" si="47"/>
        <v>0</v>
      </c>
      <c r="S117" s="497">
        <f t="shared" si="47"/>
        <v>0</v>
      </c>
      <c r="T117" s="497">
        <f t="shared" si="47"/>
        <v>0</v>
      </c>
      <c r="U117" s="497">
        <f t="shared" si="47"/>
        <v>0</v>
      </c>
      <c r="V117" s="497">
        <f t="shared" si="47"/>
        <v>0</v>
      </c>
      <c r="W117" s="497">
        <f t="shared" si="47"/>
        <v>0</v>
      </c>
      <c r="X117" s="497">
        <f t="shared" si="47"/>
        <v>0</v>
      </c>
      <c r="Y117" s="497">
        <f t="shared" si="47"/>
        <v>0</v>
      </c>
      <c r="Z117" s="497">
        <f t="shared" si="47"/>
        <v>0</v>
      </c>
      <c r="AA117" s="497">
        <f t="shared" si="47"/>
        <v>0</v>
      </c>
      <c r="AB117" s="497">
        <f t="shared" si="47"/>
        <v>0</v>
      </c>
      <c r="AC117" s="497">
        <f t="shared" si="47"/>
        <v>0</v>
      </c>
      <c r="AE117" s="506"/>
    </row>
    <row r="118" spans="1:32" x14ac:dyDescent="0.2">
      <c r="A118" s="513"/>
      <c r="C118" s="3"/>
    </row>
    <row r="119" spans="1:32" x14ac:dyDescent="0.2">
      <c r="C119" s="486" t="s">
        <v>491</v>
      </c>
      <c r="D119" s="495"/>
      <c r="E119" s="495">
        <f>+D122</f>
        <v>0</v>
      </c>
      <c r="F119" s="495">
        <f>IF(F$3&gt;($D$4+$D$5),0,E122)</f>
        <v>0</v>
      </c>
      <c r="G119" s="495">
        <f t="shared" ref="G119:AC119" si="48">IF(G$3&gt;($D$4+$D$5),0,F122)</f>
        <v>0</v>
      </c>
      <c r="H119" s="495">
        <f t="shared" si="48"/>
        <v>0</v>
      </c>
      <c r="I119" s="495">
        <f t="shared" si="48"/>
        <v>0</v>
      </c>
      <c r="J119" s="495">
        <f t="shared" si="48"/>
        <v>0</v>
      </c>
      <c r="K119" s="495">
        <f t="shared" si="48"/>
        <v>0</v>
      </c>
      <c r="L119" s="495">
        <f t="shared" si="48"/>
        <v>0</v>
      </c>
      <c r="M119" s="495">
        <f t="shared" si="48"/>
        <v>0</v>
      </c>
      <c r="N119" s="495">
        <f t="shared" si="48"/>
        <v>0</v>
      </c>
      <c r="O119" s="495">
        <f t="shared" si="48"/>
        <v>0</v>
      </c>
      <c r="P119" s="495">
        <f t="shared" si="48"/>
        <v>0</v>
      </c>
      <c r="Q119" s="495">
        <f t="shared" si="48"/>
        <v>0</v>
      </c>
      <c r="R119" s="495">
        <f t="shared" si="48"/>
        <v>0</v>
      </c>
      <c r="S119" s="495">
        <f t="shared" si="48"/>
        <v>0</v>
      </c>
      <c r="T119" s="495">
        <f t="shared" si="48"/>
        <v>0</v>
      </c>
      <c r="U119" s="495">
        <f t="shared" si="48"/>
        <v>0</v>
      </c>
      <c r="V119" s="495">
        <f t="shared" si="48"/>
        <v>0</v>
      </c>
      <c r="W119" s="495">
        <f t="shared" si="48"/>
        <v>0</v>
      </c>
      <c r="X119" s="495">
        <f t="shared" si="48"/>
        <v>0</v>
      </c>
      <c r="Y119" s="495">
        <f t="shared" si="48"/>
        <v>0</v>
      </c>
      <c r="Z119" s="495">
        <f t="shared" si="48"/>
        <v>0</v>
      </c>
      <c r="AA119" s="495">
        <f t="shared" si="48"/>
        <v>0</v>
      </c>
      <c r="AB119" s="495">
        <f t="shared" si="48"/>
        <v>0</v>
      </c>
      <c r="AC119" s="495">
        <f t="shared" si="48"/>
        <v>0</v>
      </c>
    </row>
    <row r="120" spans="1:32" x14ac:dyDescent="0.2">
      <c r="C120" s="486" t="s">
        <v>492</v>
      </c>
      <c r="D120" s="495"/>
      <c r="E120" s="495">
        <f>+E117</f>
        <v>490000</v>
      </c>
      <c r="F120" s="495">
        <f t="shared" ref="F120:AC120" si="49">+F117</f>
        <v>0</v>
      </c>
      <c r="G120" s="495">
        <f t="shared" si="49"/>
        <v>0</v>
      </c>
      <c r="H120" s="495">
        <f t="shared" si="49"/>
        <v>0</v>
      </c>
      <c r="I120" s="495">
        <f t="shared" si="49"/>
        <v>0</v>
      </c>
      <c r="J120" s="495">
        <f t="shared" si="49"/>
        <v>0</v>
      </c>
      <c r="K120" s="495">
        <f t="shared" si="49"/>
        <v>0</v>
      </c>
      <c r="L120" s="495">
        <f t="shared" si="49"/>
        <v>0</v>
      </c>
      <c r="M120" s="495">
        <f t="shared" si="49"/>
        <v>0</v>
      </c>
      <c r="N120" s="495">
        <f t="shared" si="49"/>
        <v>0</v>
      </c>
      <c r="O120" s="495">
        <f t="shared" si="49"/>
        <v>0</v>
      </c>
      <c r="P120" s="495">
        <f t="shared" si="49"/>
        <v>0</v>
      </c>
      <c r="Q120" s="495">
        <f t="shared" si="49"/>
        <v>0</v>
      </c>
      <c r="R120" s="495">
        <f t="shared" si="49"/>
        <v>0</v>
      </c>
      <c r="S120" s="495">
        <f t="shared" si="49"/>
        <v>0</v>
      </c>
      <c r="T120" s="495">
        <f t="shared" si="49"/>
        <v>0</v>
      </c>
      <c r="U120" s="495">
        <f t="shared" si="49"/>
        <v>0</v>
      </c>
      <c r="V120" s="495">
        <f t="shared" si="49"/>
        <v>0</v>
      </c>
      <c r="W120" s="495">
        <f t="shared" si="49"/>
        <v>0</v>
      </c>
      <c r="X120" s="495">
        <f t="shared" si="49"/>
        <v>0</v>
      </c>
      <c r="Y120" s="495">
        <f t="shared" si="49"/>
        <v>0</v>
      </c>
      <c r="Z120" s="495">
        <f t="shared" si="49"/>
        <v>0</v>
      </c>
      <c r="AA120" s="495">
        <f t="shared" si="49"/>
        <v>0</v>
      </c>
      <c r="AB120" s="495">
        <f t="shared" si="49"/>
        <v>0</v>
      </c>
      <c r="AC120" s="495">
        <f t="shared" si="49"/>
        <v>0</v>
      </c>
    </row>
    <row r="121" spans="1:32" ht="12.75" customHeight="1" x14ac:dyDescent="0.2">
      <c r="A121" s="513"/>
      <c r="C121" s="557" t="s">
        <v>576</v>
      </c>
      <c r="D121" s="495">
        <f>SUM(E121:AD121)</f>
        <v>0</v>
      </c>
      <c r="E121" s="495">
        <f>ROUND('Development Costs'!$D$102*('S&amp;U By Month'!E119+'S&amp;U By Month'!E120/2)/12,0)</f>
        <v>0</v>
      </c>
      <c r="F121" s="495">
        <f>ROUND('Development Costs'!$D$102*('S&amp;U By Month'!F119+'S&amp;U By Month'!F120/2)/12,0)</f>
        <v>0</v>
      </c>
      <c r="G121" s="495">
        <f>ROUND('Development Costs'!$D$102*('S&amp;U By Month'!G119+'S&amp;U By Month'!G120/2)/12,0)</f>
        <v>0</v>
      </c>
      <c r="H121" s="495">
        <f>ROUND('Development Costs'!$D$102*('S&amp;U By Month'!H119+'S&amp;U By Month'!H120/2)/12,0)</f>
        <v>0</v>
      </c>
      <c r="I121" s="495">
        <f>ROUND('Development Costs'!$D$102*('S&amp;U By Month'!I119+'S&amp;U By Month'!I120/2)/12,0)</f>
        <v>0</v>
      </c>
      <c r="J121" s="495">
        <f>ROUND('Development Costs'!$D$102*('S&amp;U By Month'!J119+'S&amp;U By Month'!J120/2)/12,0)</f>
        <v>0</v>
      </c>
      <c r="K121" s="495">
        <f>ROUND('Development Costs'!$D$102*('S&amp;U By Month'!K119+'S&amp;U By Month'!K120/2)/12,0)</f>
        <v>0</v>
      </c>
      <c r="L121" s="495">
        <f>ROUND('Development Costs'!$D$102*('S&amp;U By Month'!L119+'S&amp;U By Month'!L120/2)/12,0)</f>
        <v>0</v>
      </c>
      <c r="M121" s="495">
        <f>ROUND('Development Costs'!$D$102*('S&amp;U By Month'!M119+'S&amp;U By Month'!M120/2)/12,0)</f>
        <v>0</v>
      </c>
      <c r="N121" s="495">
        <f>ROUND('Development Costs'!$D$102*('S&amp;U By Month'!N119+'S&amp;U By Month'!N120/2)/12,0)</f>
        <v>0</v>
      </c>
      <c r="O121" s="495">
        <f>ROUND('Development Costs'!$D$102*('S&amp;U By Month'!O119+'S&amp;U By Month'!O120/2)/12,0)</f>
        <v>0</v>
      </c>
      <c r="P121" s="495">
        <f>ROUND('Development Costs'!$D$102*('S&amp;U By Month'!P119+'S&amp;U By Month'!P120/2)/12,0)</f>
        <v>0</v>
      </c>
      <c r="Q121" s="495">
        <f>ROUND('Development Costs'!$D$102*('S&amp;U By Month'!Q119+'S&amp;U By Month'!Q120/2)/12,0)</f>
        <v>0</v>
      </c>
      <c r="R121" s="495">
        <f>ROUND('Development Costs'!$D$102*('S&amp;U By Month'!R119+'S&amp;U By Month'!R120/2)/12,0)</f>
        <v>0</v>
      </c>
      <c r="S121" s="495">
        <f>ROUND('Development Costs'!$D$102*('S&amp;U By Month'!S119+'S&amp;U By Month'!S120/2)/12,0)</f>
        <v>0</v>
      </c>
      <c r="T121" s="495">
        <f>ROUND('Development Costs'!$D$102*('S&amp;U By Month'!T119+'S&amp;U By Month'!T120/2)/12,0)</f>
        <v>0</v>
      </c>
      <c r="U121" s="495">
        <f>ROUND('Development Costs'!$D$102*('S&amp;U By Month'!U119+'S&amp;U By Month'!U120/2)/12,0)</f>
        <v>0</v>
      </c>
      <c r="V121" s="495">
        <f>ROUND('Development Costs'!$D$102*('S&amp;U By Month'!V119+'S&amp;U By Month'!V120/2)/12,0)</f>
        <v>0</v>
      </c>
      <c r="W121" s="495">
        <f>ROUND('Development Costs'!$D$102*('S&amp;U By Month'!W119+'S&amp;U By Month'!W120/2)/12,0)</f>
        <v>0</v>
      </c>
      <c r="X121" s="495">
        <f>ROUND('Development Costs'!$D$102*('S&amp;U By Month'!X119+'S&amp;U By Month'!X120/2)/12,0)</f>
        <v>0</v>
      </c>
      <c r="Y121" s="495">
        <f>ROUND('Development Costs'!$D$102*('S&amp;U By Month'!Y119+'S&amp;U By Month'!Y120/2)/12,0)</f>
        <v>0</v>
      </c>
      <c r="Z121" s="495">
        <f>ROUND('Development Costs'!$D$102*('S&amp;U By Month'!Z119+'S&amp;U By Month'!Z120/2)/12,0)</f>
        <v>0</v>
      </c>
      <c r="AA121" s="495">
        <f>ROUND('Development Costs'!$D$102*('S&amp;U By Month'!AA119+'S&amp;U By Month'!AA120/2)/12,0)</f>
        <v>0</v>
      </c>
      <c r="AB121" s="495">
        <f>ROUND('Development Costs'!$D$102*('S&amp;U By Month'!AB119+'S&amp;U By Month'!AB120/2)/12,0)</f>
        <v>0</v>
      </c>
      <c r="AC121" s="495">
        <f>ROUND('Development Costs'!$D$102*('S&amp;U By Month'!AC119+'S&amp;U By Month'!AC120/2)/12,0)</f>
        <v>0</v>
      </c>
    </row>
    <row r="122" spans="1:32" x14ac:dyDescent="0.2">
      <c r="C122" s="486" t="s">
        <v>493</v>
      </c>
      <c r="D122" s="495"/>
      <c r="E122" s="495">
        <f>+E119+E120+E121</f>
        <v>490000</v>
      </c>
      <c r="F122" s="495">
        <f t="shared" ref="F122:AC122" si="50">+F119+F120+F121</f>
        <v>0</v>
      </c>
      <c r="G122" s="495">
        <f t="shared" si="50"/>
        <v>0</v>
      </c>
      <c r="H122" s="495">
        <f t="shared" si="50"/>
        <v>0</v>
      </c>
      <c r="I122" s="495">
        <f t="shared" si="50"/>
        <v>0</v>
      </c>
      <c r="J122" s="495">
        <f t="shared" si="50"/>
        <v>0</v>
      </c>
      <c r="K122" s="495">
        <f t="shared" si="50"/>
        <v>0</v>
      </c>
      <c r="L122" s="495">
        <f t="shared" si="50"/>
        <v>0</v>
      </c>
      <c r="M122" s="495">
        <f t="shared" si="50"/>
        <v>0</v>
      </c>
      <c r="N122" s="495">
        <f t="shared" si="50"/>
        <v>0</v>
      </c>
      <c r="O122" s="495">
        <f t="shared" si="50"/>
        <v>0</v>
      </c>
      <c r="P122" s="495">
        <f t="shared" si="50"/>
        <v>0</v>
      </c>
      <c r="Q122" s="495">
        <f t="shared" si="50"/>
        <v>0</v>
      </c>
      <c r="R122" s="495">
        <f t="shared" si="50"/>
        <v>0</v>
      </c>
      <c r="S122" s="495">
        <f t="shared" si="50"/>
        <v>0</v>
      </c>
      <c r="T122" s="495">
        <f t="shared" si="50"/>
        <v>0</v>
      </c>
      <c r="U122" s="495">
        <f t="shared" si="50"/>
        <v>0</v>
      </c>
      <c r="V122" s="495">
        <f t="shared" si="50"/>
        <v>0</v>
      </c>
      <c r="W122" s="495">
        <f t="shared" si="50"/>
        <v>0</v>
      </c>
      <c r="X122" s="495">
        <f t="shared" si="50"/>
        <v>0</v>
      </c>
      <c r="Y122" s="495">
        <f t="shared" si="50"/>
        <v>0</v>
      </c>
      <c r="Z122" s="495">
        <f t="shared" si="50"/>
        <v>0</v>
      </c>
      <c r="AA122" s="495">
        <f t="shared" si="50"/>
        <v>0</v>
      </c>
      <c r="AB122" s="495">
        <f t="shared" si="50"/>
        <v>0</v>
      </c>
      <c r="AC122" s="495">
        <f t="shared" si="50"/>
        <v>0</v>
      </c>
    </row>
    <row r="123" spans="1:32" x14ac:dyDescent="0.2">
      <c r="C123" s="3"/>
    </row>
    <row r="124" spans="1:32" ht="25.5" x14ac:dyDescent="0.2">
      <c r="C124" s="75" t="s">
        <v>494</v>
      </c>
      <c r="D124" s="495">
        <f>+'Development Costs'!D111</f>
        <v>0</v>
      </c>
      <c r="F124" s="745" t="s">
        <v>549</v>
      </c>
      <c r="G124" s="746"/>
      <c r="H124" s="746"/>
      <c r="I124" s="747"/>
      <c r="J124" s="495">
        <f>+D121</f>
        <v>0</v>
      </c>
    </row>
    <row r="125" spans="1:32" x14ac:dyDescent="0.2">
      <c r="C125" s="3"/>
    </row>
    <row r="126" spans="1:32" ht="39" customHeight="1" x14ac:dyDescent="0.2">
      <c r="A126" s="515" t="s">
        <v>424</v>
      </c>
      <c r="C126" s="741">
        <f>IF(D124=0,0,IF(ABS((D121-D124)/D124)&gt;10%,"Construction interest calculated above is "&amp;TEXT((D121/D124),"##.#%")&amp;" of the Construction interest estimate from Development Costs tab. *** NOTE--This variance is in excess of 10%. ***","Construction interest calculated above is "&amp;TEXT((D121/D124),"##.#%")&amp;" of the Construction interest estimate from Development Costs tab."))</f>
        <v>0</v>
      </c>
      <c r="D126" s="742"/>
      <c r="E126" s="513"/>
      <c r="G126" s="10"/>
    </row>
    <row r="127" spans="1:32" x14ac:dyDescent="0.2">
      <c r="C127" s="3"/>
    </row>
    <row r="128" spans="1:32" ht="55.5" customHeight="1" x14ac:dyDescent="0.2">
      <c r="C128" s="669"/>
      <c r="D128" s="670"/>
      <c r="E128" s="670"/>
      <c r="F128" s="671"/>
    </row>
    <row r="129" spans="3:5" x14ac:dyDescent="0.2">
      <c r="C129" s="3"/>
    </row>
    <row r="130" spans="3:5" x14ac:dyDescent="0.2">
      <c r="C130" s="696" t="s">
        <v>753</v>
      </c>
      <c r="D130" s="696"/>
      <c r="E130" s="513"/>
    </row>
    <row r="131" spans="3:5" x14ac:dyDescent="0.2">
      <c r="C131" s="3"/>
    </row>
    <row r="132" spans="3:5" x14ac:dyDescent="0.2">
      <c r="C132" s="3"/>
    </row>
    <row r="133" spans="3:5" x14ac:dyDescent="0.2">
      <c r="C133" s="3"/>
    </row>
    <row r="134" spans="3:5" x14ac:dyDescent="0.2">
      <c r="C134" s="3"/>
    </row>
    <row r="135" spans="3:5" x14ac:dyDescent="0.2">
      <c r="C135" s="3"/>
    </row>
    <row r="136" spans="3:5" x14ac:dyDescent="0.2">
      <c r="C136" s="3"/>
    </row>
    <row r="137" spans="3:5" x14ac:dyDescent="0.2">
      <c r="C137" s="3"/>
    </row>
    <row r="138" spans="3:5" x14ac:dyDescent="0.2">
      <c r="C138" s="3"/>
    </row>
    <row r="139" spans="3:5" x14ac:dyDescent="0.2">
      <c r="C139" s="3"/>
    </row>
    <row r="140" spans="3:5" x14ac:dyDescent="0.2">
      <c r="C140" s="3"/>
    </row>
    <row r="141" spans="3:5" x14ac:dyDescent="0.2">
      <c r="C141" s="3"/>
    </row>
    <row r="142" spans="3:5" x14ac:dyDescent="0.2">
      <c r="C142" s="3"/>
    </row>
    <row r="143" spans="3:5" x14ac:dyDescent="0.2">
      <c r="C143" s="3"/>
    </row>
    <row r="144" spans="3:5" x14ac:dyDescent="0.2">
      <c r="C144" s="3"/>
    </row>
    <row r="145" spans="3:3" x14ac:dyDescent="0.2">
      <c r="C145" s="3"/>
    </row>
    <row r="146" spans="3:3" x14ac:dyDescent="0.2">
      <c r="C146" s="3"/>
    </row>
    <row r="147" spans="3:3" x14ac:dyDescent="0.2">
      <c r="C147" s="3"/>
    </row>
    <row r="148" spans="3:3" x14ac:dyDescent="0.2">
      <c r="C148" s="3"/>
    </row>
    <row r="149" spans="3:3" x14ac:dyDescent="0.2">
      <c r="C149" s="3"/>
    </row>
    <row r="150" spans="3:3" x14ac:dyDescent="0.2">
      <c r="C150" s="3"/>
    </row>
    <row r="151" spans="3:3" x14ac:dyDescent="0.2">
      <c r="C151" s="3"/>
    </row>
    <row r="152" spans="3:3" x14ac:dyDescent="0.2">
      <c r="C152" s="3"/>
    </row>
    <row r="153" spans="3:3" x14ac:dyDescent="0.2">
      <c r="C153" s="3"/>
    </row>
    <row r="154" spans="3:3" x14ac:dyDescent="0.2">
      <c r="C154" s="3"/>
    </row>
    <row r="155" spans="3:3" x14ac:dyDescent="0.2">
      <c r="C155" s="3"/>
    </row>
    <row r="156" spans="3:3" x14ac:dyDescent="0.2">
      <c r="C156" s="3"/>
    </row>
    <row r="157" spans="3:3" x14ac:dyDescent="0.2">
      <c r="C157" s="3"/>
    </row>
    <row r="158" spans="3:3" x14ac:dyDescent="0.2">
      <c r="C158" s="3"/>
    </row>
    <row r="159" spans="3:3" x14ac:dyDescent="0.2">
      <c r="C159" s="3"/>
    </row>
    <row r="160" spans="3:3" x14ac:dyDescent="0.2">
      <c r="C160" s="3"/>
    </row>
    <row r="161" spans="3:3" x14ac:dyDescent="0.2">
      <c r="C161" s="3"/>
    </row>
    <row r="162" spans="3:3" x14ac:dyDescent="0.2">
      <c r="C162" s="3"/>
    </row>
    <row r="163" spans="3:3" x14ac:dyDescent="0.2">
      <c r="C163" s="3"/>
    </row>
    <row r="164" spans="3:3" x14ac:dyDescent="0.2">
      <c r="C164" s="3"/>
    </row>
    <row r="165" spans="3:3" x14ac:dyDescent="0.2">
      <c r="C165" s="3"/>
    </row>
    <row r="166" spans="3:3" x14ac:dyDescent="0.2">
      <c r="C166" s="3"/>
    </row>
    <row r="167" spans="3:3" x14ac:dyDescent="0.2">
      <c r="C167" s="3"/>
    </row>
    <row r="168" spans="3:3" x14ac:dyDescent="0.2">
      <c r="C168" s="3"/>
    </row>
    <row r="169" spans="3:3" x14ac:dyDescent="0.2">
      <c r="C169" s="3"/>
    </row>
    <row r="170" spans="3:3" x14ac:dyDescent="0.2">
      <c r="C170" s="3"/>
    </row>
    <row r="171" spans="3:3" x14ac:dyDescent="0.2">
      <c r="C171" s="3"/>
    </row>
    <row r="172" spans="3:3" x14ac:dyDescent="0.2">
      <c r="C172" s="3"/>
    </row>
    <row r="173" spans="3:3" x14ac:dyDescent="0.2">
      <c r="C173" s="3"/>
    </row>
    <row r="174" spans="3:3" x14ac:dyDescent="0.2">
      <c r="C174" s="3"/>
    </row>
    <row r="175" spans="3:3" x14ac:dyDescent="0.2">
      <c r="C175" s="3"/>
    </row>
    <row r="176" spans="3:3" x14ac:dyDescent="0.2">
      <c r="C176" s="3"/>
    </row>
    <row r="177" spans="3:3" x14ac:dyDescent="0.2">
      <c r="C177" s="3"/>
    </row>
    <row r="178" spans="3:3" x14ac:dyDescent="0.2">
      <c r="C178" s="3"/>
    </row>
    <row r="179" spans="3:3" x14ac:dyDescent="0.2">
      <c r="C179" s="3"/>
    </row>
    <row r="180" spans="3:3" x14ac:dyDescent="0.2">
      <c r="C180" s="3"/>
    </row>
    <row r="181" spans="3:3" x14ac:dyDescent="0.2">
      <c r="C181" s="3"/>
    </row>
    <row r="182" spans="3:3" x14ac:dyDescent="0.2">
      <c r="C182" s="3"/>
    </row>
    <row r="183" spans="3:3" x14ac:dyDescent="0.2">
      <c r="C183" s="3"/>
    </row>
    <row r="184" spans="3:3" x14ac:dyDescent="0.2">
      <c r="C184" s="3"/>
    </row>
    <row r="185" spans="3:3" x14ac:dyDescent="0.2">
      <c r="C185" s="3"/>
    </row>
    <row r="186" spans="3:3" x14ac:dyDescent="0.2">
      <c r="C186" s="3"/>
    </row>
    <row r="187" spans="3:3" x14ac:dyDescent="0.2">
      <c r="C187" s="3"/>
    </row>
    <row r="188" spans="3:3" x14ac:dyDescent="0.2">
      <c r="C188" s="3"/>
    </row>
    <row r="189" spans="3:3" x14ac:dyDescent="0.2">
      <c r="C189" s="3"/>
    </row>
    <row r="190" spans="3:3" x14ac:dyDescent="0.2">
      <c r="C190" s="3"/>
    </row>
    <row r="191" spans="3:3" x14ac:dyDescent="0.2">
      <c r="C191" s="3"/>
    </row>
    <row r="192" spans="3:3" x14ac:dyDescent="0.2">
      <c r="C192" s="3"/>
    </row>
    <row r="193" spans="3:3" x14ac:dyDescent="0.2">
      <c r="C193" s="3"/>
    </row>
    <row r="194" spans="3:3" x14ac:dyDescent="0.2">
      <c r="C194" s="3"/>
    </row>
    <row r="195" spans="3:3" x14ac:dyDescent="0.2">
      <c r="C195" s="3"/>
    </row>
    <row r="196" spans="3:3" x14ac:dyDescent="0.2">
      <c r="C196" s="3"/>
    </row>
    <row r="197" spans="3:3" x14ac:dyDescent="0.2">
      <c r="C197" s="3"/>
    </row>
    <row r="198" spans="3:3" x14ac:dyDescent="0.2">
      <c r="C198" s="3"/>
    </row>
    <row r="199" spans="3:3" x14ac:dyDescent="0.2">
      <c r="C199" s="3"/>
    </row>
    <row r="200" spans="3:3" x14ac:dyDescent="0.2">
      <c r="C200" s="3"/>
    </row>
    <row r="201" spans="3:3" x14ac:dyDescent="0.2">
      <c r="C201" s="3"/>
    </row>
    <row r="202" spans="3:3" x14ac:dyDescent="0.2">
      <c r="C202" s="3"/>
    </row>
    <row r="203" spans="3:3" x14ac:dyDescent="0.2">
      <c r="C203" s="3"/>
    </row>
    <row r="204" spans="3:3" x14ac:dyDescent="0.2">
      <c r="C204" s="3"/>
    </row>
    <row r="205" spans="3:3" x14ac:dyDescent="0.2">
      <c r="C205" s="3"/>
    </row>
    <row r="206" spans="3:3" x14ac:dyDescent="0.2">
      <c r="C206" s="3"/>
    </row>
    <row r="207" spans="3:3" x14ac:dyDescent="0.2">
      <c r="C207" s="3"/>
    </row>
    <row r="208" spans="3:3" x14ac:dyDescent="0.2">
      <c r="C208" s="3"/>
    </row>
    <row r="209" spans="3:3" x14ac:dyDescent="0.2">
      <c r="C209" s="3"/>
    </row>
    <row r="210" spans="3:3" x14ac:dyDescent="0.2">
      <c r="C210" s="3"/>
    </row>
    <row r="211" spans="3:3" x14ac:dyDescent="0.2">
      <c r="C211" s="3"/>
    </row>
    <row r="212" spans="3:3" x14ac:dyDescent="0.2">
      <c r="C212" s="3"/>
    </row>
    <row r="213" spans="3:3" x14ac:dyDescent="0.2">
      <c r="C213" s="3"/>
    </row>
    <row r="214" spans="3:3" x14ac:dyDescent="0.2">
      <c r="C214" s="3"/>
    </row>
    <row r="215" spans="3:3" x14ac:dyDescent="0.2">
      <c r="C215" s="3"/>
    </row>
    <row r="216" spans="3:3" x14ac:dyDescent="0.2">
      <c r="C216" s="3"/>
    </row>
    <row r="217" spans="3:3" x14ac:dyDescent="0.2">
      <c r="C217" s="3"/>
    </row>
    <row r="218" spans="3:3" x14ac:dyDescent="0.2">
      <c r="C218" s="3"/>
    </row>
    <row r="219" spans="3:3" x14ac:dyDescent="0.2">
      <c r="C219" s="3"/>
    </row>
    <row r="220" spans="3:3" x14ac:dyDescent="0.2">
      <c r="C220" s="3"/>
    </row>
    <row r="221" spans="3:3" x14ac:dyDescent="0.2">
      <c r="C221" s="3"/>
    </row>
    <row r="222" spans="3:3" x14ac:dyDescent="0.2">
      <c r="C222" s="3"/>
    </row>
    <row r="223" spans="3:3" x14ac:dyDescent="0.2">
      <c r="C223" s="3"/>
    </row>
    <row r="224" spans="3:3" x14ac:dyDescent="0.2">
      <c r="C224" s="3"/>
    </row>
    <row r="225" spans="3:3" x14ac:dyDescent="0.2">
      <c r="C225" s="3"/>
    </row>
    <row r="226" spans="3:3" x14ac:dyDescent="0.2">
      <c r="C226" s="3"/>
    </row>
    <row r="227" spans="3:3" x14ac:dyDescent="0.2">
      <c r="C227" s="3"/>
    </row>
    <row r="228" spans="3:3" x14ac:dyDescent="0.2">
      <c r="C228" s="3"/>
    </row>
    <row r="229" spans="3:3" x14ac:dyDescent="0.2">
      <c r="C229" s="3"/>
    </row>
    <row r="230" spans="3:3" x14ac:dyDescent="0.2">
      <c r="C230" s="3"/>
    </row>
    <row r="231" spans="3:3" x14ac:dyDescent="0.2">
      <c r="C231" s="3"/>
    </row>
    <row r="232" spans="3:3" x14ac:dyDescent="0.2">
      <c r="C232" s="3"/>
    </row>
    <row r="233" spans="3:3" x14ac:dyDescent="0.2">
      <c r="C233" s="3"/>
    </row>
    <row r="234" spans="3:3" x14ac:dyDescent="0.2">
      <c r="C234" s="3"/>
    </row>
    <row r="235" spans="3:3" x14ac:dyDescent="0.2">
      <c r="C235" s="3"/>
    </row>
    <row r="236" spans="3:3" x14ac:dyDescent="0.2">
      <c r="C236" s="3"/>
    </row>
    <row r="237" spans="3:3" x14ac:dyDescent="0.2">
      <c r="C237" s="3"/>
    </row>
    <row r="238" spans="3:3" x14ac:dyDescent="0.2">
      <c r="C238" s="3"/>
    </row>
    <row r="239" spans="3:3" x14ac:dyDescent="0.2">
      <c r="C239" s="3"/>
    </row>
    <row r="240" spans="3:3" x14ac:dyDescent="0.2">
      <c r="C240" s="3"/>
    </row>
    <row r="241" spans="3:3" x14ac:dyDescent="0.2">
      <c r="C241" s="3"/>
    </row>
    <row r="242" spans="3:3" x14ac:dyDescent="0.2">
      <c r="C242" s="3"/>
    </row>
    <row r="243" spans="3:3" x14ac:dyDescent="0.2">
      <c r="C243" s="3"/>
    </row>
    <row r="244" spans="3:3" x14ac:dyDescent="0.2">
      <c r="C244" s="3"/>
    </row>
    <row r="245" spans="3:3" x14ac:dyDescent="0.2">
      <c r="C245" s="3"/>
    </row>
    <row r="246" spans="3:3" x14ac:dyDescent="0.2">
      <c r="C246" s="3"/>
    </row>
    <row r="247" spans="3:3" x14ac:dyDescent="0.2">
      <c r="C247" s="3"/>
    </row>
    <row r="248" spans="3:3" x14ac:dyDescent="0.2">
      <c r="C248" s="3"/>
    </row>
    <row r="249" spans="3:3" x14ac:dyDescent="0.2">
      <c r="C249" s="3"/>
    </row>
    <row r="250" spans="3:3" x14ac:dyDescent="0.2">
      <c r="C250" s="3"/>
    </row>
    <row r="251" spans="3:3" x14ac:dyDescent="0.2">
      <c r="C251" s="3"/>
    </row>
    <row r="252" spans="3:3" x14ac:dyDescent="0.2">
      <c r="C252" s="3"/>
    </row>
    <row r="253" spans="3:3" x14ac:dyDescent="0.2">
      <c r="C253" s="3"/>
    </row>
    <row r="254" spans="3:3" x14ac:dyDescent="0.2">
      <c r="C254" s="3"/>
    </row>
    <row r="255" spans="3:3" x14ac:dyDescent="0.2">
      <c r="C255" s="3"/>
    </row>
    <row r="256" spans="3:3" x14ac:dyDescent="0.2">
      <c r="C256" s="3"/>
    </row>
    <row r="257" spans="3:3" x14ac:dyDescent="0.2">
      <c r="C257" s="3"/>
    </row>
    <row r="258" spans="3:3" x14ac:dyDescent="0.2">
      <c r="C258" s="3"/>
    </row>
    <row r="259" spans="3:3" x14ac:dyDescent="0.2">
      <c r="C259" s="3"/>
    </row>
    <row r="260" spans="3:3" x14ac:dyDescent="0.2">
      <c r="C260" s="3"/>
    </row>
    <row r="261" spans="3:3" x14ac:dyDescent="0.2">
      <c r="C261" s="3"/>
    </row>
    <row r="262" spans="3:3" x14ac:dyDescent="0.2">
      <c r="C262" s="3"/>
    </row>
    <row r="263" spans="3:3" x14ac:dyDescent="0.2">
      <c r="C263" s="3"/>
    </row>
    <row r="264" spans="3:3" x14ac:dyDescent="0.2">
      <c r="C264" s="3"/>
    </row>
    <row r="265" spans="3:3" x14ac:dyDescent="0.2">
      <c r="C265" s="3"/>
    </row>
    <row r="266" spans="3:3" x14ac:dyDescent="0.2">
      <c r="C266" s="3"/>
    </row>
    <row r="267" spans="3:3" x14ac:dyDescent="0.2">
      <c r="C267" s="3"/>
    </row>
    <row r="268" spans="3:3" x14ac:dyDescent="0.2">
      <c r="C268" s="3"/>
    </row>
    <row r="269" spans="3:3" x14ac:dyDescent="0.2">
      <c r="C269" s="3"/>
    </row>
    <row r="270" spans="3:3" x14ac:dyDescent="0.2">
      <c r="C270" s="3"/>
    </row>
    <row r="271" spans="3:3" x14ac:dyDescent="0.2">
      <c r="C271" s="3"/>
    </row>
    <row r="272" spans="3:3" x14ac:dyDescent="0.2">
      <c r="C272" s="3"/>
    </row>
    <row r="273" spans="3:3" x14ac:dyDescent="0.2">
      <c r="C273" s="3"/>
    </row>
    <row r="274" spans="3:3" x14ac:dyDescent="0.2">
      <c r="C274" s="3"/>
    </row>
    <row r="275" spans="3:3" x14ac:dyDescent="0.2">
      <c r="C275" s="3"/>
    </row>
    <row r="276" spans="3:3" x14ac:dyDescent="0.2">
      <c r="C276" s="3"/>
    </row>
    <row r="277" spans="3:3" x14ac:dyDescent="0.2">
      <c r="C277" s="3"/>
    </row>
    <row r="278" spans="3:3" x14ac:dyDescent="0.2">
      <c r="C278" s="3"/>
    </row>
    <row r="279" spans="3:3" x14ac:dyDescent="0.2">
      <c r="C279" s="3"/>
    </row>
    <row r="280" spans="3:3" x14ac:dyDescent="0.2">
      <c r="C280" s="3"/>
    </row>
    <row r="281" spans="3:3" x14ac:dyDescent="0.2">
      <c r="C281" s="3"/>
    </row>
    <row r="282" spans="3:3" x14ac:dyDescent="0.2">
      <c r="C282" s="3"/>
    </row>
    <row r="283" spans="3:3" x14ac:dyDescent="0.2">
      <c r="C283" s="3"/>
    </row>
    <row r="284" spans="3:3" x14ac:dyDescent="0.2">
      <c r="C284" s="3"/>
    </row>
    <row r="285" spans="3:3" x14ac:dyDescent="0.2">
      <c r="C285" s="3"/>
    </row>
    <row r="286" spans="3:3" x14ac:dyDescent="0.2">
      <c r="C286" s="3"/>
    </row>
    <row r="287" spans="3:3" x14ac:dyDescent="0.2">
      <c r="C287" s="3"/>
    </row>
    <row r="288" spans="3:3" x14ac:dyDescent="0.2">
      <c r="C288" s="3"/>
    </row>
    <row r="289" spans="3:3" x14ac:dyDescent="0.2">
      <c r="C289" s="3"/>
    </row>
    <row r="290" spans="3:3" x14ac:dyDescent="0.2">
      <c r="C290" s="3"/>
    </row>
    <row r="291" spans="3:3" x14ac:dyDescent="0.2">
      <c r="C291" s="3"/>
    </row>
    <row r="292" spans="3:3" x14ac:dyDescent="0.2">
      <c r="C292" s="3"/>
    </row>
    <row r="293" spans="3:3" x14ac:dyDescent="0.2">
      <c r="C293" s="3"/>
    </row>
    <row r="294" spans="3:3" x14ac:dyDescent="0.2">
      <c r="C294" s="3"/>
    </row>
    <row r="295" spans="3:3" x14ac:dyDescent="0.2">
      <c r="C295" s="3"/>
    </row>
    <row r="296" spans="3:3" x14ac:dyDescent="0.2">
      <c r="C296" s="3"/>
    </row>
    <row r="297" spans="3:3" x14ac:dyDescent="0.2">
      <c r="C297" s="3"/>
    </row>
    <row r="298" spans="3:3" x14ac:dyDescent="0.2">
      <c r="C298" s="3"/>
    </row>
    <row r="299" spans="3:3" x14ac:dyDescent="0.2">
      <c r="C299" s="3"/>
    </row>
    <row r="300" spans="3:3" x14ac:dyDescent="0.2">
      <c r="C300" s="3"/>
    </row>
    <row r="301" spans="3:3" x14ac:dyDescent="0.2">
      <c r="C301" s="3"/>
    </row>
    <row r="302" spans="3:3" x14ac:dyDescent="0.2">
      <c r="C302" s="3"/>
    </row>
    <row r="303" spans="3:3" x14ac:dyDescent="0.2">
      <c r="C303" s="3"/>
    </row>
    <row r="304" spans="3:3" x14ac:dyDescent="0.2">
      <c r="C304" s="3"/>
    </row>
    <row r="305" spans="3:3" x14ac:dyDescent="0.2">
      <c r="C305" s="3"/>
    </row>
    <row r="306" spans="3:3" x14ac:dyDescent="0.2">
      <c r="C306" s="3"/>
    </row>
    <row r="307" spans="3:3" x14ac:dyDescent="0.2">
      <c r="C307" s="3"/>
    </row>
    <row r="308" spans="3:3" x14ac:dyDescent="0.2">
      <c r="C308" s="3"/>
    </row>
    <row r="309" spans="3:3" x14ac:dyDescent="0.2">
      <c r="C309" s="3"/>
    </row>
    <row r="310" spans="3:3" x14ac:dyDescent="0.2">
      <c r="C310" s="3"/>
    </row>
    <row r="311" spans="3:3" x14ac:dyDescent="0.2">
      <c r="C311" s="3"/>
    </row>
    <row r="312" spans="3:3" x14ac:dyDescent="0.2">
      <c r="C312" s="3"/>
    </row>
    <row r="313" spans="3:3" x14ac:dyDescent="0.2">
      <c r="C313" s="3"/>
    </row>
    <row r="314" spans="3:3" x14ac:dyDescent="0.2">
      <c r="C314" s="3"/>
    </row>
    <row r="315" spans="3:3" x14ac:dyDescent="0.2">
      <c r="C315" s="3"/>
    </row>
    <row r="316" spans="3:3" x14ac:dyDescent="0.2">
      <c r="C316" s="3"/>
    </row>
    <row r="317" spans="3:3" x14ac:dyDescent="0.2">
      <c r="C317" s="3"/>
    </row>
    <row r="318" spans="3:3" x14ac:dyDescent="0.2">
      <c r="C318" s="3"/>
    </row>
    <row r="319" spans="3:3" x14ac:dyDescent="0.2">
      <c r="C319" s="3"/>
    </row>
    <row r="320" spans="3:3" x14ac:dyDescent="0.2">
      <c r="C320" s="3"/>
    </row>
    <row r="321" spans="3:3" x14ac:dyDescent="0.2">
      <c r="C321" s="3"/>
    </row>
    <row r="322" spans="3:3" x14ac:dyDescent="0.2">
      <c r="C322" s="3"/>
    </row>
    <row r="323" spans="3:3" x14ac:dyDescent="0.2">
      <c r="C323" s="3"/>
    </row>
    <row r="324" spans="3:3" x14ac:dyDescent="0.2">
      <c r="C324" s="3"/>
    </row>
    <row r="325" spans="3:3" x14ac:dyDescent="0.2">
      <c r="C325" s="3"/>
    </row>
    <row r="326" spans="3:3" x14ac:dyDescent="0.2">
      <c r="C326" s="3"/>
    </row>
    <row r="327" spans="3:3" x14ac:dyDescent="0.2">
      <c r="C327" s="3"/>
    </row>
    <row r="328" spans="3:3" x14ac:dyDescent="0.2">
      <c r="C328" s="3"/>
    </row>
    <row r="329" spans="3:3" x14ac:dyDescent="0.2">
      <c r="C329" s="3"/>
    </row>
    <row r="330" spans="3:3" x14ac:dyDescent="0.2">
      <c r="C330" s="3"/>
    </row>
    <row r="331" spans="3:3" x14ac:dyDescent="0.2">
      <c r="C331" s="3"/>
    </row>
    <row r="332" spans="3:3" x14ac:dyDescent="0.2">
      <c r="C332" s="3"/>
    </row>
    <row r="333" spans="3:3" x14ac:dyDescent="0.2">
      <c r="C333" s="3"/>
    </row>
    <row r="334" spans="3:3" x14ac:dyDescent="0.2">
      <c r="C334" s="3"/>
    </row>
    <row r="335" spans="3:3" x14ac:dyDescent="0.2">
      <c r="C335" s="3"/>
    </row>
    <row r="336" spans="3:3" x14ac:dyDescent="0.2">
      <c r="C336" s="3"/>
    </row>
    <row r="337" spans="3:3" x14ac:dyDescent="0.2">
      <c r="C337" s="3"/>
    </row>
    <row r="338" spans="3:3" x14ac:dyDescent="0.2">
      <c r="C338" s="3"/>
    </row>
    <row r="339" spans="3:3" x14ac:dyDescent="0.2">
      <c r="C339" s="3"/>
    </row>
    <row r="340" spans="3:3" x14ac:dyDescent="0.2">
      <c r="C340" s="3"/>
    </row>
    <row r="341" spans="3:3" x14ac:dyDescent="0.2">
      <c r="C341" s="3"/>
    </row>
    <row r="342" spans="3:3" x14ac:dyDescent="0.2">
      <c r="C342" s="3"/>
    </row>
    <row r="343" spans="3:3" x14ac:dyDescent="0.2">
      <c r="C343" s="3"/>
    </row>
    <row r="344" spans="3:3" x14ac:dyDescent="0.2">
      <c r="C344" s="3"/>
    </row>
    <row r="345" spans="3:3" x14ac:dyDescent="0.2">
      <c r="C345" s="3"/>
    </row>
    <row r="346" spans="3:3" x14ac:dyDescent="0.2">
      <c r="C346" s="3"/>
    </row>
    <row r="347" spans="3:3" x14ac:dyDescent="0.2">
      <c r="C347" s="3"/>
    </row>
    <row r="348" spans="3:3" x14ac:dyDescent="0.2">
      <c r="C348" s="3"/>
    </row>
    <row r="349" spans="3:3" x14ac:dyDescent="0.2">
      <c r="C349" s="3"/>
    </row>
    <row r="350" spans="3:3" x14ac:dyDescent="0.2">
      <c r="C350" s="3"/>
    </row>
    <row r="351" spans="3:3" x14ac:dyDescent="0.2">
      <c r="C351" s="3"/>
    </row>
    <row r="352" spans="3:3" x14ac:dyDescent="0.2">
      <c r="C352" s="3"/>
    </row>
    <row r="353" spans="3:3" x14ac:dyDescent="0.2">
      <c r="C353" s="3"/>
    </row>
    <row r="354" spans="3:3" x14ac:dyDescent="0.2">
      <c r="C354" s="3"/>
    </row>
    <row r="355" spans="3:3" x14ac:dyDescent="0.2">
      <c r="C355" s="3"/>
    </row>
    <row r="356" spans="3:3" x14ac:dyDescent="0.2">
      <c r="C356" s="3"/>
    </row>
    <row r="357" spans="3:3" x14ac:dyDescent="0.2">
      <c r="C357" s="3"/>
    </row>
    <row r="358" spans="3:3" x14ac:dyDescent="0.2">
      <c r="C358" s="3"/>
    </row>
    <row r="359" spans="3:3" x14ac:dyDescent="0.2">
      <c r="C359" s="3"/>
    </row>
    <row r="360" spans="3:3" x14ac:dyDescent="0.2">
      <c r="C360" s="3"/>
    </row>
    <row r="361" spans="3:3" x14ac:dyDescent="0.2">
      <c r="C361" s="3"/>
    </row>
    <row r="362" spans="3:3" x14ac:dyDescent="0.2">
      <c r="C362" s="3"/>
    </row>
    <row r="363" spans="3:3" x14ac:dyDescent="0.2">
      <c r="C363" s="3"/>
    </row>
    <row r="364" spans="3:3" x14ac:dyDescent="0.2">
      <c r="C364" s="3"/>
    </row>
    <row r="365" spans="3:3" x14ac:dyDescent="0.2">
      <c r="C365" s="3"/>
    </row>
    <row r="366" spans="3:3" x14ac:dyDescent="0.2">
      <c r="C366" s="3"/>
    </row>
    <row r="367" spans="3:3" x14ac:dyDescent="0.2">
      <c r="C367" s="3"/>
    </row>
    <row r="368" spans="3:3" x14ac:dyDescent="0.2">
      <c r="C368" s="3"/>
    </row>
    <row r="369" spans="3:3" x14ac:dyDescent="0.2">
      <c r="C369" s="3"/>
    </row>
    <row r="370" spans="3:3" x14ac:dyDescent="0.2">
      <c r="C370" s="3"/>
    </row>
    <row r="371" spans="3:3" x14ac:dyDescent="0.2">
      <c r="C371" s="3"/>
    </row>
    <row r="372" spans="3:3" x14ac:dyDescent="0.2">
      <c r="C372" s="3"/>
    </row>
    <row r="373" spans="3:3" x14ac:dyDescent="0.2">
      <c r="C373" s="3"/>
    </row>
    <row r="374" spans="3:3" x14ac:dyDescent="0.2">
      <c r="C374" s="3"/>
    </row>
    <row r="375" spans="3:3" x14ac:dyDescent="0.2">
      <c r="C375" s="3"/>
    </row>
    <row r="376" spans="3:3" x14ac:dyDescent="0.2">
      <c r="C376" s="3"/>
    </row>
    <row r="377" spans="3:3" x14ac:dyDescent="0.2">
      <c r="C377" s="3"/>
    </row>
    <row r="378" spans="3:3" x14ac:dyDescent="0.2">
      <c r="C378" s="3"/>
    </row>
    <row r="379" spans="3:3" x14ac:dyDescent="0.2">
      <c r="C379" s="3"/>
    </row>
    <row r="380" spans="3:3" x14ac:dyDescent="0.2">
      <c r="C380" s="3"/>
    </row>
    <row r="381" spans="3:3" x14ac:dyDescent="0.2">
      <c r="C381" s="3"/>
    </row>
    <row r="382" spans="3:3" x14ac:dyDescent="0.2">
      <c r="C382" s="3"/>
    </row>
    <row r="383" spans="3:3" x14ac:dyDescent="0.2">
      <c r="C383" s="3"/>
    </row>
    <row r="384" spans="3:3" x14ac:dyDescent="0.2">
      <c r="C384" s="3"/>
    </row>
    <row r="385" spans="3:3" x14ac:dyDescent="0.2">
      <c r="C385" s="3"/>
    </row>
    <row r="386" spans="3:3" x14ac:dyDescent="0.2">
      <c r="C386" s="3"/>
    </row>
    <row r="387" spans="3:3" x14ac:dyDescent="0.2">
      <c r="C387" s="3"/>
    </row>
    <row r="388" spans="3:3" x14ac:dyDescent="0.2">
      <c r="C388" s="3"/>
    </row>
    <row r="389" spans="3:3" x14ac:dyDescent="0.2">
      <c r="C389" s="3"/>
    </row>
    <row r="390" spans="3:3" x14ac:dyDescent="0.2">
      <c r="C390" s="3"/>
    </row>
    <row r="391" spans="3:3" x14ac:dyDescent="0.2">
      <c r="C391" s="3"/>
    </row>
    <row r="392" spans="3:3" x14ac:dyDescent="0.2">
      <c r="C392" s="3"/>
    </row>
    <row r="393" spans="3:3" x14ac:dyDescent="0.2">
      <c r="C393" s="3"/>
    </row>
    <row r="394" spans="3:3" x14ac:dyDescent="0.2">
      <c r="C394" s="3"/>
    </row>
    <row r="395" spans="3:3" x14ac:dyDescent="0.2">
      <c r="C395" s="3"/>
    </row>
    <row r="396" spans="3:3" x14ac:dyDescent="0.2">
      <c r="C396" s="3"/>
    </row>
    <row r="397" spans="3:3" x14ac:dyDescent="0.2">
      <c r="C397" s="3"/>
    </row>
    <row r="398" spans="3:3" x14ac:dyDescent="0.2">
      <c r="C398" s="3"/>
    </row>
    <row r="399" spans="3:3" x14ac:dyDescent="0.2">
      <c r="C399" s="3"/>
    </row>
    <row r="400" spans="3:3" x14ac:dyDescent="0.2">
      <c r="C400" s="3"/>
    </row>
    <row r="401" spans="3:3" x14ac:dyDescent="0.2">
      <c r="C401" s="3"/>
    </row>
    <row r="402" spans="3:3" x14ac:dyDescent="0.2">
      <c r="C402" s="3"/>
    </row>
    <row r="403" spans="3:3" x14ac:dyDescent="0.2">
      <c r="C403" s="3"/>
    </row>
    <row r="404" spans="3:3" x14ac:dyDescent="0.2">
      <c r="C404" s="3"/>
    </row>
    <row r="405" spans="3:3" x14ac:dyDescent="0.2">
      <c r="C405" s="3"/>
    </row>
    <row r="406" spans="3:3" x14ac:dyDescent="0.2">
      <c r="C406" s="3"/>
    </row>
    <row r="407" spans="3:3" x14ac:dyDescent="0.2">
      <c r="C407" s="3"/>
    </row>
    <row r="408" spans="3:3" x14ac:dyDescent="0.2">
      <c r="C408" s="3"/>
    </row>
    <row r="409" spans="3:3" x14ac:dyDescent="0.2">
      <c r="C409" s="3"/>
    </row>
    <row r="410" spans="3:3" x14ac:dyDescent="0.2">
      <c r="C410" s="3"/>
    </row>
    <row r="411" spans="3:3" x14ac:dyDescent="0.2">
      <c r="C411" s="3"/>
    </row>
    <row r="412" spans="3:3" x14ac:dyDescent="0.2">
      <c r="C412" s="3"/>
    </row>
    <row r="413" spans="3:3" x14ac:dyDescent="0.2">
      <c r="C413" s="3"/>
    </row>
    <row r="414" spans="3:3" x14ac:dyDescent="0.2">
      <c r="C414" s="3"/>
    </row>
    <row r="415" spans="3:3" x14ac:dyDescent="0.2">
      <c r="C415" s="3"/>
    </row>
    <row r="416" spans="3:3" x14ac:dyDescent="0.2">
      <c r="C416" s="3"/>
    </row>
    <row r="417" spans="3:3" x14ac:dyDescent="0.2">
      <c r="C417" s="3"/>
    </row>
    <row r="418" spans="3:3" x14ac:dyDescent="0.2">
      <c r="C418" s="3"/>
    </row>
    <row r="419" spans="3:3" x14ac:dyDescent="0.2">
      <c r="C419" s="3"/>
    </row>
    <row r="420" spans="3:3" x14ac:dyDescent="0.2">
      <c r="C420" s="3"/>
    </row>
    <row r="421" spans="3:3" x14ac:dyDescent="0.2">
      <c r="C421" s="3"/>
    </row>
    <row r="422" spans="3:3" x14ac:dyDescent="0.2">
      <c r="C422" s="3"/>
    </row>
    <row r="423" spans="3:3" x14ac:dyDescent="0.2">
      <c r="C423" s="3"/>
    </row>
    <row r="424" spans="3:3" x14ac:dyDescent="0.2">
      <c r="C424" s="3"/>
    </row>
    <row r="425" spans="3:3" x14ac:dyDescent="0.2">
      <c r="C425" s="3"/>
    </row>
    <row r="426" spans="3:3" x14ac:dyDescent="0.2">
      <c r="C426" s="3"/>
    </row>
    <row r="427" spans="3:3" x14ac:dyDescent="0.2">
      <c r="C427" s="3"/>
    </row>
    <row r="428" spans="3:3" x14ac:dyDescent="0.2">
      <c r="C428" s="3"/>
    </row>
    <row r="429" spans="3:3" x14ac:dyDescent="0.2">
      <c r="C429" s="3"/>
    </row>
    <row r="430" spans="3:3" x14ac:dyDescent="0.2">
      <c r="C430" s="3"/>
    </row>
    <row r="431" spans="3:3" x14ac:dyDescent="0.2">
      <c r="C431" s="3"/>
    </row>
    <row r="432" spans="3:3" x14ac:dyDescent="0.2">
      <c r="C432" s="3"/>
    </row>
    <row r="433" spans="3:3" x14ac:dyDescent="0.2">
      <c r="C433" s="3"/>
    </row>
    <row r="434" spans="3:3" x14ac:dyDescent="0.2">
      <c r="C434" s="3"/>
    </row>
    <row r="435" spans="3:3" x14ac:dyDescent="0.2">
      <c r="C435" s="3"/>
    </row>
    <row r="436" spans="3:3" x14ac:dyDescent="0.2">
      <c r="C436" s="3"/>
    </row>
    <row r="437" spans="3:3" x14ac:dyDescent="0.2">
      <c r="C437" s="3"/>
    </row>
    <row r="438" spans="3:3" x14ac:dyDescent="0.2">
      <c r="C438" s="3"/>
    </row>
    <row r="439" spans="3:3" x14ac:dyDescent="0.2">
      <c r="C439" s="3"/>
    </row>
    <row r="440" spans="3:3" x14ac:dyDescent="0.2">
      <c r="C440" s="3"/>
    </row>
    <row r="441" spans="3:3" x14ac:dyDescent="0.2">
      <c r="C441" s="3"/>
    </row>
    <row r="442" spans="3:3" x14ac:dyDescent="0.2">
      <c r="C442" s="3"/>
    </row>
    <row r="443" spans="3:3" x14ac:dyDescent="0.2">
      <c r="C443" s="3"/>
    </row>
    <row r="444" spans="3:3" x14ac:dyDescent="0.2">
      <c r="C444" s="3"/>
    </row>
    <row r="445" spans="3:3" x14ac:dyDescent="0.2">
      <c r="C445" s="3"/>
    </row>
    <row r="446" spans="3:3" x14ac:dyDescent="0.2">
      <c r="C446" s="3"/>
    </row>
    <row r="447" spans="3:3" x14ac:dyDescent="0.2">
      <c r="C447" s="3"/>
    </row>
    <row r="448" spans="3:3" x14ac:dyDescent="0.2">
      <c r="C448" s="3"/>
    </row>
    <row r="449" spans="3:3" x14ac:dyDescent="0.2">
      <c r="C449" s="3"/>
    </row>
    <row r="450" spans="3:3" x14ac:dyDescent="0.2">
      <c r="C450" s="3"/>
    </row>
    <row r="451" spans="3:3" x14ac:dyDescent="0.2">
      <c r="C451" s="3"/>
    </row>
    <row r="452" spans="3:3" x14ac:dyDescent="0.2">
      <c r="C452" s="3"/>
    </row>
    <row r="453" spans="3:3" x14ac:dyDescent="0.2">
      <c r="C453" s="3"/>
    </row>
    <row r="454" spans="3:3" x14ac:dyDescent="0.2">
      <c r="C454" s="3"/>
    </row>
    <row r="455" spans="3:3" x14ac:dyDescent="0.2">
      <c r="C455" s="3"/>
    </row>
    <row r="456" spans="3:3" x14ac:dyDescent="0.2">
      <c r="C456" s="3"/>
    </row>
    <row r="457" spans="3:3" x14ac:dyDescent="0.2">
      <c r="C457" s="3"/>
    </row>
    <row r="458" spans="3:3" x14ac:dyDescent="0.2">
      <c r="C458" s="3"/>
    </row>
    <row r="459" spans="3:3" x14ac:dyDescent="0.2">
      <c r="C459" s="3"/>
    </row>
    <row r="460" spans="3:3" x14ac:dyDescent="0.2">
      <c r="C460" s="3"/>
    </row>
    <row r="461" spans="3:3" x14ac:dyDescent="0.2">
      <c r="C461" s="3"/>
    </row>
    <row r="462" spans="3:3" x14ac:dyDescent="0.2">
      <c r="C462" s="3"/>
    </row>
    <row r="463" spans="3:3" x14ac:dyDescent="0.2">
      <c r="C463" s="3"/>
    </row>
    <row r="464" spans="3:3" x14ac:dyDescent="0.2">
      <c r="C464" s="3"/>
    </row>
    <row r="465" spans="3:3" x14ac:dyDescent="0.2">
      <c r="C465" s="3"/>
    </row>
    <row r="466" spans="3:3" x14ac:dyDescent="0.2">
      <c r="C466" s="3"/>
    </row>
    <row r="467" spans="3:3" x14ac:dyDescent="0.2">
      <c r="C467" s="3"/>
    </row>
    <row r="468" spans="3:3" x14ac:dyDescent="0.2">
      <c r="C468" s="3"/>
    </row>
    <row r="469" spans="3:3" x14ac:dyDescent="0.2">
      <c r="C469" s="3"/>
    </row>
    <row r="470" spans="3:3" x14ac:dyDescent="0.2">
      <c r="C470" s="3"/>
    </row>
    <row r="471" spans="3:3" x14ac:dyDescent="0.2">
      <c r="C471" s="3"/>
    </row>
    <row r="472" spans="3:3" x14ac:dyDescent="0.2">
      <c r="C472" s="3"/>
    </row>
    <row r="473" spans="3:3" x14ac:dyDescent="0.2">
      <c r="C473" s="3"/>
    </row>
    <row r="474" spans="3:3" x14ac:dyDescent="0.2">
      <c r="C474" s="3"/>
    </row>
    <row r="475" spans="3:3" x14ac:dyDescent="0.2">
      <c r="C475" s="3"/>
    </row>
    <row r="476" spans="3:3" x14ac:dyDescent="0.2">
      <c r="C476" s="3"/>
    </row>
    <row r="477" spans="3:3" x14ac:dyDescent="0.2">
      <c r="C477" s="3"/>
    </row>
    <row r="478" spans="3:3" x14ac:dyDescent="0.2">
      <c r="C478" s="3"/>
    </row>
    <row r="479" spans="3:3" x14ac:dyDescent="0.2">
      <c r="C479" s="3"/>
    </row>
    <row r="480" spans="3:3" x14ac:dyDescent="0.2">
      <c r="C480" s="3"/>
    </row>
    <row r="481" spans="3:3" x14ac:dyDescent="0.2">
      <c r="C481" s="3"/>
    </row>
    <row r="482" spans="3:3" x14ac:dyDescent="0.2">
      <c r="C482" s="3"/>
    </row>
    <row r="483" spans="3:3" x14ac:dyDescent="0.2">
      <c r="C483" s="3"/>
    </row>
    <row r="484" spans="3:3" x14ac:dyDescent="0.2">
      <c r="C484" s="3"/>
    </row>
    <row r="485" spans="3:3" x14ac:dyDescent="0.2">
      <c r="C485" s="3"/>
    </row>
    <row r="486" spans="3:3" x14ac:dyDescent="0.2">
      <c r="C486" s="3"/>
    </row>
    <row r="487" spans="3:3" x14ac:dyDescent="0.2">
      <c r="C487" s="3"/>
    </row>
    <row r="488" spans="3:3" x14ac:dyDescent="0.2">
      <c r="C488" s="3"/>
    </row>
    <row r="489" spans="3:3" x14ac:dyDescent="0.2">
      <c r="C489" s="3"/>
    </row>
    <row r="490" spans="3:3" x14ac:dyDescent="0.2">
      <c r="C490" s="3"/>
    </row>
    <row r="491" spans="3:3" x14ac:dyDescent="0.2">
      <c r="C491" s="3"/>
    </row>
    <row r="492" spans="3:3" x14ac:dyDescent="0.2">
      <c r="C492" s="3"/>
    </row>
    <row r="493" spans="3:3" x14ac:dyDescent="0.2">
      <c r="C493" s="3"/>
    </row>
    <row r="494" spans="3:3" x14ac:dyDescent="0.2">
      <c r="C494" s="3"/>
    </row>
    <row r="495" spans="3:3" x14ac:dyDescent="0.2">
      <c r="C495" s="3"/>
    </row>
    <row r="496" spans="3:3" x14ac:dyDescent="0.2">
      <c r="C496" s="3"/>
    </row>
    <row r="497" spans="3:3" x14ac:dyDescent="0.2">
      <c r="C497" s="3"/>
    </row>
    <row r="498" spans="3:3" x14ac:dyDescent="0.2">
      <c r="C498" s="3"/>
    </row>
    <row r="499" spans="3:3" x14ac:dyDescent="0.2">
      <c r="C499" s="3"/>
    </row>
    <row r="500" spans="3:3" x14ac:dyDescent="0.2">
      <c r="C500" s="3"/>
    </row>
    <row r="501" spans="3:3" x14ac:dyDescent="0.2">
      <c r="C501" s="3"/>
    </row>
    <row r="502" spans="3:3" x14ac:dyDescent="0.2">
      <c r="C502" s="3"/>
    </row>
    <row r="503" spans="3:3" x14ac:dyDescent="0.2">
      <c r="C503" s="3"/>
    </row>
    <row r="504" spans="3:3" x14ac:dyDescent="0.2">
      <c r="C504" s="3"/>
    </row>
    <row r="505" spans="3:3" x14ac:dyDescent="0.2">
      <c r="C505" s="3"/>
    </row>
    <row r="506" spans="3:3" x14ac:dyDescent="0.2">
      <c r="C506" s="3"/>
    </row>
    <row r="507" spans="3:3" x14ac:dyDescent="0.2">
      <c r="C507" s="3"/>
    </row>
    <row r="508" spans="3:3" x14ac:dyDescent="0.2">
      <c r="C508" s="3"/>
    </row>
    <row r="509" spans="3:3" x14ac:dyDescent="0.2">
      <c r="C509" s="3"/>
    </row>
    <row r="510" spans="3:3" x14ac:dyDescent="0.2">
      <c r="C510" s="3"/>
    </row>
    <row r="511" spans="3:3" x14ac:dyDescent="0.2">
      <c r="C511" s="3"/>
    </row>
    <row r="512" spans="3:3" x14ac:dyDescent="0.2">
      <c r="C512" s="3"/>
    </row>
    <row r="513" spans="3:3" x14ac:dyDescent="0.2">
      <c r="C513" s="3"/>
    </row>
    <row r="514" spans="3:3" x14ac:dyDescent="0.2">
      <c r="C514" s="3"/>
    </row>
    <row r="515" spans="3:3" x14ac:dyDescent="0.2">
      <c r="C515" s="3"/>
    </row>
    <row r="516" spans="3:3" x14ac:dyDescent="0.2">
      <c r="C516" s="3"/>
    </row>
    <row r="517" spans="3:3" x14ac:dyDescent="0.2">
      <c r="C517" s="3"/>
    </row>
    <row r="518" spans="3:3" x14ac:dyDescent="0.2">
      <c r="C518" s="3"/>
    </row>
    <row r="519" spans="3:3" x14ac:dyDescent="0.2">
      <c r="C519" s="3"/>
    </row>
    <row r="520" spans="3:3" x14ac:dyDescent="0.2">
      <c r="C520" s="3"/>
    </row>
    <row r="521" spans="3:3" x14ac:dyDescent="0.2">
      <c r="C521" s="3"/>
    </row>
    <row r="522" spans="3:3" x14ac:dyDescent="0.2">
      <c r="C522" s="3"/>
    </row>
    <row r="523" spans="3:3" x14ac:dyDescent="0.2">
      <c r="C523" s="3"/>
    </row>
    <row r="524" spans="3:3" x14ac:dyDescent="0.2">
      <c r="C524" s="3"/>
    </row>
    <row r="525" spans="3:3" x14ac:dyDescent="0.2">
      <c r="C525" s="3"/>
    </row>
    <row r="526" spans="3:3" x14ac:dyDescent="0.2">
      <c r="C526" s="3"/>
    </row>
    <row r="527" spans="3:3" x14ac:dyDescent="0.2">
      <c r="C527" s="3"/>
    </row>
    <row r="528" spans="3:3" x14ac:dyDescent="0.2">
      <c r="C528" s="3"/>
    </row>
    <row r="529" spans="3:3" x14ac:dyDescent="0.2">
      <c r="C529" s="3"/>
    </row>
    <row r="530" spans="3:3" x14ac:dyDescent="0.2">
      <c r="C530" s="3"/>
    </row>
    <row r="531" spans="3:3" x14ac:dyDescent="0.2">
      <c r="C531" s="3"/>
    </row>
    <row r="532" spans="3:3" x14ac:dyDescent="0.2">
      <c r="C532" s="3"/>
    </row>
    <row r="533" spans="3:3" x14ac:dyDescent="0.2">
      <c r="C533" s="3"/>
    </row>
    <row r="534" spans="3:3" x14ac:dyDescent="0.2">
      <c r="C534" s="3"/>
    </row>
    <row r="535" spans="3:3" x14ac:dyDescent="0.2">
      <c r="C535" s="3"/>
    </row>
    <row r="536" spans="3:3" x14ac:dyDescent="0.2">
      <c r="C536" s="3"/>
    </row>
    <row r="537" spans="3:3" x14ac:dyDescent="0.2">
      <c r="C537" s="3"/>
    </row>
    <row r="538" spans="3:3" x14ac:dyDescent="0.2">
      <c r="C538" s="3"/>
    </row>
    <row r="539" spans="3:3" x14ac:dyDescent="0.2">
      <c r="C539" s="3"/>
    </row>
    <row r="540" spans="3:3" x14ac:dyDescent="0.2">
      <c r="C540" s="3"/>
    </row>
    <row r="541" spans="3:3" x14ac:dyDescent="0.2">
      <c r="C541" s="3"/>
    </row>
    <row r="542" spans="3:3" x14ac:dyDescent="0.2">
      <c r="C542" s="3"/>
    </row>
    <row r="543" spans="3:3" x14ac:dyDescent="0.2">
      <c r="C543" s="3"/>
    </row>
    <row r="544" spans="3:3" x14ac:dyDescent="0.2">
      <c r="C544" s="3"/>
    </row>
    <row r="545" spans="3:3" x14ac:dyDescent="0.2">
      <c r="C545" s="3"/>
    </row>
    <row r="546" spans="3:3" x14ac:dyDescent="0.2">
      <c r="C546" s="3"/>
    </row>
    <row r="547" spans="3:3" x14ac:dyDescent="0.2">
      <c r="C547" s="3"/>
    </row>
    <row r="548" spans="3:3" x14ac:dyDescent="0.2">
      <c r="C548" s="3"/>
    </row>
    <row r="549" spans="3:3" x14ac:dyDescent="0.2">
      <c r="C549" s="3"/>
    </row>
    <row r="550" spans="3:3" x14ac:dyDescent="0.2">
      <c r="C550" s="3"/>
    </row>
    <row r="551" spans="3:3" x14ac:dyDescent="0.2">
      <c r="C551" s="3"/>
    </row>
    <row r="552" spans="3:3" x14ac:dyDescent="0.2">
      <c r="C552" s="3"/>
    </row>
    <row r="553" spans="3:3" x14ac:dyDescent="0.2">
      <c r="C553" s="3"/>
    </row>
    <row r="554" spans="3:3" x14ac:dyDescent="0.2">
      <c r="C554" s="3"/>
    </row>
    <row r="555" spans="3:3" x14ac:dyDescent="0.2">
      <c r="C555" s="3"/>
    </row>
    <row r="556" spans="3:3" x14ac:dyDescent="0.2">
      <c r="C556" s="3"/>
    </row>
    <row r="557" spans="3:3" x14ac:dyDescent="0.2">
      <c r="C557" s="3"/>
    </row>
    <row r="558" spans="3:3" x14ac:dyDescent="0.2">
      <c r="C558" s="3"/>
    </row>
    <row r="559" spans="3:3" x14ac:dyDescent="0.2">
      <c r="C559" s="3"/>
    </row>
    <row r="560" spans="3:3" x14ac:dyDescent="0.2">
      <c r="C560" s="3"/>
    </row>
    <row r="561" spans="3:3" x14ac:dyDescent="0.2">
      <c r="C561" s="3"/>
    </row>
    <row r="562" spans="3:3" x14ac:dyDescent="0.2">
      <c r="C562" s="3"/>
    </row>
    <row r="563" spans="3:3" x14ac:dyDescent="0.2">
      <c r="C563" s="3"/>
    </row>
    <row r="564" spans="3:3" x14ac:dyDescent="0.2">
      <c r="C564" s="3"/>
    </row>
    <row r="565" spans="3:3" x14ac:dyDescent="0.2">
      <c r="C565" s="3"/>
    </row>
    <row r="566" spans="3:3" x14ac:dyDescent="0.2">
      <c r="C566" s="3"/>
    </row>
    <row r="567" spans="3:3" x14ac:dyDescent="0.2">
      <c r="C567" s="3"/>
    </row>
    <row r="568" spans="3:3" x14ac:dyDescent="0.2">
      <c r="C568" s="3"/>
    </row>
    <row r="569" spans="3:3" x14ac:dyDescent="0.2">
      <c r="C569" s="3"/>
    </row>
    <row r="570" spans="3:3" x14ac:dyDescent="0.2">
      <c r="C570" s="3"/>
    </row>
    <row r="571" spans="3:3" x14ac:dyDescent="0.2">
      <c r="C571" s="3"/>
    </row>
    <row r="572" spans="3:3" x14ac:dyDescent="0.2">
      <c r="C572" s="3"/>
    </row>
    <row r="573" spans="3:3" x14ac:dyDescent="0.2">
      <c r="C573" s="3"/>
    </row>
    <row r="574" spans="3:3" x14ac:dyDescent="0.2">
      <c r="C574" s="3"/>
    </row>
    <row r="575" spans="3:3" x14ac:dyDescent="0.2">
      <c r="C575" s="3"/>
    </row>
    <row r="576" spans="3:3" x14ac:dyDescent="0.2">
      <c r="C576" s="3"/>
    </row>
    <row r="577" spans="3:3" x14ac:dyDescent="0.2">
      <c r="C577" s="3"/>
    </row>
    <row r="578" spans="3:3" x14ac:dyDescent="0.2">
      <c r="C578" s="3"/>
    </row>
    <row r="579" spans="3:3" x14ac:dyDescent="0.2">
      <c r="C579" s="3"/>
    </row>
    <row r="580" spans="3:3" x14ac:dyDescent="0.2">
      <c r="C580" s="3"/>
    </row>
    <row r="581" spans="3:3" x14ac:dyDescent="0.2">
      <c r="C581" s="3"/>
    </row>
    <row r="582" spans="3:3" x14ac:dyDescent="0.2">
      <c r="C582" s="3"/>
    </row>
    <row r="583" spans="3:3" x14ac:dyDescent="0.2">
      <c r="C583" s="3"/>
    </row>
    <row r="584" spans="3:3" x14ac:dyDescent="0.2">
      <c r="C584" s="3"/>
    </row>
    <row r="585" spans="3:3" x14ac:dyDescent="0.2">
      <c r="C585" s="3"/>
    </row>
    <row r="586" spans="3:3" x14ac:dyDescent="0.2">
      <c r="C586" s="3"/>
    </row>
    <row r="587" spans="3:3" x14ac:dyDescent="0.2">
      <c r="C587" s="3"/>
    </row>
    <row r="588" spans="3:3" x14ac:dyDescent="0.2">
      <c r="C588" s="3"/>
    </row>
    <row r="589" spans="3:3" x14ac:dyDescent="0.2">
      <c r="C589" s="3"/>
    </row>
    <row r="590" spans="3:3" x14ac:dyDescent="0.2">
      <c r="C590" s="3"/>
    </row>
    <row r="591" spans="3:3" x14ac:dyDescent="0.2">
      <c r="C591" s="3"/>
    </row>
    <row r="592" spans="3:3" x14ac:dyDescent="0.2">
      <c r="C592" s="3"/>
    </row>
    <row r="593" spans="3:3" x14ac:dyDescent="0.2">
      <c r="C593" s="3"/>
    </row>
    <row r="594" spans="3:3" x14ac:dyDescent="0.2">
      <c r="C594" s="3"/>
    </row>
    <row r="595" spans="3:3" x14ac:dyDescent="0.2">
      <c r="C595" s="3"/>
    </row>
    <row r="596" spans="3:3" x14ac:dyDescent="0.2">
      <c r="C596" s="3"/>
    </row>
    <row r="597" spans="3:3" x14ac:dyDescent="0.2">
      <c r="C597" s="3"/>
    </row>
    <row r="598" spans="3:3" x14ac:dyDescent="0.2">
      <c r="C598" s="3"/>
    </row>
    <row r="599" spans="3:3" x14ac:dyDescent="0.2">
      <c r="C599" s="3"/>
    </row>
    <row r="600" spans="3:3" x14ac:dyDescent="0.2">
      <c r="C600" s="3"/>
    </row>
    <row r="601" spans="3:3" x14ac:dyDescent="0.2">
      <c r="C601" s="3"/>
    </row>
    <row r="602" spans="3:3" x14ac:dyDescent="0.2">
      <c r="C602" s="3"/>
    </row>
    <row r="603" spans="3:3" x14ac:dyDescent="0.2">
      <c r="C603" s="3"/>
    </row>
    <row r="604" spans="3:3" x14ac:dyDescent="0.2">
      <c r="C604" s="3"/>
    </row>
    <row r="605" spans="3:3" x14ac:dyDescent="0.2">
      <c r="C605" s="3"/>
    </row>
    <row r="606" spans="3:3" x14ac:dyDescent="0.2">
      <c r="C606" s="3"/>
    </row>
    <row r="607" spans="3:3" x14ac:dyDescent="0.2">
      <c r="C607" s="3"/>
    </row>
    <row r="608" spans="3:3" x14ac:dyDescent="0.2">
      <c r="C608" s="3"/>
    </row>
    <row r="609" spans="3:3" x14ac:dyDescent="0.2">
      <c r="C609" s="3"/>
    </row>
    <row r="610" spans="3:3" x14ac:dyDescent="0.2">
      <c r="C610" s="3"/>
    </row>
    <row r="611" spans="3:3" x14ac:dyDescent="0.2">
      <c r="C611" s="3"/>
    </row>
    <row r="612" spans="3:3" x14ac:dyDescent="0.2">
      <c r="C612" s="3"/>
    </row>
    <row r="613" spans="3:3" x14ac:dyDescent="0.2">
      <c r="C613" s="3"/>
    </row>
    <row r="614" spans="3:3" x14ac:dyDescent="0.2">
      <c r="C614" s="3"/>
    </row>
    <row r="615" spans="3:3" x14ac:dyDescent="0.2">
      <c r="C615" s="3"/>
    </row>
    <row r="616" spans="3:3" x14ac:dyDescent="0.2">
      <c r="C616" s="3"/>
    </row>
    <row r="617" spans="3:3" x14ac:dyDescent="0.2">
      <c r="C617" s="3"/>
    </row>
    <row r="618" spans="3:3" x14ac:dyDescent="0.2">
      <c r="C618" s="3"/>
    </row>
    <row r="619" spans="3:3" x14ac:dyDescent="0.2">
      <c r="C619" s="3"/>
    </row>
    <row r="620" spans="3:3" x14ac:dyDescent="0.2">
      <c r="C620" s="3"/>
    </row>
    <row r="621" spans="3:3" x14ac:dyDescent="0.2">
      <c r="C621" s="3"/>
    </row>
    <row r="622" spans="3:3" x14ac:dyDescent="0.2">
      <c r="C622" s="3"/>
    </row>
    <row r="623" spans="3:3" x14ac:dyDescent="0.2">
      <c r="C623" s="3"/>
    </row>
    <row r="624" spans="3:3" x14ac:dyDescent="0.2">
      <c r="C624" s="3"/>
    </row>
    <row r="625" spans="3:3" x14ac:dyDescent="0.2">
      <c r="C625" s="3"/>
    </row>
    <row r="626" spans="3:3" x14ac:dyDescent="0.2">
      <c r="C626" s="3"/>
    </row>
    <row r="627" spans="3:3" x14ac:dyDescent="0.2">
      <c r="C627" s="3"/>
    </row>
    <row r="628" spans="3:3" x14ac:dyDescent="0.2">
      <c r="C628" s="3"/>
    </row>
    <row r="629" spans="3:3" x14ac:dyDescent="0.2">
      <c r="C629" s="3"/>
    </row>
    <row r="630" spans="3:3" x14ac:dyDescent="0.2">
      <c r="C630" s="3"/>
    </row>
    <row r="631" spans="3:3" x14ac:dyDescent="0.2">
      <c r="C631" s="3"/>
    </row>
    <row r="632" spans="3:3" x14ac:dyDescent="0.2">
      <c r="C632" s="3"/>
    </row>
    <row r="633" spans="3:3" x14ac:dyDescent="0.2">
      <c r="C633" s="3"/>
    </row>
    <row r="634" spans="3:3" x14ac:dyDescent="0.2">
      <c r="C634" s="3"/>
    </row>
    <row r="635" spans="3:3" x14ac:dyDescent="0.2">
      <c r="C635" s="3"/>
    </row>
    <row r="636" spans="3:3" x14ac:dyDescent="0.2">
      <c r="C636" s="3"/>
    </row>
    <row r="637" spans="3:3" x14ac:dyDescent="0.2">
      <c r="C637" s="3"/>
    </row>
    <row r="638" spans="3:3" x14ac:dyDescent="0.2">
      <c r="C638" s="3"/>
    </row>
    <row r="639" spans="3:3" x14ac:dyDescent="0.2">
      <c r="C639" s="3"/>
    </row>
    <row r="640" spans="3:3" x14ac:dyDescent="0.2">
      <c r="C640" s="3"/>
    </row>
    <row r="641" spans="3:3" x14ac:dyDescent="0.2">
      <c r="C641" s="3"/>
    </row>
    <row r="642" spans="3:3" x14ac:dyDescent="0.2">
      <c r="C642" s="3"/>
    </row>
    <row r="643" spans="3:3" x14ac:dyDescent="0.2">
      <c r="C643" s="3"/>
    </row>
    <row r="644" spans="3:3" x14ac:dyDescent="0.2">
      <c r="C644" s="3"/>
    </row>
    <row r="645" spans="3:3" x14ac:dyDescent="0.2">
      <c r="C645" s="3"/>
    </row>
    <row r="646" spans="3:3" x14ac:dyDescent="0.2">
      <c r="C646" s="3"/>
    </row>
    <row r="647" spans="3:3" x14ac:dyDescent="0.2">
      <c r="C647" s="3"/>
    </row>
    <row r="648" spans="3:3" x14ac:dyDescent="0.2">
      <c r="C648" s="3"/>
    </row>
    <row r="649" spans="3:3" x14ac:dyDescent="0.2">
      <c r="C649" s="3"/>
    </row>
    <row r="650" spans="3:3" x14ac:dyDescent="0.2">
      <c r="C650" s="3"/>
    </row>
    <row r="651" spans="3:3" x14ac:dyDescent="0.2">
      <c r="C651" s="3"/>
    </row>
    <row r="652" spans="3:3" x14ac:dyDescent="0.2">
      <c r="C652" s="3"/>
    </row>
    <row r="653" spans="3:3" x14ac:dyDescent="0.2">
      <c r="C653" s="3"/>
    </row>
    <row r="654" spans="3:3" x14ac:dyDescent="0.2">
      <c r="C654" s="3"/>
    </row>
    <row r="655" spans="3:3" x14ac:dyDescent="0.2">
      <c r="C655" s="3"/>
    </row>
    <row r="656" spans="3:3" x14ac:dyDescent="0.2">
      <c r="C656" s="3"/>
    </row>
    <row r="657" spans="3:3" x14ac:dyDescent="0.2">
      <c r="C657" s="3"/>
    </row>
    <row r="658" spans="3:3" x14ac:dyDescent="0.2">
      <c r="C658" s="3"/>
    </row>
    <row r="659" spans="3:3" x14ac:dyDescent="0.2">
      <c r="C659" s="3"/>
    </row>
    <row r="660" spans="3:3" x14ac:dyDescent="0.2">
      <c r="C660" s="3"/>
    </row>
    <row r="661" spans="3:3" x14ac:dyDescent="0.2">
      <c r="C661" s="3"/>
    </row>
    <row r="662" spans="3:3" x14ac:dyDescent="0.2">
      <c r="C662" s="3"/>
    </row>
    <row r="663" spans="3:3" x14ac:dyDescent="0.2">
      <c r="C663" s="3"/>
    </row>
    <row r="664" spans="3:3" x14ac:dyDescent="0.2">
      <c r="C664" s="3"/>
    </row>
    <row r="665" spans="3:3" x14ac:dyDescent="0.2">
      <c r="C665" s="3"/>
    </row>
    <row r="666" spans="3:3" x14ac:dyDescent="0.2">
      <c r="C666" s="3"/>
    </row>
    <row r="667" spans="3:3" x14ac:dyDescent="0.2">
      <c r="C667" s="3"/>
    </row>
  </sheetData>
  <mergeCells count="29">
    <mergeCell ref="D1:F1"/>
    <mergeCell ref="F4:F6"/>
    <mergeCell ref="R4:R6"/>
    <mergeCell ref="Q4:Q6"/>
    <mergeCell ref="P4:P6"/>
    <mergeCell ref="O4:O6"/>
    <mergeCell ref="N4:N6"/>
    <mergeCell ref="M4:M6"/>
    <mergeCell ref="L4:L6"/>
    <mergeCell ref="K4:K6"/>
    <mergeCell ref="AB4:AB6"/>
    <mergeCell ref="G4:G6"/>
    <mergeCell ref="AC4:AC6"/>
    <mergeCell ref="X4:X6"/>
    <mergeCell ref="J4:J6"/>
    <mergeCell ref="I4:I6"/>
    <mergeCell ref="H4:H6"/>
    <mergeCell ref="S4:S6"/>
    <mergeCell ref="T4:T6"/>
    <mergeCell ref="U4:U6"/>
    <mergeCell ref="V4:V6"/>
    <mergeCell ref="W4:W6"/>
    <mergeCell ref="C130:D130"/>
    <mergeCell ref="C126:D126"/>
    <mergeCell ref="Y4:Y6"/>
    <mergeCell ref="Z4:Z6"/>
    <mergeCell ref="AA4:AA6"/>
    <mergeCell ref="F124:I124"/>
    <mergeCell ref="C128:F128"/>
  </mergeCells>
  <conditionalFormatting sqref="AE9 AE52:AE61">
    <cfRule type="expression" dxfId="13" priority="15">
      <formula>$AE9&gt;$D9</formula>
    </cfRule>
  </conditionalFormatting>
  <conditionalFormatting sqref="AE10:AE11">
    <cfRule type="expression" dxfId="12" priority="14">
      <formula>$AE10&gt;$D10</formula>
    </cfRule>
  </conditionalFormatting>
  <conditionalFormatting sqref="AE13:AE16">
    <cfRule type="expression" dxfId="11" priority="13">
      <formula>$AE13&gt;$D13</formula>
    </cfRule>
  </conditionalFormatting>
  <conditionalFormatting sqref="AE18:AE27">
    <cfRule type="expression" dxfId="10" priority="12">
      <formula>$AE18&gt;$D18</formula>
    </cfRule>
  </conditionalFormatting>
  <conditionalFormatting sqref="AE29:AE32">
    <cfRule type="expression" dxfId="9" priority="11">
      <formula>$AE29&gt;$D29</formula>
    </cfRule>
  </conditionalFormatting>
  <conditionalFormatting sqref="AE34:AE50">
    <cfRule type="expression" dxfId="8" priority="10">
      <formula>$AE34&gt;$D34</formula>
    </cfRule>
  </conditionalFormatting>
  <conditionalFormatting sqref="AE63:AE71">
    <cfRule type="expression" dxfId="7" priority="8">
      <formula>$AE63&gt;$D63</formula>
    </cfRule>
  </conditionalFormatting>
  <conditionalFormatting sqref="AE73:AE78">
    <cfRule type="expression" dxfId="6" priority="7">
      <formula>$AE73&gt;$D73</formula>
    </cfRule>
  </conditionalFormatting>
  <conditionalFormatting sqref="AE80:AE85">
    <cfRule type="expression" dxfId="5" priority="6">
      <formula>$AE80&gt;$D80</formula>
    </cfRule>
  </conditionalFormatting>
  <conditionalFormatting sqref="AE87:AE92">
    <cfRule type="expression" dxfId="4" priority="5">
      <formula>$AE87&gt;$D87</formula>
    </cfRule>
  </conditionalFormatting>
  <conditionalFormatting sqref="AE94">
    <cfRule type="expression" dxfId="3" priority="4">
      <formula>$AE94&gt;$D94</formula>
    </cfRule>
  </conditionalFormatting>
  <conditionalFormatting sqref="AE96">
    <cfRule type="expression" dxfId="2" priority="3">
      <formula>$AE96&gt;$D96</formula>
    </cfRule>
  </conditionalFormatting>
  <conditionalFormatting sqref="AE99:AE113">
    <cfRule type="expression" dxfId="1" priority="2">
      <formula>$AE99&gt;$D99</formula>
    </cfRule>
  </conditionalFormatting>
  <conditionalFormatting sqref="AE115">
    <cfRule type="expression" dxfId="0" priority="1">
      <formula>$AE115&gt;$D115</formula>
    </cfRule>
  </conditionalFormatting>
  <pageMargins left="0.75" right="0.75" top="1" bottom="1" header="0.5" footer="0.5"/>
  <pageSetup scale="57" fitToHeight="0" orientation="portrait" r:id="rId1"/>
  <headerFooter alignWithMargins="0">
    <oddHeader>&amp;L&amp;F&amp;R&amp;A</oddHeader>
    <oddFooter>&amp;LPage &amp;P of &amp;N&amp;RPrinted &amp;D</oddFooter>
  </headerFooter>
  <rowBreaks count="1" manualBreakCount="1">
    <brk id="78" min="2" max="10" man="1"/>
  </row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BF43"/>
  <sheetViews>
    <sheetView zoomScaleNormal="100" workbookViewId="0">
      <selection activeCell="C27" sqref="C27"/>
    </sheetView>
  </sheetViews>
  <sheetFormatPr defaultColWidth="9.140625" defaultRowHeight="15" x14ac:dyDescent="0.2"/>
  <cols>
    <col min="1" max="1" width="4.28515625" style="284" customWidth="1"/>
    <col min="2" max="2" width="1.85546875" style="284" customWidth="1"/>
    <col min="3" max="3" width="70" style="284" customWidth="1"/>
    <col min="4" max="4" width="15" style="284" customWidth="1"/>
    <col min="5" max="5" width="16.5703125" style="284" customWidth="1"/>
    <col min="6" max="6" width="17.85546875" style="284" customWidth="1"/>
    <col min="7" max="7" width="18" style="284" customWidth="1"/>
    <col min="8" max="8" width="2.85546875" style="284" customWidth="1"/>
    <col min="9" max="16384" width="9.140625" style="284"/>
  </cols>
  <sheetData>
    <row r="1" spans="1:9" s="299" customFormat="1" ht="22.5" x14ac:dyDescent="0.2">
      <c r="A1" s="515" t="s">
        <v>424</v>
      </c>
      <c r="C1" s="297" t="s">
        <v>328</v>
      </c>
      <c r="E1" s="748" t="s">
        <v>59</v>
      </c>
      <c r="F1" s="748"/>
    </row>
    <row r="2" spans="1:9" ht="22.5" x14ac:dyDescent="0.2">
      <c r="C2" s="297" t="s">
        <v>329</v>
      </c>
      <c r="E2" s="748"/>
      <c r="F2" s="748"/>
      <c r="I2" s="521"/>
    </row>
    <row r="3" spans="1:9" ht="18" x14ac:dyDescent="0.25">
      <c r="C3" s="454" t="str">
        <f>Requirements!C4</f>
        <v>Project Name - Sample Project : 20 Units</v>
      </c>
    </row>
    <row r="4" spans="1:9" x14ac:dyDescent="0.2">
      <c r="I4" s="400"/>
    </row>
    <row r="5" spans="1:9" x14ac:dyDescent="0.2">
      <c r="C5" s="300" t="s">
        <v>37</v>
      </c>
      <c r="D5" s="438">
        <f>+Requirements!G39</f>
        <v>15</v>
      </c>
      <c r="E5" s="284" t="s">
        <v>330</v>
      </c>
      <c r="I5" s="400"/>
    </row>
    <row r="6" spans="1:9" x14ac:dyDescent="0.2">
      <c r="C6" s="284" t="s">
        <v>573</v>
      </c>
      <c r="I6" s="400"/>
    </row>
    <row r="7" spans="1:9" x14ac:dyDescent="0.2">
      <c r="A7" s="629" t="s">
        <v>424</v>
      </c>
      <c r="B7" s="302"/>
      <c r="C7" s="301" t="s">
        <v>701</v>
      </c>
      <c r="D7" s="439">
        <f>+D5</f>
        <v>15</v>
      </c>
      <c r="E7" s="301" t="s">
        <v>330</v>
      </c>
      <c r="F7" s="608" t="str">
        <f>IF(D7&lt;D5,"Cannot be shorter than "&amp;D5&amp;" years","")</f>
        <v/>
      </c>
      <c r="I7" s="400"/>
    </row>
    <row r="8" spans="1:9" x14ac:dyDescent="0.2">
      <c r="C8" s="298" t="s">
        <v>702</v>
      </c>
    </row>
    <row r="10" spans="1:9" s="302" customFormat="1" ht="15" customHeight="1" x14ac:dyDescent="0.2">
      <c r="C10" s="300" t="s">
        <v>146</v>
      </c>
      <c r="E10" s="300"/>
      <c r="F10" s="300"/>
      <c r="G10" s="301"/>
      <c r="H10" s="301"/>
      <c r="I10" s="303"/>
    </row>
    <row r="11" spans="1:9" s="302" customFormat="1" ht="15" customHeight="1" x14ac:dyDescent="0.2">
      <c r="A11" s="402" t="s">
        <v>424</v>
      </c>
      <c r="C11" s="301" t="s">
        <v>146</v>
      </c>
      <c r="D11" s="439">
        <v>15</v>
      </c>
      <c r="E11" s="301" t="s">
        <v>330</v>
      </c>
      <c r="F11" s="301"/>
      <c r="H11" s="304"/>
      <c r="I11" s="301"/>
    </row>
    <row r="12" spans="1:9" x14ac:dyDescent="0.2">
      <c r="A12" s="629" t="s">
        <v>424</v>
      </c>
      <c r="B12" s="302"/>
      <c r="C12" s="301" t="s">
        <v>703</v>
      </c>
      <c r="D12" s="439">
        <f>+D11</f>
        <v>15</v>
      </c>
      <c r="E12" s="301" t="s">
        <v>330</v>
      </c>
      <c r="F12" s="608" t="str">
        <f>IF(D12&lt;D11,"Cannot be shorter than "&amp;D11&amp;" years","")</f>
        <v/>
      </c>
      <c r="I12" s="400"/>
    </row>
    <row r="13" spans="1:9" s="302" customFormat="1" ht="15" customHeight="1" x14ac:dyDescent="0.2">
      <c r="C13" s="298" t="s">
        <v>704</v>
      </c>
      <c r="D13" s="301"/>
      <c r="E13" s="301"/>
      <c r="F13" s="301"/>
      <c r="G13" s="301"/>
      <c r="H13" s="301"/>
      <c r="I13" s="301"/>
    </row>
    <row r="15" spans="1:9" x14ac:dyDescent="0.2">
      <c r="C15" s="288" t="s">
        <v>332</v>
      </c>
      <c r="D15" s="305" t="s">
        <v>5</v>
      </c>
      <c r="E15" s="305"/>
      <c r="F15" s="305"/>
      <c r="G15" s="305"/>
    </row>
    <row r="16" spans="1:9" x14ac:dyDescent="0.2">
      <c r="A16" s="402" t="s">
        <v>424</v>
      </c>
      <c r="C16" s="284" t="s">
        <v>419</v>
      </c>
    </row>
    <row r="17" spans="1:58" x14ac:dyDescent="0.2">
      <c r="C17" s="396" t="s">
        <v>411</v>
      </c>
      <c r="D17" s="306">
        <v>0.02</v>
      </c>
      <c r="E17" s="608" t="str">
        <f>IF(D17="","   required","")</f>
        <v/>
      </c>
    </row>
    <row r="18" spans="1:58" x14ac:dyDescent="0.2">
      <c r="C18" s="396" t="s">
        <v>420</v>
      </c>
      <c r="D18" s="306">
        <v>0.02</v>
      </c>
      <c r="E18" s="608" t="str">
        <f>IF(D18="","   required","")</f>
        <v/>
      </c>
    </row>
    <row r="19" spans="1:58" x14ac:dyDescent="0.2">
      <c r="C19" s="396" t="s">
        <v>421</v>
      </c>
      <c r="D19" s="306">
        <v>0.02</v>
      </c>
      <c r="E19" s="608" t="str">
        <f>IF(D19="","   required","")</f>
        <v/>
      </c>
    </row>
    <row r="20" spans="1:58" x14ac:dyDescent="0.2">
      <c r="A20" s="402" t="s">
        <v>424</v>
      </c>
      <c r="C20" s="284" t="s">
        <v>335</v>
      </c>
      <c r="D20" s="306">
        <v>0.02</v>
      </c>
      <c r="E20" s="608" t="str">
        <f>IF(D20="","   required","")</f>
        <v/>
      </c>
    </row>
    <row r="21" spans="1:58" x14ac:dyDescent="0.2">
      <c r="A21" s="402" t="s">
        <v>424</v>
      </c>
      <c r="C21" s="284" t="s">
        <v>125</v>
      </c>
      <c r="D21" s="306">
        <v>2.5000000000000001E-2</v>
      </c>
      <c r="E21" s="608" t="str">
        <f>IF(D21="","   required","")</f>
        <v/>
      </c>
    </row>
    <row r="23" spans="1:58" s="270" customFormat="1" x14ac:dyDescent="0.2">
      <c r="A23" s="284"/>
      <c r="B23" s="284"/>
      <c r="C23" s="268" t="s">
        <v>337</v>
      </c>
      <c r="D23" s="293"/>
      <c r="H23" s="283"/>
    </row>
    <row r="24" spans="1:58" s="93" customFormat="1" ht="15" customHeight="1" x14ac:dyDescent="0.2">
      <c r="A24" s="402" t="s">
        <v>424</v>
      </c>
      <c r="B24" s="284"/>
      <c r="C24" s="95" t="s">
        <v>186</v>
      </c>
      <c r="D24" s="440">
        <v>30</v>
      </c>
      <c r="E24" s="307" t="s">
        <v>330</v>
      </c>
      <c r="F24" s="608" t="str">
        <f>IF(D24="","required","")</f>
        <v/>
      </c>
      <c r="G24" s="270"/>
      <c r="H24" s="270"/>
      <c r="I24" s="270"/>
      <c r="J24" s="270"/>
      <c r="K24" s="270"/>
      <c r="L24" s="270"/>
      <c r="M24" s="270"/>
      <c r="N24" s="270"/>
      <c r="O24" s="270"/>
      <c r="P24" s="270"/>
      <c r="Q24" s="270"/>
      <c r="R24" s="270"/>
      <c r="S24" s="270"/>
      <c r="T24" s="270"/>
      <c r="U24" s="270"/>
      <c r="V24" s="270"/>
      <c r="W24" s="270"/>
      <c r="X24" s="270"/>
      <c r="Y24" s="270"/>
      <c r="Z24" s="270"/>
      <c r="AA24" s="270"/>
      <c r="AB24" s="270"/>
      <c r="AC24" s="270"/>
      <c r="AD24" s="270"/>
      <c r="AE24" s="270"/>
      <c r="AF24" s="270"/>
      <c r="AG24" s="270"/>
      <c r="AH24" s="270"/>
      <c r="AI24" s="270"/>
      <c r="AJ24" s="270"/>
      <c r="AK24" s="270"/>
      <c r="AL24" s="270"/>
      <c r="AM24" s="270"/>
      <c r="AN24" s="270"/>
      <c r="AO24" s="270"/>
      <c r="AP24" s="270"/>
      <c r="AQ24" s="270"/>
      <c r="AR24" s="270"/>
      <c r="AS24" s="270"/>
      <c r="AT24" s="270"/>
      <c r="AU24" s="270"/>
      <c r="AV24" s="270"/>
      <c r="AW24" s="270"/>
      <c r="AX24" s="270"/>
      <c r="AY24" s="270"/>
      <c r="AZ24" s="270"/>
      <c r="BA24" s="270"/>
      <c r="BB24" s="270"/>
      <c r="BC24" s="270"/>
      <c r="BD24" s="270"/>
      <c r="BE24" s="270"/>
      <c r="BF24" s="270"/>
    </row>
    <row r="25" spans="1:58" s="93" customFormat="1" ht="15" customHeight="1" x14ac:dyDescent="0.2">
      <c r="A25" s="284"/>
      <c r="B25" s="284"/>
      <c r="C25" s="295" t="s">
        <v>536</v>
      </c>
      <c r="D25" s="641"/>
      <c r="E25" s="280"/>
      <c r="F25" s="270"/>
      <c r="G25" s="270"/>
      <c r="H25" s="270"/>
      <c r="I25" s="270"/>
      <c r="J25" s="270"/>
      <c r="K25" s="270"/>
      <c r="L25" s="270"/>
      <c r="M25" s="270"/>
      <c r="N25" s="270"/>
      <c r="O25" s="270"/>
      <c r="P25" s="270"/>
      <c r="Q25" s="270"/>
      <c r="R25" s="270"/>
      <c r="S25" s="270"/>
      <c r="T25" s="270"/>
      <c r="U25" s="270"/>
      <c r="V25" s="270"/>
      <c r="W25" s="270"/>
      <c r="X25" s="270"/>
      <c r="Y25" s="270"/>
      <c r="Z25" s="270"/>
      <c r="AA25" s="270"/>
      <c r="AB25" s="270"/>
      <c r="AC25" s="270"/>
      <c r="AD25" s="270"/>
      <c r="AE25" s="270"/>
      <c r="AF25" s="270"/>
      <c r="AG25" s="270"/>
      <c r="AH25" s="270"/>
      <c r="AI25" s="270"/>
      <c r="AJ25" s="270"/>
      <c r="AK25" s="270"/>
      <c r="AL25" s="270"/>
      <c r="AM25" s="270"/>
      <c r="AN25" s="270"/>
      <c r="AO25" s="270"/>
      <c r="AP25" s="270"/>
      <c r="AQ25" s="270"/>
      <c r="AR25" s="270"/>
      <c r="AS25" s="270"/>
      <c r="AT25" s="270"/>
      <c r="AU25" s="270"/>
      <c r="AV25" s="270"/>
      <c r="AW25" s="270"/>
      <c r="AX25" s="270"/>
      <c r="AY25" s="270"/>
      <c r="AZ25" s="270"/>
      <c r="BA25" s="270"/>
      <c r="BB25" s="270"/>
      <c r="BC25" s="270"/>
      <c r="BD25" s="270"/>
      <c r="BE25" s="270"/>
      <c r="BF25" s="270"/>
    </row>
    <row r="26" spans="1:58" s="93" customFormat="1" ht="15" customHeight="1" x14ac:dyDescent="0.2">
      <c r="A26" s="284"/>
      <c r="B26" s="284"/>
      <c r="C26" s="295"/>
      <c r="D26" s="641"/>
      <c r="E26" s="280"/>
      <c r="F26" s="270"/>
      <c r="G26" s="270"/>
      <c r="H26" s="270"/>
      <c r="I26" s="270"/>
      <c r="J26" s="270"/>
      <c r="K26" s="270"/>
      <c r="L26" s="270"/>
      <c r="M26" s="270"/>
      <c r="N26" s="270"/>
      <c r="O26" s="270"/>
      <c r="P26" s="270"/>
      <c r="Q26" s="270"/>
      <c r="R26" s="270"/>
      <c r="S26" s="270"/>
      <c r="T26" s="270"/>
      <c r="U26" s="270"/>
      <c r="V26" s="270"/>
      <c r="W26" s="270"/>
      <c r="X26" s="270"/>
      <c r="Y26" s="270"/>
      <c r="Z26" s="270"/>
      <c r="AA26" s="270"/>
      <c r="AB26" s="270"/>
      <c r="AC26" s="270"/>
      <c r="AD26" s="270"/>
      <c r="AE26" s="270"/>
      <c r="AF26" s="270"/>
      <c r="AG26" s="270"/>
      <c r="AH26" s="270"/>
      <c r="AI26" s="270"/>
      <c r="AJ26" s="270"/>
      <c r="AK26" s="270"/>
      <c r="AL26" s="270"/>
      <c r="AM26" s="270"/>
      <c r="AN26" s="270"/>
      <c r="AO26" s="270"/>
      <c r="AP26" s="270"/>
      <c r="AQ26" s="270"/>
      <c r="AR26" s="270"/>
      <c r="AS26" s="270"/>
      <c r="AT26" s="270"/>
      <c r="AU26" s="270"/>
      <c r="AV26" s="270"/>
      <c r="AW26" s="270"/>
      <c r="AX26" s="270"/>
      <c r="AY26" s="270"/>
      <c r="AZ26" s="270"/>
      <c r="BA26" s="270"/>
      <c r="BB26" s="270"/>
      <c r="BC26" s="270"/>
      <c r="BD26" s="270"/>
      <c r="BE26" s="270"/>
      <c r="BF26" s="270"/>
    </row>
    <row r="27" spans="1:58" x14ac:dyDescent="0.2">
      <c r="C27" s="295" t="s">
        <v>746</v>
      </c>
    </row>
    <row r="28" spans="1:58" x14ac:dyDescent="0.2">
      <c r="C28" s="270"/>
      <c r="D28" s="270"/>
      <c r="E28" s="270"/>
    </row>
    <row r="29" spans="1:58" x14ac:dyDescent="0.2">
      <c r="C29" s="270"/>
      <c r="D29" s="270"/>
      <c r="E29" s="270"/>
      <c r="I29" s="522"/>
    </row>
    <row r="30" spans="1:58" x14ac:dyDescent="0.2">
      <c r="C30" s="270"/>
      <c r="D30" s="270"/>
      <c r="E30" s="270"/>
    </row>
    <row r="31" spans="1:58" x14ac:dyDescent="0.2">
      <c r="D31" s="270"/>
      <c r="E31" s="270"/>
    </row>
    <row r="34" spans="3:9" x14ac:dyDescent="0.2">
      <c r="C34" s="288" t="s">
        <v>497</v>
      </c>
    </row>
    <row r="35" spans="3:9" x14ac:dyDescent="0.2">
      <c r="C35" s="284" t="s">
        <v>499</v>
      </c>
      <c r="D35" s="504">
        <f>+'Operating Pro Forma'!E102</f>
        <v>1.5757380799199372</v>
      </c>
    </row>
    <row r="36" spans="3:9" x14ac:dyDescent="0.2">
      <c r="C36" s="284" t="s">
        <v>500</v>
      </c>
      <c r="D36" s="504">
        <f>+'Operating Pro Forma'!H102</f>
        <v>1.5337765387089857</v>
      </c>
    </row>
    <row r="37" spans="3:9" x14ac:dyDescent="0.2">
      <c r="C37" s="284" t="s">
        <v>501</v>
      </c>
      <c r="D37" s="504">
        <f>+'Operating Pro Forma'!M102</f>
        <v>1.4334834512831511</v>
      </c>
    </row>
    <row r="38" spans="3:9" x14ac:dyDescent="0.2">
      <c r="C38" s="284" t="s">
        <v>502</v>
      </c>
      <c r="D38" s="504">
        <f>+'Operating Pro Forma'!R102</f>
        <v>1.2887268568160697</v>
      </c>
    </row>
    <row r="39" spans="3:9" x14ac:dyDescent="0.2">
      <c r="C39" s="284" t="s">
        <v>503</v>
      </c>
      <c r="D39" s="504">
        <f>+'Operating Pro Forma'!W102</f>
        <v>100</v>
      </c>
    </row>
    <row r="41" spans="3:9" x14ac:dyDescent="0.2">
      <c r="C41" s="669"/>
      <c r="D41" s="670"/>
      <c r="E41" s="670"/>
      <c r="F41" s="671"/>
    </row>
    <row r="43" spans="3:9" x14ac:dyDescent="0.2">
      <c r="C43" s="44" t="s">
        <v>537</v>
      </c>
      <c r="I43" s="522"/>
    </row>
  </sheetData>
  <sheetProtection password="CE0A" sheet="1" objects="1" scenarios="1"/>
  <mergeCells count="2">
    <mergeCell ref="E1:F2"/>
    <mergeCell ref="C41:F41"/>
  </mergeCells>
  <pageMargins left="0.7" right="0.7" top="0.75" bottom="0.75" header="0.3" footer="0.3"/>
  <pageSetup scale="7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1" r:id="rId4" name="Button 13">
              <controlPr defaultSize="0" print="0" autoFill="0" autoPict="0" macro="[0]!ShowFPF">
                <anchor moveWithCells="1" sizeWithCells="1">
                  <from>
                    <xdr:col>2</xdr:col>
                    <xdr:colOff>276225</xdr:colOff>
                    <xdr:row>27</xdr:row>
                    <xdr:rowOff>76200</xdr:rowOff>
                  </from>
                  <to>
                    <xdr:col>4</xdr:col>
                    <xdr:colOff>981075</xdr:colOff>
                    <xdr:row>29</xdr:row>
                    <xdr:rowOff>0</xdr:rowOff>
                  </to>
                </anchor>
              </controlPr>
            </control>
          </mc:Choice>
        </mc:AlternateContent>
        <mc:AlternateContent xmlns:mc="http://schemas.openxmlformats.org/markup-compatibility/2006">
          <mc:Choice Requires="x14">
            <control shapeId="17422" r:id="rId5" name="Button 14">
              <controlPr defaultSize="0" print="0" autoFill="0" autoPict="0" macro="[0]!Show2Sale">
                <anchor moveWithCells="1" sizeWithCells="1">
                  <from>
                    <xdr:col>2</xdr:col>
                    <xdr:colOff>247650</xdr:colOff>
                    <xdr:row>29</xdr:row>
                    <xdr:rowOff>142875</xdr:rowOff>
                  </from>
                  <to>
                    <xdr:col>4</xdr:col>
                    <xdr:colOff>981075</xdr:colOff>
                    <xdr:row>31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autoPageBreaks="0" fitToPage="1"/>
  </sheetPr>
  <dimension ref="A1:IX475"/>
  <sheetViews>
    <sheetView showGridLines="0" zoomScaleNormal="100" zoomScaleSheetLayoutView="80" workbookViewId="0"/>
  </sheetViews>
  <sheetFormatPr defaultColWidth="9.140625" defaultRowHeight="15" customHeight="1" x14ac:dyDescent="0.2"/>
  <cols>
    <col min="1" max="1" width="4.28515625" style="24" customWidth="1"/>
    <col min="2" max="2" width="1.85546875" style="24" customWidth="1"/>
    <col min="3" max="3" width="32.7109375" style="4" customWidth="1"/>
    <col min="4" max="33" width="10.7109375" style="10" customWidth="1"/>
    <col min="34" max="34" width="5" style="24" customWidth="1"/>
    <col min="35" max="16384" width="9.140625" style="24"/>
  </cols>
  <sheetData>
    <row r="1" spans="1:34" ht="30" customHeight="1" x14ac:dyDescent="0.2">
      <c r="C1" s="45" t="s">
        <v>50</v>
      </c>
      <c r="D1" s="114"/>
      <c r="E1" s="115" t="s">
        <v>149</v>
      </c>
      <c r="F1" s="116"/>
      <c r="G1" s="69"/>
      <c r="H1" s="69"/>
      <c r="I1" s="115"/>
      <c r="J1" s="69"/>
      <c r="K1" s="69"/>
      <c r="L1" s="456" t="str">
        <f>Requirements!C4</f>
        <v>Project Name - Sample Project : 20 Units</v>
      </c>
      <c r="M1" s="69"/>
      <c r="N1" s="69"/>
      <c r="O1" s="69"/>
      <c r="P1" s="69"/>
      <c r="Q1" s="69"/>
      <c r="R1" s="69"/>
      <c r="S1" s="69"/>
      <c r="T1" s="69"/>
      <c r="U1" s="69"/>
      <c r="V1" s="69"/>
      <c r="W1" s="69"/>
      <c r="X1" s="69"/>
      <c r="Y1" s="69"/>
      <c r="Z1" s="69"/>
      <c r="AA1" s="69"/>
      <c r="AB1" s="69"/>
      <c r="AC1" s="69"/>
      <c r="AD1" s="69"/>
      <c r="AE1" s="69"/>
      <c r="AF1" s="69"/>
      <c r="AG1" s="69"/>
      <c r="AH1" s="117"/>
    </row>
    <row r="2" spans="1:34" ht="30" customHeight="1" x14ac:dyDescent="0.2">
      <c r="C2" s="49"/>
      <c r="D2" s="114"/>
      <c r="E2" s="755" t="s">
        <v>538</v>
      </c>
      <c r="F2" s="755"/>
      <c r="G2" s="755"/>
      <c r="H2" s="755"/>
      <c r="I2" s="755"/>
      <c r="J2" s="755"/>
      <c r="K2" s="755"/>
      <c r="L2" s="755"/>
      <c r="M2" s="69"/>
      <c r="N2" s="69"/>
      <c r="O2" s="69"/>
      <c r="P2" s="69"/>
      <c r="Q2" s="69"/>
      <c r="R2" s="69"/>
      <c r="S2" s="69"/>
      <c r="T2" s="69"/>
      <c r="U2" s="69"/>
      <c r="V2" s="69"/>
      <c r="W2" s="69"/>
      <c r="X2" s="69"/>
      <c r="Y2" s="69"/>
      <c r="Z2" s="69"/>
      <c r="AA2" s="69"/>
      <c r="AB2" s="69"/>
      <c r="AC2" s="69"/>
      <c r="AD2" s="69"/>
      <c r="AE2" s="69"/>
      <c r="AF2" s="69"/>
      <c r="AG2" s="69"/>
      <c r="AH2" s="117"/>
    </row>
    <row r="3" spans="1:34" s="21" customFormat="1" ht="15" customHeight="1" x14ac:dyDescent="0.2">
      <c r="A3" s="469" t="s">
        <v>424</v>
      </c>
      <c r="C3" s="115" t="s">
        <v>60</v>
      </c>
      <c r="D3" s="46"/>
      <c r="E3" s="114"/>
      <c r="F3" s="116"/>
      <c r="G3" s="69"/>
      <c r="H3" s="69"/>
      <c r="I3" s="69"/>
      <c r="J3" s="69"/>
      <c r="K3" s="69"/>
      <c r="L3" s="69"/>
      <c r="M3" s="69"/>
      <c r="N3" s="69"/>
      <c r="O3" s="69"/>
      <c r="P3" s="69"/>
      <c r="Q3" s="69"/>
      <c r="R3" s="69"/>
      <c r="S3" s="69"/>
      <c r="T3" s="69"/>
      <c r="U3" s="69"/>
      <c r="V3" s="69"/>
      <c r="W3" s="69"/>
      <c r="X3" s="69"/>
      <c r="Y3" s="69"/>
      <c r="Z3" s="69"/>
      <c r="AA3" s="69"/>
      <c r="AB3" s="69"/>
      <c r="AC3" s="69"/>
      <c r="AD3" s="69"/>
      <c r="AE3" s="69"/>
      <c r="AF3" s="69"/>
      <c r="AG3" s="69"/>
      <c r="AH3" s="117"/>
    </row>
    <row r="4" spans="1:34" s="176" customFormat="1" ht="15" customHeight="1" x14ac:dyDescent="0.2">
      <c r="C4" s="189"/>
      <c r="D4" s="190" t="s">
        <v>16</v>
      </c>
      <c r="E4" s="190" t="s">
        <v>17</v>
      </c>
      <c r="F4" s="190" t="s">
        <v>426</v>
      </c>
      <c r="G4" s="190" t="s">
        <v>427</v>
      </c>
      <c r="H4" s="190" t="s">
        <v>18</v>
      </c>
      <c r="I4" s="190" t="s">
        <v>428</v>
      </c>
      <c r="J4" s="190" t="s">
        <v>429</v>
      </c>
      <c r="K4" s="190" t="s">
        <v>430</v>
      </c>
      <c r="L4" s="190" t="s">
        <v>431</v>
      </c>
      <c r="M4" s="190" t="s">
        <v>19</v>
      </c>
      <c r="N4" s="190" t="s">
        <v>432</v>
      </c>
      <c r="O4" s="190" t="s">
        <v>433</v>
      </c>
      <c r="P4" s="190" t="s">
        <v>434</v>
      </c>
      <c r="Q4" s="190" t="s">
        <v>435</v>
      </c>
      <c r="R4" s="190" t="s">
        <v>20</v>
      </c>
      <c r="S4" s="190" t="s">
        <v>436</v>
      </c>
      <c r="T4" s="190" t="s">
        <v>437</v>
      </c>
      <c r="U4" s="190" t="s">
        <v>438</v>
      </c>
      <c r="V4" s="190" t="s">
        <v>439</v>
      </c>
      <c r="W4" s="190" t="s">
        <v>440</v>
      </c>
      <c r="X4" s="190" t="s">
        <v>441</v>
      </c>
      <c r="Y4" s="190" t="s">
        <v>442</v>
      </c>
      <c r="Z4" s="190" t="s">
        <v>443</v>
      </c>
      <c r="AA4" s="190" t="s">
        <v>444</v>
      </c>
      <c r="AB4" s="190" t="s">
        <v>445</v>
      </c>
      <c r="AC4" s="190" t="s">
        <v>446</v>
      </c>
      <c r="AD4" s="190" t="s">
        <v>447</v>
      </c>
      <c r="AE4" s="190" t="s">
        <v>448</v>
      </c>
      <c r="AF4" s="190" t="s">
        <v>449</v>
      </c>
      <c r="AG4" s="190" t="s">
        <v>21</v>
      </c>
    </row>
    <row r="5" spans="1:34" s="177" customFormat="1" ht="15" customHeight="1" x14ac:dyDescent="0.2">
      <c r="C5" s="178"/>
      <c r="D5" s="457">
        <v>1</v>
      </c>
      <c r="E5" s="457">
        <v>2</v>
      </c>
      <c r="F5" s="457">
        <v>3</v>
      </c>
      <c r="G5" s="457">
        <v>4</v>
      </c>
      <c r="H5" s="457">
        <v>5</v>
      </c>
      <c r="I5" s="457">
        <v>6</v>
      </c>
      <c r="J5" s="457">
        <v>7</v>
      </c>
      <c r="K5" s="457">
        <v>8</v>
      </c>
      <c r="L5" s="457">
        <v>9</v>
      </c>
      <c r="M5" s="457">
        <v>10</v>
      </c>
      <c r="N5" s="457">
        <v>11</v>
      </c>
      <c r="O5" s="457">
        <v>12</v>
      </c>
      <c r="P5" s="457">
        <v>13</v>
      </c>
      <c r="Q5" s="457">
        <v>14</v>
      </c>
      <c r="R5" s="457">
        <v>15</v>
      </c>
      <c r="S5" s="457">
        <v>16</v>
      </c>
      <c r="T5" s="457">
        <v>17</v>
      </c>
      <c r="U5" s="457">
        <v>18</v>
      </c>
      <c r="V5" s="457">
        <v>19</v>
      </c>
      <c r="W5" s="457">
        <v>20</v>
      </c>
      <c r="X5" s="457">
        <v>21</v>
      </c>
      <c r="Y5" s="457">
        <v>22</v>
      </c>
      <c r="Z5" s="457">
        <v>23</v>
      </c>
      <c r="AA5" s="457">
        <v>24</v>
      </c>
      <c r="AB5" s="457">
        <v>25</v>
      </c>
      <c r="AC5" s="457">
        <v>26</v>
      </c>
      <c r="AD5" s="457">
        <v>27</v>
      </c>
      <c r="AE5" s="457">
        <v>28</v>
      </c>
      <c r="AF5" s="457">
        <v>29</v>
      </c>
      <c r="AG5" s="457">
        <v>30</v>
      </c>
    </row>
    <row r="6" spans="1:34" s="177" customFormat="1" ht="15" customHeight="1" x14ac:dyDescent="0.2">
      <c r="C6" s="191" t="s">
        <v>61</v>
      </c>
      <c r="D6" s="178"/>
      <c r="E6" s="179"/>
      <c r="F6" s="179"/>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row>
    <row r="7" spans="1:34" s="177" customFormat="1" ht="15" customHeight="1" x14ac:dyDescent="0.2">
      <c r="A7" s="469" t="s">
        <v>424</v>
      </c>
      <c r="C7" s="192" t="s">
        <v>237</v>
      </c>
      <c r="D7" s="609">
        <f>ROUND(IF('Pro Forma Assumptions'!$D$24&lt;D5,0,D68),0)</f>
        <v>150864</v>
      </c>
      <c r="E7" s="609">
        <f>ROUND(IF('Pro Forma Assumptions'!$D$24&lt;E5,0,E68),0)</f>
        <v>153881</v>
      </c>
      <c r="F7" s="609">
        <f>ROUND(IF('Pro Forma Assumptions'!$D$24&lt;F5,0,F68),0)</f>
        <v>156959</v>
      </c>
      <c r="G7" s="609">
        <f>ROUND(IF('Pro Forma Assumptions'!$D$24&lt;G5,0,G68),0)</f>
        <v>160098</v>
      </c>
      <c r="H7" s="609">
        <f>ROUND(IF('Pro Forma Assumptions'!$D$24&lt;H5,0,H68),0)</f>
        <v>163300</v>
      </c>
      <c r="I7" s="609">
        <f>ROUND(IF('Pro Forma Assumptions'!$D$24&lt;I5,0,I68),0)</f>
        <v>166566</v>
      </c>
      <c r="J7" s="609">
        <f>ROUND(IF('Pro Forma Assumptions'!$D$24&lt;J5,0,J68),0)</f>
        <v>169897</v>
      </c>
      <c r="K7" s="609">
        <f>ROUND(IF('Pro Forma Assumptions'!$D$24&lt;K5,0,K68),0)</f>
        <v>173295</v>
      </c>
      <c r="L7" s="609">
        <f>ROUND(IF('Pro Forma Assumptions'!$D$24&lt;L5,0,L68),0)</f>
        <v>176761</v>
      </c>
      <c r="M7" s="609">
        <f>ROUND(IF('Pro Forma Assumptions'!$D$24&lt;M5,0,M68),0)</f>
        <v>180296</v>
      </c>
      <c r="N7" s="609">
        <f>ROUND(IF('Pro Forma Assumptions'!$D$24&lt;N5,0,N68),0)</f>
        <v>183902</v>
      </c>
      <c r="O7" s="609">
        <f>ROUND(IF('Pro Forma Assumptions'!$D$24&lt;O5,0,O68),0)</f>
        <v>187580</v>
      </c>
      <c r="P7" s="609">
        <f>ROUND(IF('Pro Forma Assumptions'!$D$24&lt;P5,0,P68),0)</f>
        <v>191332</v>
      </c>
      <c r="Q7" s="609">
        <f>ROUND(IF('Pro Forma Assumptions'!$D$24&lt;Q5,0,Q68),0)</f>
        <v>195159</v>
      </c>
      <c r="R7" s="609">
        <f>ROUND(IF('Pro Forma Assumptions'!$D$24&lt;R5,0,R68),0)</f>
        <v>199062</v>
      </c>
      <c r="S7" s="609">
        <f>ROUND(IF('Pro Forma Assumptions'!$D$24&lt;S5,0,S68),0)</f>
        <v>290708</v>
      </c>
      <c r="T7" s="609">
        <f>ROUND(IF('Pro Forma Assumptions'!$D$24&lt;T5,0,T68),0)</f>
        <v>296522</v>
      </c>
      <c r="U7" s="609">
        <f>ROUND(IF('Pro Forma Assumptions'!$D$24&lt;U5,0,U68),0)</f>
        <v>302452</v>
      </c>
      <c r="V7" s="609">
        <f>ROUND(IF('Pro Forma Assumptions'!$D$24&lt;V5,0,V68),0)</f>
        <v>308501</v>
      </c>
      <c r="W7" s="609">
        <f>ROUND(IF('Pro Forma Assumptions'!$D$24&lt;W5,0,W68),0)</f>
        <v>314671</v>
      </c>
      <c r="X7" s="609">
        <f>ROUND(IF('Pro Forma Assumptions'!$D$24&lt;X5,0,X68),0)</f>
        <v>320965</v>
      </c>
      <c r="Y7" s="609">
        <f>ROUND(IF('Pro Forma Assumptions'!$D$24&lt;Y5,0,Y68),0)</f>
        <v>327384</v>
      </c>
      <c r="Z7" s="609">
        <f>ROUND(IF('Pro Forma Assumptions'!$D$24&lt;Z5,0,Z68),0)</f>
        <v>333932</v>
      </c>
      <c r="AA7" s="609">
        <f>ROUND(IF('Pro Forma Assumptions'!$D$24&lt;AA5,0,AA68),0)</f>
        <v>340610</v>
      </c>
      <c r="AB7" s="609">
        <f>ROUND(IF('Pro Forma Assumptions'!$D$24&lt;AB5,0,AB68),0)</f>
        <v>347422</v>
      </c>
      <c r="AC7" s="609">
        <f>ROUND(IF('Pro Forma Assumptions'!$D$24&lt;AC5,0,AC68),0)</f>
        <v>354371</v>
      </c>
      <c r="AD7" s="609">
        <f>ROUND(IF('Pro Forma Assumptions'!$D$24&lt;AD5,0,AD68),0)</f>
        <v>361458</v>
      </c>
      <c r="AE7" s="609">
        <f>ROUND(IF('Pro Forma Assumptions'!$D$24&lt;AE5,0,AE68),0)</f>
        <v>368687</v>
      </c>
      <c r="AF7" s="609">
        <f>ROUND(IF('Pro Forma Assumptions'!$D$24&lt;AF5,0,AF68),0)</f>
        <v>376061</v>
      </c>
      <c r="AG7" s="610">
        <f>ROUND(IF('Pro Forma Assumptions'!$D$24&lt;AG5,0,AG68),0)</f>
        <v>383582</v>
      </c>
    </row>
    <row r="8" spans="1:34" s="177" customFormat="1" ht="15" customHeight="1" x14ac:dyDescent="0.2">
      <c r="A8" s="469" t="s">
        <v>424</v>
      </c>
      <c r="C8" s="193" t="s">
        <v>2</v>
      </c>
      <c r="D8" s="611">
        <f>ROUND(IF('Pro Forma Assumptions'!$D$24&lt;D5,0,D69),0)</f>
        <v>0</v>
      </c>
      <c r="E8" s="611">
        <f>ROUND(IF('Pro Forma Assumptions'!$D$24&lt;E5,0,E69),0)</f>
        <v>0</v>
      </c>
      <c r="F8" s="611">
        <f>ROUND(IF('Pro Forma Assumptions'!$D$24&lt;F5,0,F69),0)</f>
        <v>0</v>
      </c>
      <c r="G8" s="611">
        <f>ROUND(IF('Pro Forma Assumptions'!$D$24&lt;G5,0,G69),0)</f>
        <v>0</v>
      </c>
      <c r="H8" s="611">
        <f>ROUND(IF('Pro Forma Assumptions'!$D$24&lt;H5,0,H69),0)</f>
        <v>0</v>
      </c>
      <c r="I8" s="611">
        <f>ROUND(IF('Pro Forma Assumptions'!$D$24&lt;I5,0,I69),0)</f>
        <v>0</v>
      </c>
      <c r="J8" s="611">
        <f>ROUND(IF('Pro Forma Assumptions'!$D$24&lt;J5,0,J69),0)</f>
        <v>0</v>
      </c>
      <c r="K8" s="611">
        <f>ROUND(IF('Pro Forma Assumptions'!$D$24&lt;K5,0,K69),0)</f>
        <v>0</v>
      </c>
      <c r="L8" s="611">
        <f>ROUND(IF('Pro Forma Assumptions'!$D$24&lt;L5,0,L69),0)</f>
        <v>0</v>
      </c>
      <c r="M8" s="611">
        <f>ROUND(IF('Pro Forma Assumptions'!$D$24&lt;M5,0,M69),0)</f>
        <v>0</v>
      </c>
      <c r="N8" s="611">
        <f>ROUND(IF('Pro Forma Assumptions'!$D$24&lt;N5,0,N69),0)</f>
        <v>0</v>
      </c>
      <c r="O8" s="611">
        <f>ROUND(IF('Pro Forma Assumptions'!$D$24&lt;O5,0,O69),0)</f>
        <v>0</v>
      </c>
      <c r="P8" s="611">
        <f>ROUND(IF('Pro Forma Assumptions'!$D$24&lt;P5,0,P69),0)</f>
        <v>0</v>
      </c>
      <c r="Q8" s="611">
        <f>ROUND(IF('Pro Forma Assumptions'!$D$24&lt;Q5,0,Q69),0)</f>
        <v>0</v>
      </c>
      <c r="R8" s="611">
        <f>ROUND(IF('Pro Forma Assumptions'!$D$24&lt;R5,0,R69),0)</f>
        <v>0</v>
      </c>
      <c r="S8" s="611">
        <f>ROUND(IF('Pro Forma Assumptions'!$D$24&lt;S5,0,S69),0)</f>
        <v>0</v>
      </c>
      <c r="T8" s="611">
        <f>ROUND(IF('Pro Forma Assumptions'!$D$24&lt;T5,0,T69),0)</f>
        <v>0</v>
      </c>
      <c r="U8" s="611">
        <f>ROUND(IF('Pro Forma Assumptions'!$D$24&lt;U5,0,U69),0)</f>
        <v>0</v>
      </c>
      <c r="V8" s="611">
        <f>ROUND(IF('Pro Forma Assumptions'!$D$24&lt;V5,0,V69),0)</f>
        <v>0</v>
      </c>
      <c r="W8" s="611">
        <f>ROUND(IF('Pro Forma Assumptions'!$D$24&lt;W5,0,W69),0)</f>
        <v>0</v>
      </c>
      <c r="X8" s="611">
        <f>ROUND(IF('Pro Forma Assumptions'!$D$24&lt;X5,0,X69),0)</f>
        <v>0</v>
      </c>
      <c r="Y8" s="611">
        <f>ROUND(IF('Pro Forma Assumptions'!$D$24&lt;Y5,0,Y69),0)</f>
        <v>0</v>
      </c>
      <c r="Z8" s="611">
        <f>ROUND(IF('Pro Forma Assumptions'!$D$24&lt;Z5,0,Z69),0)</f>
        <v>0</v>
      </c>
      <c r="AA8" s="611">
        <f>ROUND(IF('Pro Forma Assumptions'!$D$24&lt;AA5,0,AA69),0)</f>
        <v>0</v>
      </c>
      <c r="AB8" s="611">
        <f>ROUND(IF('Pro Forma Assumptions'!$D$24&lt;AB5,0,AB69),0)</f>
        <v>0</v>
      </c>
      <c r="AC8" s="611">
        <f>ROUND(IF('Pro Forma Assumptions'!$D$24&lt;AC5,0,AC69),0)</f>
        <v>0</v>
      </c>
      <c r="AD8" s="611">
        <f>ROUND(IF('Pro Forma Assumptions'!$D$24&lt;AD5,0,AD69),0)</f>
        <v>0</v>
      </c>
      <c r="AE8" s="611">
        <f>ROUND(IF('Pro Forma Assumptions'!$D$24&lt;AE5,0,AE69),0)</f>
        <v>0</v>
      </c>
      <c r="AF8" s="611">
        <f>ROUND(IF('Pro Forma Assumptions'!$D$24&lt;AF5,0,AF69),0)</f>
        <v>0</v>
      </c>
      <c r="AG8" s="612">
        <f>ROUND(IF('Pro Forma Assumptions'!$D$24&lt;AG5,0,AG69),0)</f>
        <v>0</v>
      </c>
    </row>
    <row r="9" spans="1:34" s="177" customFormat="1" ht="15" customHeight="1" x14ac:dyDescent="0.2">
      <c r="A9" s="469" t="s">
        <v>424</v>
      </c>
      <c r="C9" s="462" t="s">
        <v>453</v>
      </c>
      <c r="D9" s="611">
        <f>ROUND(IF('Pro Forma Assumptions'!$D$24&lt;D5,0,D72),0)</f>
        <v>0</v>
      </c>
      <c r="E9" s="611">
        <f>ROUND(IF('Pro Forma Assumptions'!$D$24&lt;E5,0,E72),0)</f>
        <v>0</v>
      </c>
      <c r="F9" s="611">
        <f>ROUND(IF('Pro Forma Assumptions'!$D$24&lt;F5,0,F72),0)</f>
        <v>0</v>
      </c>
      <c r="G9" s="611">
        <f>ROUND(IF('Pro Forma Assumptions'!$D$24&lt;G5,0,G72),0)</f>
        <v>0</v>
      </c>
      <c r="H9" s="611">
        <f>ROUND(IF('Pro Forma Assumptions'!$D$24&lt;H5,0,H72),0)</f>
        <v>0</v>
      </c>
      <c r="I9" s="611">
        <f>ROUND(IF('Pro Forma Assumptions'!$D$24&lt;I5,0,I72),0)</f>
        <v>0</v>
      </c>
      <c r="J9" s="611">
        <f>ROUND(IF('Pro Forma Assumptions'!$D$24&lt;J5,0,J72),0)</f>
        <v>0</v>
      </c>
      <c r="K9" s="611">
        <f>ROUND(IF('Pro Forma Assumptions'!$D$24&lt;K5,0,K72),0)</f>
        <v>0</v>
      </c>
      <c r="L9" s="611">
        <f>ROUND(IF('Pro Forma Assumptions'!$D$24&lt;L5,0,L72),0)</f>
        <v>0</v>
      </c>
      <c r="M9" s="611">
        <f>ROUND(IF('Pro Forma Assumptions'!$D$24&lt;M5,0,M72),0)</f>
        <v>0</v>
      </c>
      <c r="N9" s="611">
        <f>ROUND(IF('Pro Forma Assumptions'!$D$24&lt;N5,0,N72),0)</f>
        <v>0</v>
      </c>
      <c r="O9" s="611">
        <f>ROUND(IF('Pro Forma Assumptions'!$D$24&lt;O5,0,O72),0)</f>
        <v>0</v>
      </c>
      <c r="P9" s="611">
        <f>ROUND(IF('Pro Forma Assumptions'!$D$24&lt;P5,0,P72),0)</f>
        <v>0</v>
      </c>
      <c r="Q9" s="611">
        <f>ROUND(IF('Pro Forma Assumptions'!$D$24&lt;Q5,0,Q72),0)</f>
        <v>0</v>
      </c>
      <c r="R9" s="611">
        <f>ROUND(IF('Pro Forma Assumptions'!$D$24&lt;R5,0,R72),0)</f>
        <v>0</v>
      </c>
      <c r="S9" s="611">
        <f>ROUND(IF('Pro Forma Assumptions'!$D$24&lt;S5,0,S72),0)</f>
        <v>0</v>
      </c>
      <c r="T9" s="611">
        <f>ROUND(IF('Pro Forma Assumptions'!$D$24&lt;T5,0,T72),0)</f>
        <v>0</v>
      </c>
      <c r="U9" s="611">
        <f>ROUND(IF('Pro Forma Assumptions'!$D$24&lt;U5,0,U72),0)</f>
        <v>0</v>
      </c>
      <c r="V9" s="611">
        <f>ROUND(IF('Pro Forma Assumptions'!$D$24&lt;V5,0,V72),0)</f>
        <v>0</v>
      </c>
      <c r="W9" s="611">
        <f>ROUND(IF('Pro Forma Assumptions'!$D$24&lt;W5,0,W72),0)</f>
        <v>0</v>
      </c>
      <c r="X9" s="611">
        <f>ROUND(IF('Pro Forma Assumptions'!$D$24&lt;X5,0,X72),0)</f>
        <v>0</v>
      </c>
      <c r="Y9" s="611">
        <f>ROUND(IF('Pro Forma Assumptions'!$D$24&lt;Y5,0,Y72),0)</f>
        <v>0</v>
      </c>
      <c r="Z9" s="611">
        <f>ROUND(IF('Pro Forma Assumptions'!$D$24&lt;Z5,0,Z72),0)</f>
        <v>0</v>
      </c>
      <c r="AA9" s="611">
        <f>ROUND(IF('Pro Forma Assumptions'!$D$24&lt;AA5,0,AA72),0)</f>
        <v>0</v>
      </c>
      <c r="AB9" s="611">
        <f>ROUND(IF('Pro Forma Assumptions'!$D$24&lt;AB5,0,AB72),0)</f>
        <v>0</v>
      </c>
      <c r="AC9" s="611">
        <f>ROUND(IF('Pro Forma Assumptions'!$D$24&lt;AC5,0,AC72),0)</f>
        <v>0</v>
      </c>
      <c r="AD9" s="611">
        <f>ROUND(IF('Pro Forma Assumptions'!$D$24&lt;AD5,0,AD72),0)</f>
        <v>0</v>
      </c>
      <c r="AE9" s="611">
        <f>ROUND(IF('Pro Forma Assumptions'!$D$24&lt;AE5,0,AE72),0)</f>
        <v>0</v>
      </c>
      <c r="AF9" s="611">
        <f>ROUND(IF('Pro Forma Assumptions'!$D$24&lt;AF5,0,AF72),0)</f>
        <v>0</v>
      </c>
      <c r="AG9" s="612">
        <f>ROUND(IF('Pro Forma Assumptions'!$D$24&lt;AG5,0,AG72),0)</f>
        <v>0</v>
      </c>
    </row>
    <row r="10" spans="1:34" s="176" customFormat="1" ht="15" customHeight="1" x14ac:dyDescent="0.2">
      <c r="A10" s="524"/>
      <c r="C10" s="194" t="s">
        <v>62</v>
      </c>
      <c r="D10" s="613">
        <f>SUM(D7:D9)</f>
        <v>150864</v>
      </c>
      <c r="E10" s="613">
        <f>IF(E5&gt;'Pro Forma Assumptions'!$D$24,0,SUM(E7:E9))</f>
        <v>153881</v>
      </c>
      <c r="F10" s="613">
        <f>IF(F5&gt;'Pro Forma Assumptions'!$D$24,0,SUM(F7:F9))</f>
        <v>156959</v>
      </c>
      <c r="G10" s="613">
        <f>IF(G5&gt;'Pro Forma Assumptions'!$D$24,0,SUM(G7:G9))</f>
        <v>160098</v>
      </c>
      <c r="H10" s="613">
        <f>IF(H5&gt;'Pro Forma Assumptions'!$D$24,0,SUM(H7:H9))</f>
        <v>163300</v>
      </c>
      <c r="I10" s="613">
        <f>IF(I5&gt;'Pro Forma Assumptions'!$D$24,0,SUM(I7:I9))</f>
        <v>166566</v>
      </c>
      <c r="J10" s="613">
        <f>IF(J5&gt;'Pro Forma Assumptions'!$D$24,0,SUM(J7:J9))</f>
        <v>169897</v>
      </c>
      <c r="K10" s="613">
        <f>IF(K5&gt;'Pro Forma Assumptions'!$D$24,0,SUM(K7:K9))</f>
        <v>173295</v>
      </c>
      <c r="L10" s="613">
        <f>IF(L5&gt;'Pro Forma Assumptions'!$D$24,0,SUM(L7:L9))</f>
        <v>176761</v>
      </c>
      <c r="M10" s="613">
        <f>IF(M5&gt;'Pro Forma Assumptions'!$D$24,0,SUM(M7:M9))</f>
        <v>180296</v>
      </c>
      <c r="N10" s="613">
        <f>IF(N5&gt;'Pro Forma Assumptions'!$D$24,0,SUM(N7:N9))</f>
        <v>183902</v>
      </c>
      <c r="O10" s="613">
        <f>IF(O5&gt;'Pro Forma Assumptions'!$D$24,0,SUM(O7:O9))</f>
        <v>187580</v>
      </c>
      <c r="P10" s="613">
        <f>IF(P5&gt;'Pro Forma Assumptions'!$D$24,0,SUM(P7:P9))</f>
        <v>191332</v>
      </c>
      <c r="Q10" s="613">
        <f>IF(Q5&gt;'Pro Forma Assumptions'!$D$24,0,SUM(Q7:Q9))</f>
        <v>195159</v>
      </c>
      <c r="R10" s="613">
        <f>IF(R5&gt;'Pro Forma Assumptions'!$D$24,0,SUM(R7:R9))</f>
        <v>199062</v>
      </c>
      <c r="S10" s="613">
        <f>IF(S5&gt;'Pro Forma Assumptions'!$D$24,0,SUM(S7:S9))</f>
        <v>290708</v>
      </c>
      <c r="T10" s="613">
        <f>IF(T5&gt;'Pro Forma Assumptions'!$D$24,0,SUM(T7:T9))</f>
        <v>296522</v>
      </c>
      <c r="U10" s="613">
        <f>IF(U5&gt;'Pro Forma Assumptions'!$D$24,0,SUM(U7:U9))</f>
        <v>302452</v>
      </c>
      <c r="V10" s="613">
        <f>IF(V5&gt;'Pro Forma Assumptions'!$D$24,0,SUM(V7:V9))</f>
        <v>308501</v>
      </c>
      <c r="W10" s="613">
        <f>IF(W5&gt;'Pro Forma Assumptions'!$D$24,0,SUM(W7:W9))</f>
        <v>314671</v>
      </c>
      <c r="X10" s="613">
        <f>IF(X5&gt;'Pro Forma Assumptions'!$D$24,0,SUM(X7:X9))</f>
        <v>320965</v>
      </c>
      <c r="Y10" s="613">
        <f>IF(Y5&gt;'Pro Forma Assumptions'!$D$24,0,SUM(Y7:Y9))</f>
        <v>327384</v>
      </c>
      <c r="Z10" s="613">
        <f>IF(Z5&gt;'Pro Forma Assumptions'!$D$24,0,SUM(Z7:Z9))</f>
        <v>333932</v>
      </c>
      <c r="AA10" s="613">
        <f>IF(AA5&gt;'Pro Forma Assumptions'!$D$24,0,SUM(AA7:AA9))</f>
        <v>340610</v>
      </c>
      <c r="AB10" s="613">
        <f>IF(AB5&gt;'Pro Forma Assumptions'!$D$24,0,SUM(AB7:AB9))</f>
        <v>347422</v>
      </c>
      <c r="AC10" s="613">
        <f>IF(AC5&gt;'Pro Forma Assumptions'!$D$24,0,SUM(AC7:AC9))</f>
        <v>354371</v>
      </c>
      <c r="AD10" s="613">
        <f>IF(AD5&gt;'Pro Forma Assumptions'!$D$24,0,SUM(AD7:AD9))</f>
        <v>361458</v>
      </c>
      <c r="AE10" s="613">
        <f>IF(AE5&gt;'Pro Forma Assumptions'!$D$24,0,SUM(AE7:AE9))</f>
        <v>368687</v>
      </c>
      <c r="AF10" s="613">
        <f>IF(AF5&gt;'Pro Forma Assumptions'!$D$24,0,SUM(AF7:AF9))</f>
        <v>376061</v>
      </c>
      <c r="AG10" s="614">
        <f>IF(AG5&gt;'Pro Forma Assumptions'!$D$24,0,SUM(AG7:AG9))</f>
        <v>383582</v>
      </c>
    </row>
    <row r="11" spans="1:34" s="177" customFormat="1" ht="15" customHeight="1" x14ac:dyDescent="0.2">
      <c r="C11" s="178"/>
      <c r="D11" s="615"/>
      <c r="E11" s="616"/>
      <c r="F11" s="616"/>
      <c r="G11" s="616"/>
      <c r="H11" s="616"/>
      <c r="I11" s="616"/>
      <c r="J11" s="616"/>
      <c r="K11" s="616"/>
      <c r="L11" s="616"/>
      <c r="M11" s="616"/>
      <c r="N11" s="616"/>
      <c r="O11" s="616"/>
      <c r="P11" s="616"/>
      <c r="Q11" s="616"/>
      <c r="R11" s="616"/>
      <c r="S11" s="616"/>
      <c r="T11" s="616"/>
      <c r="U11" s="616"/>
      <c r="V11" s="616"/>
      <c r="W11" s="616"/>
      <c r="X11" s="616"/>
      <c r="Y11" s="616"/>
      <c r="Z11" s="616"/>
      <c r="AA11" s="616"/>
      <c r="AB11" s="616"/>
      <c r="AC11" s="616"/>
      <c r="AD11" s="616"/>
      <c r="AE11" s="616"/>
      <c r="AF11" s="616"/>
      <c r="AG11" s="616"/>
    </row>
    <row r="12" spans="1:34" s="177" customFormat="1" ht="15" customHeight="1" x14ac:dyDescent="0.2">
      <c r="C12" s="191" t="s">
        <v>31</v>
      </c>
      <c r="D12" s="617"/>
      <c r="E12" s="616"/>
      <c r="F12" s="616"/>
      <c r="G12" s="616"/>
      <c r="H12" s="616"/>
      <c r="I12" s="616"/>
      <c r="J12" s="616"/>
      <c r="K12" s="616"/>
      <c r="L12" s="616"/>
      <c r="M12" s="616"/>
      <c r="N12" s="616"/>
      <c r="O12" s="616"/>
      <c r="P12" s="616"/>
      <c r="Q12" s="616"/>
      <c r="R12" s="616"/>
      <c r="S12" s="616"/>
      <c r="T12" s="616"/>
      <c r="U12" s="616"/>
      <c r="V12" s="616"/>
      <c r="W12" s="616"/>
      <c r="X12" s="616"/>
      <c r="Y12" s="616"/>
      <c r="Z12" s="616"/>
      <c r="AA12" s="616"/>
      <c r="AB12" s="616"/>
      <c r="AC12" s="616"/>
      <c r="AD12" s="616"/>
      <c r="AE12" s="616"/>
      <c r="AF12" s="616"/>
      <c r="AG12" s="616"/>
    </row>
    <row r="13" spans="1:34" s="177" customFormat="1" ht="15" customHeight="1" x14ac:dyDescent="0.2">
      <c r="A13" s="469" t="s">
        <v>424</v>
      </c>
      <c r="C13" s="195" t="s">
        <v>4</v>
      </c>
      <c r="D13" s="618">
        <f>ROUND(-D79,0)</f>
        <v>-30173</v>
      </c>
      <c r="E13" s="618">
        <f>ROUND(-E79,0)</f>
        <v>-10772</v>
      </c>
      <c r="F13" s="618">
        <f>ROUND(-F79,0)</f>
        <v>-10987</v>
      </c>
      <c r="G13" s="618">
        <f t="shared" ref="G13:AG13" si="0">ROUND(-G79,0)</f>
        <v>-11207</v>
      </c>
      <c r="H13" s="618">
        <f t="shared" si="0"/>
        <v>-11431</v>
      </c>
      <c r="I13" s="618">
        <f t="shared" si="0"/>
        <v>-11660</v>
      </c>
      <c r="J13" s="618">
        <f t="shared" si="0"/>
        <v>-11893</v>
      </c>
      <c r="K13" s="618">
        <f t="shared" si="0"/>
        <v>-12131</v>
      </c>
      <c r="L13" s="618">
        <f t="shared" si="0"/>
        <v>-12373</v>
      </c>
      <c r="M13" s="618">
        <f t="shared" si="0"/>
        <v>-12621</v>
      </c>
      <c r="N13" s="618">
        <f t="shared" si="0"/>
        <v>-12873</v>
      </c>
      <c r="O13" s="618">
        <f t="shared" si="0"/>
        <v>-13131</v>
      </c>
      <c r="P13" s="618">
        <f t="shared" si="0"/>
        <v>-13393</v>
      </c>
      <c r="Q13" s="618">
        <f t="shared" si="0"/>
        <v>-13661</v>
      </c>
      <c r="R13" s="618">
        <f t="shared" si="0"/>
        <v>-13934</v>
      </c>
      <c r="S13" s="618">
        <f t="shared" si="0"/>
        <v>-20350</v>
      </c>
      <c r="T13" s="618">
        <f t="shared" si="0"/>
        <v>-20757</v>
      </c>
      <c r="U13" s="618">
        <f t="shared" si="0"/>
        <v>-21172</v>
      </c>
      <c r="V13" s="618">
        <f t="shared" si="0"/>
        <v>-21595</v>
      </c>
      <c r="W13" s="618">
        <f t="shared" si="0"/>
        <v>-22027</v>
      </c>
      <c r="X13" s="618">
        <f t="shared" si="0"/>
        <v>-22468</v>
      </c>
      <c r="Y13" s="618">
        <f t="shared" si="0"/>
        <v>-22917</v>
      </c>
      <c r="Z13" s="618">
        <f t="shared" si="0"/>
        <v>-23375</v>
      </c>
      <c r="AA13" s="618">
        <f t="shared" si="0"/>
        <v>-23843</v>
      </c>
      <c r="AB13" s="618">
        <f t="shared" si="0"/>
        <v>-24320</v>
      </c>
      <c r="AC13" s="618">
        <f t="shared" si="0"/>
        <v>-24806</v>
      </c>
      <c r="AD13" s="618">
        <f t="shared" si="0"/>
        <v>-25302</v>
      </c>
      <c r="AE13" s="618">
        <f t="shared" si="0"/>
        <v>-25808</v>
      </c>
      <c r="AF13" s="618">
        <f t="shared" si="0"/>
        <v>-26324</v>
      </c>
      <c r="AG13" s="619">
        <f t="shared" si="0"/>
        <v>-26851</v>
      </c>
    </row>
    <row r="14" spans="1:34" s="177" customFormat="1" ht="15" customHeight="1" x14ac:dyDescent="0.2">
      <c r="A14" s="469" t="s">
        <v>424</v>
      </c>
      <c r="C14" s="193" t="s">
        <v>58</v>
      </c>
      <c r="D14" s="611">
        <f>ROUND(IF('Pro Forma Assumptions'!$D$24&lt;D5,0,D74),0)</f>
        <v>2400</v>
      </c>
      <c r="E14" s="611">
        <f>ROUND(IF('Pro Forma Assumptions'!$D$24&lt;E5,0,E74),0)</f>
        <v>2448</v>
      </c>
      <c r="F14" s="611">
        <f>ROUND(IF('Pro Forma Assumptions'!$D$24&lt;F5,0,F74),0)</f>
        <v>2497</v>
      </c>
      <c r="G14" s="611">
        <f>ROUND(IF('Pro Forma Assumptions'!$D$24&lt;G5,0,G74),0)</f>
        <v>2547</v>
      </c>
      <c r="H14" s="611">
        <f>ROUND(IF('Pro Forma Assumptions'!$D$24&lt;H5,0,H74),0)</f>
        <v>2598</v>
      </c>
      <c r="I14" s="611">
        <f>ROUND(IF('Pro Forma Assumptions'!$D$24&lt;I5,0,I74),0)</f>
        <v>2650</v>
      </c>
      <c r="J14" s="611">
        <f>ROUND(IF('Pro Forma Assumptions'!$D$24&lt;J5,0,J74),0)</f>
        <v>2703</v>
      </c>
      <c r="K14" s="611">
        <f>ROUND(IF('Pro Forma Assumptions'!$D$24&lt;K5,0,K74),0)</f>
        <v>2757</v>
      </c>
      <c r="L14" s="611">
        <f>ROUND(IF('Pro Forma Assumptions'!$D$24&lt;L5,0,L74),0)</f>
        <v>2812</v>
      </c>
      <c r="M14" s="611">
        <f>ROUND(IF('Pro Forma Assumptions'!$D$24&lt;M5,0,M74),0)</f>
        <v>2868</v>
      </c>
      <c r="N14" s="611">
        <f>ROUND(IF('Pro Forma Assumptions'!$D$24&lt;N5,0,N74),0)</f>
        <v>2926</v>
      </c>
      <c r="O14" s="611">
        <f>ROUND(IF('Pro Forma Assumptions'!$D$24&lt;O5,0,O74),0)</f>
        <v>2984</v>
      </c>
      <c r="P14" s="611">
        <f>ROUND(IF('Pro Forma Assumptions'!$D$24&lt;P5,0,P74),0)</f>
        <v>3044</v>
      </c>
      <c r="Q14" s="611">
        <f>ROUND(IF('Pro Forma Assumptions'!$D$24&lt;Q5,0,Q74),0)</f>
        <v>3105</v>
      </c>
      <c r="R14" s="611">
        <f>ROUND(IF('Pro Forma Assumptions'!$D$24&lt;R5,0,R74),0)</f>
        <v>3167</v>
      </c>
      <c r="S14" s="611">
        <f>ROUND(IF('Pro Forma Assumptions'!$D$24&lt;S5,0,S74),0)</f>
        <v>3230</v>
      </c>
      <c r="T14" s="611">
        <f>ROUND(IF('Pro Forma Assumptions'!$D$24&lt;T5,0,T74),0)</f>
        <v>3295</v>
      </c>
      <c r="U14" s="611">
        <f>ROUND(IF('Pro Forma Assumptions'!$D$24&lt;U5,0,U74),0)</f>
        <v>3361</v>
      </c>
      <c r="V14" s="611">
        <f>ROUND(IF('Pro Forma Assumptions'!$D$24&lt;V5,0,V74),0)</f>
        <v>3428</v>
      </c>
      <c r="W14" s="611">
        <f>ROUND(IF('Pro Forma Assumptions'!$D$24&lt;W5,0,W74),0)</f>
        <v>3496</v>
      </c>
      <c r="X14" s="611">
        <f>ROUND(IF('Pro Forma Assumptions'!$D$24&lt;X5,0,X74),0)</f>
        <v>3566</v>
      </c>
      <c r="Y14" s="611">
        <f>ROUND(IF('Pro Forma Assumptions'!$D$24&lt;Y5,0,Y74),0)</f>
        <v>3638</v>
      </c>
      <c r="Z14" s="611">
        <f>ROUND(IF('Pro Forma Assumptions'!$D$24&lt;Z5,0,Z74),0)</f>
        <v>3710</v>
      </c>
      <c r="AA14" s="611">
        <f>ROUND(IF('Pro Forma Assumptions'!$D$24&lt;AA5,0,AA74),0)</f>
        <v>3785</v>
      </c>
      <c r="AB14" s="611">
        <f>ROUND(IF('Pro Forma Assumptions'!$D$24&lt;AB5,0,AB74),0)</f>
        <v>3860</v>
      </c>
      <c r="AC14" s="611">
        <f>ROUND(IF('Pro Forma Assumptions'!$D$24&lt;AC5,0,AC74),0)</f>
        <v>3937</v>
      </c>
      <c r="AD14" s="611">
        <f>ROUND(IF('Pro Forma Assumptions'!$D$24&lt;AD5,0,AD74),0)</f>
        <v>4016</v>
      </c>
      <c r="AE14" s="611">
        <f>ROUND(IF('Pro Forma Assumptions'!$D$24&lt;AE5,0,AE74),0)</f>
        <v>4097</v>
      </c>
      <c r="AF14" s="611">
        <f>ROUND(IF('Pro Forma Assumptions'!$D$24&lt;AF5,0,AF74),0)</f>
        <v>4178</v>
      </c>
      <c r="AG14" s="612">
        <f>ROUND(IF('Pro Forma Assumptions'!$D$24&lt;AG5,0,AG74),0)</f>
        <v>4262</v>
      </c>
    </row>
    <row r="15" spans="1:34" s="176" customFormat="1" ht="15" customHeight="1" x14ac:dyDescent="0.2">
      <c r="C15" s="196" t="s">
        <v>32</v>
      </c>
      <c r="D15" s="620">
        <f t="shared" ref="D15:AG15" si="1">D10+D13+D14</f>
        <v>123091</v>
      </c>
      <c r="E15" s="620">
        <f t="shared" si="1"/>
        <v>145557</v>
      </c>
      <c r="F15" s="620">
        <f t="shared" si="1"/>
        <v>148469</v>
      </c>
      <c r="G15" s="620">
        <f t="shared" si="1"/>
        <v>151438</v>
      </c>
      <c r="H15" s="620">
        <f t="shared" si="1"/>
        <v>154467</v>
      </c>
      <c r="I15" s="620">
        <f t="shared" si="1"/>
        <v>157556</v>
      </c>
      <c r="J15" s="620">
        <f t="shared" si="1"/>
        <v>160707</v>
      </c>
      <c r="K15" s="620">
        <f t="shared" si="1"/>
        <v>163921</v>
      </c>
      <c r="L15" s="620">
        <f t="shared" si="1"/>
        <v>167200</v>
      </c>
      <c r="M15" s="620">
        <f t="shared" si="1"/>
        <v>170543</v>
      </c>
      <c r="N15" s="620">
        <f t="shared" si="1"/>
        <v>173955</v>
      </c>
      <c r="O15" s="620">
        <f t="shared" si="1"/>
        <v>177433</v>
      </c>
      <c r="P15" s="620">
        <f t="shared" si="1"/>
        <v>180983</v>
      </c>
      <c r="Q15" s="620">
        <f t="shared" si="1"/>
        <v>184603</v>
      </c>
      <c r="R15" s="620">
        <f t="shared" si="1"/>
        <v>188295</v>
      </c>
      <c r="S15" s="620">
        <f t="shared" si="1"/>
        <v>273588</v>
      </c>
      <c r="T15" s="620">
        <f t="shared" si="1"/>
        <v>279060</v>
      </c>
      <c r="U15" s="620">
        <f t="shared" si="1"/>
        <v>284641</v>
      </c>
      <c r="V15" s="620">
        <f t="shared" si="1"/>
        <v>290334</v>
      </c>
      <c r="W15" s="620">
        <f t="shared" si="1"/>
        <v>296140</v>
      </c>
      <c r="X15" s="620">
        <f t="shared" si="1"/>
        <v>302063</v>
      </c>
      <c r="Y15" s="620">
        <f t="shared" si="1"/>
        <v>308105</v>
      </c>
      <c r="Z15" s="620">
        <f t="shared" si="1"/>
        <v>314267</v>
      </c>
      <c r="AA15" s="620">
        <f t="shared" si="1"/>
        <v>320552</v>
      </c>
      <c r="AB15" s="620">
        <f t="shared" si="1"/>
        <v>326962</v>
      </c>
      <c r="AC15" s="620">
        <f t="shared" si="1"/>
        <v>333502</v>
      </c>
      <c r="AD15" s="620">
        <f t="shared" si="1"/>
        <v>340172</v>
      </c>
      <c r="AE15" s="620">
        <f t="shared" si="1"/>
        <v>346976</v>
      </c>
      <c r="AF15" s="620">
        <f t="shared" si="1"/>
        <v>353915</v>
      </c>
      <c r="AG15" s="621">
        <f t="shared" si="1"/>
        <v>360993</v>
      </c>
    </row>
    <row r="16" spans="1:34" s="177" customFormat="1" ht="15" customHeight="1" x14ac:dyDescent="0.2">
      <c r="C16" s="178"/>
      <c r="D16" s="615"/>
      <c r="E16" s="616"/>
      <c r="F16" s="616"/>
      <c r="G16" s="616"/>
      <c r="H16" s="616"/>
      <c r="I16" s="616"/>
      <c r="J16" s="616"/>
      <c r="K16" s="616"/>
      <c r="L16" s="616"/>
      <c r="M16" s="616"/>
      <c r="N16" s="616"/>
      <c r="O16" s="616"/>
      <c r="P16" s="616"/>
      <c r="Q16" s="616"/>
      <c r="R16" s="616"/>
      <c r="S16" s="616"/>
      <c r="T16" s="616"/>
      <c r="U16" s="616"/>
      <c r="V16" s="616"/>
      <c r="W16" s="616"/>
      <c r="X16" s="616"/>
      <c r="Y16" s="616"/>
      <c r="Z16" s="616"/>
      <c r="AA16" s="616"/>
      <c r="AB16" s="616"/>
      <c r="AC16" s="616"/>
      <c r="AD16" s="616"/>
      <c r="AE16" s="616"/>
      <c r="AF16" s="616"/>
      <c r="AG16" s="616"/>
    </row>
    <row r="17" spans="1:33" s="177" customFormat="1" ht="15" customHeight="1" x14ac:dyDescent="0.2">
      <c r="A17" s="469" t="s">
        <v>424</v>
      </c>
      <c r="C17" s="191" t="s">
        <v>51</v>
      </c>
      <c r="D17" s="617"/>
      <c r="E17" s="616"/>
      <c r="F17" s="616"/>
      <c r="G17" s="616"/>
      <c r="H17" s="616"/>
      <c r="I17" s="616"/>
      <c r="J17" s="616"/>
      <c r="K17" s="616"/>
      <c r="L17" s="616"/>
      <c r="M17" s="616"/>
      <c r="N17" s="616"/>
      <c r="O17" s="616"/>
      <c r="P17" s="616"/>
      <c r="Q17" s="616"/>
      <c r="R17" s="616"/>
      <c r="S17" s="616"/>
      <c r="T17" s="616"/>
      <c r="U17" s="616"/>
      <c r="V17" s="616"/>
      <c r="W17" s="616"/>
      <c r="X17" s="616"/>
      <c r="Y17" s="616"/>
      <c r="Z17" s="616"/>
      <c r="AA17" s="616"/>
      <c r="AB17" s="616"/>
      <c r="AC17" s="616"/>
      <c r="AD17" s="616"/>
      <c r="AE17" s="616"/>
      <c r="AF17" s="616"/>
      <c r="AG17" s="616"/>
    </row>
    <row r="18" spans="1:33" s="177" customFormat="1" ht="15" customHeight="1" x14ac:dyDescent="0.2">
      <c r="C18" s="197" t="s">
        <v>137</v>
      </c>
      <c r="D18" s="609">
        <f>ROUND(SUM('Operating Expenses'!D4:D15),0)</f>
        <v>36500</v>
      </c>
      <c r="E18" s="609">
        <f>ROUND(IF(E$5&gt;'Pro Forma Assumptions'!$D$24,0,D18*(1+'Pro Forma Assumptions'!$D$21)),0)</f>
        <v>37413</v>
      </c>
      <c r="F18" s="609">
        <f>ROUND(IF(F$5&gt;'Pro Forma Assumptions'!$D$24,0,E18*(1+'Pro Forma Assumptions'!$D$21)),0)</f>
        <v>38348</v>
      </c>
      <c r="G18" s="609">
        <f>ROUND(IF(G$5&gt;'Pro Forma Assumptions'!$D$24,0,F18*(1+'Pro Forma Assumptions'!$D$21)),0)</f>
        <v>39307</v>
      </c>
      <c r="H18" s="609">
        <f>ROUND(IF(H$5&gt;'Pro Forma Assumptions'!$D$24,0,G18*(1+'Pro Forma Assumptions'!$D$21)),0)</f>
        <v>40290</v>
      </c>
      <c r="I18" s="609">
        <f>ROUND(IF(I$5&gt;'Pro Forma Assumptions'!$D$24,0,H18*(1+'Pro Forma Assumptions'!$D$21)),0)</f>
        <v>41297</v>
      </c>
      <c r="J18" s="609">
        <f>ROUND(IF(J$5&gt;'Pro Forma Assumptions'!$D$24,0,I18*(1+'Pro Forma Assumptions'!$D$21)),0)</f>
        <v>42329</v>
      </c>
      <c r="K18" s="609">
        <f>ROUND(IF(K$5&gt;'Pro Forma Assumptions'!$D$24,0,J18*(1+'Pro Forma Assumptions'!$D$21)),0)</f>
        <v>43387</v>
      </c>
      <c r="L18" s="609">
        <f>ROUND(IF(L$5&gt;'Pro Forma Assumptions'!$D$24,0,K18*(1+'Pro Forma Assumptions'!$D$21)),0)</f>
        <v>44472</v>
      </c>
      <c r="M18" s="609">
        <f>ROUND(IF(M$5&gt;'Pro Forma Assumptions'!$D$24,0,L18*(1+'Pro Forma Assumptions'!$D$21)),0)</f>
        <v>45584</v>
      </c>
      <c r="N18" s="609">
        <f>ROUND(IF(N$5&gt;'Pro Forma Assumptions'!$D$24,0,M18*(1+'Pro Forma Assumptions'!$D$21)),0)</f>
        <v>46724</v>
      </c>
      <c r="O18" s="609">
        <f>ROUND(IF(O$5&gt;'Pro Forma Assumptions'!$D$24,0,N18*(1+'Pro Forma Assumptions'!$D$21)),0)</f>
        <v>47892</v>
      </c>
      <c r="P18" s="609">
        <f>ROUND(IF(P$5&gt;'Pro Forma Assumptions'!$D$24,0,O18*(1+'Pro Forma Assumptions'!$D$21)),0)</f>
        <v>49089</v>
      </c>
      <c r="Q18" s="609">
        <f>ROUND(IF(Q$5&gt;'Pro Forma Assumptions'!$D$24,0,P18*(1+'Pro Forma Assumptions'!$D$21)),0)</f>
        <v>50316</v>
      </c>
      <c r="R18" s="609">
        <f>ROUND(IF(R$5&gt;'Pro Forma Assumptions'!$D$24,0,Q18*(1+'Pro Forma Assumptions'!$D$21)),0)</f>
        <v>51574</v>
      </c>
      <c r="S18" s="609">
        <f>ROUND(IF(S$5&gt;'Pro Forma Assumptions'!$D$24,0,R18*(1+'Pro Forma Assumptions'!$D$21)),0)</f>
        <v>52863</v>
      </c>
      <c r="T18" s="609">
        <f>ROUND(IF(T$5&gt;'Pro Forma Assumptions'!$D$24,0,S18*(1+'Pro Forma Assumptions'!$D$21)),0)</f>
        <v>54185</v>
      </c>
      <c r="U18" s="609">
        <f>ROUND(IF(U$5&gt;'Pro Forma Assumptions'!$D$24,0,T18*(1+'Pro Forma Assumptions'!$D$21)),0)</f>
        <v>55540</v>
      </c>
      <c r="V18" s="609">
        <f>ROUND(IF(V$5&gt;'Pro Forma Assumptions'!$D$24,0,U18*(1+'Pro Forma Assumptions'!$D$21)),0)</f>
        <v>56929</v>
      </c>
      <c r="W18" s="609">
        <f>ROUND(IF(W$5&gt;'Pro Forma Assumptions'!$D$24,0,V18*(1+'Pro Forma Assumptions'!$D$21)),0)</f>
        <v>58352</v>
      </c>
      <c r="X18" s="609">
        <f>ROUND(IF(X$5&gt;'Pro Forma Assumptions'!$D$24,0,W18*(1+'Pro Forma Assumptions'!$D$21)),0)</f>
        <v>59811</v>
      </c>
      <c r="Y18" s="609">
        <f>ROUND(IF(Y$5&gt;'Pro Forma Assumptions'!$D$24,0,X18*(1+'Pro Forma Assumptions'!$D$21)),0)</f>
        <v>61306</v>
      </c>
      <c r="Z18" s="609">
        <f>ROUND(IF(Z$5&gt;'Pro Forma Assumptions'!$D$24,0,Y18*(1+'Pro Forma Assumptions'!$D$21)),0)</f>
        <v>62839</v>
      </c>
      <c r="AA18" s="609">
        <f>ROUND(IF(AA$5&gt;'Pro Forma Assumptions'!$D$24,0,Z18*(1+'Pro Forma Assumptions'!$D$21)),0)</f>
        <v>64410</v>
      </c>
      <c r="AB18" s="609">
        <f>ROUND(IF(AB$5&gt;'Pro Forma Assumptions'!$D$24,0,AA18*(1+'Pro Forma Assumptions'!$D$21)),0)</f>
        <v>66020</v>
      </c>
      <c r="AC18" s="609">
        <f>ROUND(IF(AC$5&gt;'Pro Forma Assumptions'!$D$24,0,AB18*(1+'Pro Forma Assumptions'!$D$21)),0)</f>
        <v>67671</v>
      </c>
      <c r="AD18" s="609">
        <f>ROUND(IF(AD$5&gt;'Pro Forma Assumptions'!$D$24,0,AC18*(1+'Pro Forma Assumptions'!$D$21)),0)</f>
        <v>69363</v>
      </c>
      <c r="AE18" s="609">
        <f>ROUND(IF(AE$5&gt;'Pro Forma Assumptions'!$D$24,0,AD18*(1+'Pro Forma Assumptions'!$D$21)),0)</f>
        <v>71097</v>
      </c>
      <c r="AF18" s="609">
        <f>ROUND(IF(AF$5&gt;'Pro Forma Assumptions'!$D$24,0,AE18*(1+'Pro Forma Assumptions'!$D$21)),0)</f>
        <v>72874</v>
      </c>
      <c r="AG18" s="610">
        <f>ROUND(IF(AG$5&gt;'Pro Forma Assumptions'!$D$24,0,AF18*(1+'Pro Forma Assumptions'!$D$21)),0)</f>
        <v>74696</v>
      </c>
    </row>
    <row r="19" spans="1:33" s="177" customFormat="1" ht="15" customHeight="1" x14ac:dyDescent="0.2">
      <c r="C19" s="198" t="s">
        <v>174</v>
      </c>
      <c r="D19" s="611">
        <f>ROUND(SUM('Operating Expenses'!D15:D30),0)</f>
        <v>37000</v>
      </c>
      <c r="E19" s="611">
        <f>ROUND(IF(E$5&gt;'Pro Forma Assumptions'!$D$24,0,D19*(1+'Pro Forma Assumptions'!$D$21)),0)</f>
        <v>37925</v>
      </c>
      <c r="F19" s="611">
        <f>ROUND(IF(F$5&gt;'Pro Forma Assumptions'!$D$24,0,E19*(1+'Pro Forma Assumptions'!$D$21)),0)</f>
        <v>38873</v>
      </c>
      <c r="G19" s="611">
        <f>ROUND(IF(G$5&gt;'Pro Forma Assumptions'!$D$24,0,F19*(1+'Pro Forma Assumptions'!$D$21)),0)</f>
        <v>39845</v>
      </c>
      <c r="H19" s="611">
        <f>ROUND(IF(H$5&gt;'Pro Forma Assumptions'!$D$24,0,G19*(1+'Pro Forma Assumptions'!$D$21)),0)</f>
        <v>40841</v>
      </c>
      <c r="I19" s="611">
        <f>ROUND(IF(I$5&gt;'Pro Forma Assumptions'!$D$24,0,H19*(1+'Pro Forma Assumptions'!$D$21)),0)</f>
        <v>41862</v>
      </c>
      <c r="J19" s="611">
        <f>ROUND(IF(J$5&gt;'Pro Forma Assumptions'!$D$24,0,I19*(1+'Pro Forma Assumptions'!$D$21)),0)</f>
        <v>42909</v>
      </c>
      <c r="K19" s="611">
        <f>ROUND(IF(K$5&gt;'Pro Forma Assumptions'!$D$24,0,J19*(1+'Pro Forma Assumptions'!$D$21)),0)</f>
        <v>43982</v>
      </c>
      <c r="L19" s="611">
        <f>ROUND(IF(L$5&gt;'Pro Forma Assumptions'!$D$24,0,K19*(1+'Pro Forma Assumptions'!$D$21)),0)</f>
        <v>45082</v>
      </c>
      <c r="M19" s="611">
        <f>ROUND(IF(M$5&gt;'Pro Forma Assumptions'!$D$24,0,L19*(1+'Pro Forma Assumptions'!$D$21)),0)</f>
        <v>46209</v>
      </c>
      <c r="N19" s="611">
        <f>ROUND(IF(N$5&gt;'Pro Forma Assumptions'!$D$24,0,M19*(1+'Pro Forma Assumptions'!$D$21)),0)</f>
        <v>47364</v>
      </c>
      <c r="O19" s="611">
        <f>ROUND(IF(O$5&gt;'Pro Forma Assumptions'!$D$24,0,N19*(1+'Pro Forma Assumptions'!$D$21)),0)</f>
        <v>48548</v>
      </c>
      <c r="P19" s="611">
        <f>ROUND(IF(P$5&gt;'Pro Forma Assumptions'!$D$24,0,O19*(1+'Pro Forma Assumptions'!$D$21)),0)</f>
        <v>49762</v>
      </c>
      <c r="Q19" s="611">
        <f>ROUND(IF(Q$5&gt;'Pro Forma Assumptions'!$D$24,0,P19*(1+'Pro Forma Assumptions'!$D$21)),0)</f>
        <v>51006</v>
      </c>
      <c r="R19" s="611">
        <f>ROUND(IF(R$5&gt;'Pro Forma Assumptions'!$D$24,0,Q19*(1+'Pro Forma Assumptions'!$D$21)),0)</f>
        <v>52281</v>
      </c>
      <c r="S19" s="611">
        <f>ROUND(IF(S$5&gt;'Pro Forma Assumptions'!$D$24,0,R19*(1+'Pro Forma Assumptions'!$D$21)),0)</f>
        <v>53588</v>
      </c>
      <c r="T19" s="611">
        <f>ROUND(IF(T$5&gt;'Pro Forma Assumptions'!$D$24,0,S19*(1+'Pro Forma Assumptions'!$D$21)),0)</f>
        <v>54928</v>
      </c>
      <c r="U19" s="611">
        <f>ROUND(IF(U$5&gt;'Pro Forma Assumptions'!$D$24,0,T19*(1+'Pro Forma Assumptions'!$D$21)),0)</f>
        <v>56301</v>
      </c>
      <c r="V19" s="611">
        <f>ROUND(IF(V$5&gt;'Pro Forma Assumptions'!$D$24,0,U19*(1+'Pro Forma Assumptions'!$D$21)),0)</f>
        <v>57709</v>
      </c>
      <c r="W19" s="611">
        <f>ROUND(IF(W$5&gt;'Pro Forma Assumptions'!$D$24,0,V19*(1+'Pro Forma Assumptions'!$D$21)),0)</f>
        <v>59152</v>
      </c>
      <c r="X19" s="611">
        <f>ROUND(IF(X$5&gt;'Pro Forma Assumptions'!$D$24,0,W19*(1+'Pro Forma Assumptions'!$D$21)),0)</f>
        <v>60631</v>
      </c>
      <c r="Y19" s="611">
        <f>ROUND(IF(Y$5&gt;'Pro Forma Assumptions'!$D$24,0,X19*(1+'Pro Forma Assumptions'!$D$21)),0)</f>
        <v>62147</v>
      </c>
      <c r="Z19" s="611">
        <f>ROUND(IF(Z$5&gt;'Pro Forma Assumptions'!$D$24,0,Y19*(1+'Pro Forma Assumptions'!$D$21)),0)</f>
        <v>63701</v>
      </c>
      <c r="AA19" s="611">
        <f>ROUND(IF(AA$5&gt;'Pro Forma Assumptions'!$D$24,0,Z19*(1+'Pro Forma Assumptions'!$D$21)),0)</f>
        <v>65294</v>
      </c>
      <c r="AB19" s="611">
        <f>ROUND(IF(AB$5&gt;'Pro Forma Assumptions'!$D$24,0,AA19*(1+'Pro Forma Assumptions'!$D$21)),0)</f>
        <v>66926</v>
      </c>
      <c r="AC19" s="611">
        <f>ROUND(IF(AC$5&gt;'Pro Forma Assumptions'!$D$24,0,AB19*(1+'Pro Forma Assumptions'!$D$21)),0)</f>
        <v>68599</v>
      </c>
      <c r="AD19" s="611">
        <f>ROUND(IF(AD$5&gt;'Pro Forma Assumptions'!$D$24,0,AC19*(1+'Pro Forma Assumptions'!$D$21)),0)</f>
        <v>70314</v>
      </c>
      <c r="AE19" s="611">
        <f>ROUND(IF(AE$5&gt;'Pro Forma Assumptions'!$D$24,0,AD19*(1+'Pro Forma Assumptions'!$D$21)),0)</f>
        <v>72072</v>
      </c>
      <c r="AF19" s="611">
        <f>ROUND(IF(AF$5&gt;'Pro Forma Assumptions'!$D$24,0,AE19*(1+'Pro Forma Assumptions'!$D$21)),0)</f>
        <v>73874</v>
      </c>
      <c r="AG19" s="612">
        <f>ROUND(IF(AG$5&gt;'Pro Forma Assumptions'!$D$24,0,AF19*(1+'Pro Forma Assumptions'!$D$21)),0)</f>
        <v>75721</v>
      </c>
    </row>
    <row r="20" spans="1:33" s="177" customFormat="1" ht="15" customHeight="1" x14ac:dyDescent="0.2">
      <c r="C20" s="198" t="s">
        <v>128</v>
      </c>
      <c r="D20" s="611">
        <f>ROUND(SUM('Operating Expenses'!D30:D35),0)</f>
        <v>12000</v>
      </c>
      <c r="E20" s="611">
        <f>ROUND(IF(E$5&gt;'Pro Forma Assumptions'!$D$24,0,D20*(1+'Pro Forma Assumptions'!$D$21)),0)</f>
        <v>12300</v>
      </c>
      <c r="F20" s="611">
        <f>ROUND(IF(F$5&gt;'Pro Forma Assumptions'!$D$24,0,E20*(1+'Pro Forma Assumptions'!$D$21)),0)</f>
        <v>12608</v>
      </c>
      <c r="G20" s="611">
        <f>ROUND(IF(G$5&gt;'Pro Forma Assumptions'!$D$24,0,F20*(1+'Pro Forma Assumptions'!$D$21)),0)</f>
        <v>12923</v>
      </c>
      <c r="H20" s="611">
        <f>ROUND(IF(H$5&gt;'Pro Forma Assumptions'!$D$24,0,G20*(1+'Pro Forma Assumptions'!$D$21)),0)</f>
        <v>13246</v>
      </c>
      <c r="I20" s="611">
        <f>ROUND(IF(I$5&gt;'Pro Forma Assumptions'!$D$24,0,H20*(1+'Pro Forma Assumptions'!$D$21)),0)</f>
        <v>13577</v>
      </c>
      <c r="J20" s="611">
        <f>ROUND(IF(J$5&gt;'Pro Forma Assumptions'!$D$24,0,I20*(1+'Pro Forma Assumptions'!$D$21)),0)</f>
        <v>13916</v>
      </c>
      <c r="K20" s="611">
        <f>ROUND(IF(K$5&gt;'Pro Forma Assumptions'!$D$24,0,J20*(1+'Pro Forma Assumptions'!$D$21)),0)</f>
        <v>14264</v>
      </c>
      <c r="L20" s="611">
        <f>ROUND(IF(L$5&gt;'Pro Forma Assumptions'!$D$24,0,K20*(1+'Pro Forma Assumptions'!$D$21)),0)</f>
        <v>14621</v>
      </c>
      <c r="M20" s="611">
        <f>ROUND(IF(M$5&gt;'Pro Forma Assumptions'!$D$24,0,L20*(1+'Pro Forma Assumptions'!$D$21)),0)</f>
        <v>14987</v>
      </c>
      <c r="N20" s="611">
        <f>ROUND(IF(N$5&gt;'Pro Forma Assumptions'!$D$24,0,M20*(1+'Pro Forma Assumptions'!$D$21)),0)</f>
        <v>15362</v>
      </c>
      <c r="O20" s="611">
        <f>ROUND(IF(O$5&gt;'Pro Forma Assumptions'!$D$24,0,N20*(1+'Pro Forma Assumptions'!$D$21)),0)</f>
        <v>15746</v>
      </c>
      <c r="P20" s="611">
        <f>ROUND(IF(P$5&gt;'Pro Forma Assumptions'!$D$24,0,O20*(1+'Pro Forma Assumptions'!$D$21)),0)</f>
        <v>16140</v>
      </c>
      <c r="Q20" s="611">
        <f>ROUND(IF(Q$5&gt;'Pro Forma Assumptions'!$D$24,0,P20*(1+'Pro Forma Assumptions'!$D$21)),0)</f>
        <v>16544</v>
      </c>
      <c r="R20" s="611">
        <f>ROUND(IF(R$5&gt;'Pro Forma Assumptions'!$D$24,0,Q20*(1+'Pro Forma Assumptions'!$D$21)),0)</f>
        <v>16958</v>
      </c>
      <c r="S20" s="611">
        <f>ROUND(IF(S$5&gt;'Pro Forma Assumptions'!$D$24,0,R20*(1+'Pro Forma Assumptions'!$D$21)),0)</f>
        <v>17382</v>
      </c>
      <c r="T20" s="611">
        <f>ROUND(IF(T$5&gt;'Pro Forma Assumptions'!$D$24,0,S20*(1+'Pro Forma Assumptions'!$D$21)),0)</f>
        <v>17817</v>
      </c>
      <c r="U20" s="611">
        <f>ROUND(IF(U$5&gt;'Pro Forma Assumptions'!$D$24,0,T20*(1+'Pro Forma Assumptions'!$D$21)),0)</f>
        <v>18262</v>
      </c>
      <c r="V20" s="611">
        <f>ROUND(IF(V$5&gt;'Pro Forma Assumptions'!$D$24,0,U20*(1+'Pro Forma Assumptions'!$D$21)),0)</f>
        <v>18719</v>
      </c>
      <c r="W20" s="611">
        <f>ROUND(IF(W$5&gt;'Pro Forma Assumptions'!$D$24,0,V20*(1+'Pro Forma Assumptions'!$D$21)),0)</f>
        <v>19187</v>
      </c>
      <c r="X20" s="611">
        <f>ROUND(IF(X$5&gt;'Pro Forma Assumptions'!$D$24,0,W20*(1+'Pro Forma Assumptions'!$D$21)),0)</f>
        <v>19667</v>
      </c>
      <c r="Y20" s="611">
        <f>ROUND(IF(Y$5&gt;'Pro Forma Assumptions'!$D$24,0,X20*(1+'Pro Forma Assumptions'!$D$21)),0)</f>
        <v>20159</v>
      </c>
      <c r="Z20" s="611">
        <f>ROUND(IF(Z$5&gt;'Pro Forma Assumptions'!$D$24,0,Y20*(1+'Pro Forma Assumptions'!$D$21)),0)</f>
        <v>20663</v>
      </c>
      <c r="AA20" s="611">
        <f>ROUND(IF(AA$5&gt;'Pro Forma Assumptions'!$D$24,0,Z20*(1+'Pro Forma Assumptions'!$D$21)),0)</f>
        <v>21180</v>
      </c>
      <c r="AB20" s="611">
        <f>ROUND(IF(AB$5&gt;'Pro Forma Assumptions'!$D$24,0,AA20*(1+'Pro Forma Assumptions'!$D$21)),0)</f>
        <v>21710</v>
      </c>
      <c r="AC20" s="611">
        <f>ROUND(IF(AC$5&gt;'Pro Forma Assumptions'!$D$24,0,AB20*(1+'Pro Forma Assumptions'!$D$21)),0)</f>
        <v>22253</v>
      </c>
      <c r="AD20" s="611">
        <f>ROUND(IF(AD$5&gt;'Pro Forma Assumptions'!$D$24,0,AC20*(1+'Pro Forma Assumptions'!$D$21)),0)</f>
        <v>22809</v>
      </c>
      <c r="AE20" s="611">
        <f>ROUND(IF(AE$5&gt;'Pro Forma Assumptions'!$D$24,0,AD20*(1+'Pro Forma Assumptions'!$D$21)),0)</f>
        <v>23379</v>
      </c>
      <c r="AF20" s="611">
        <f>ROUND(IF(AF$5&gt;'Pro Forma Assumptions'!$D$24,0,AE20*(1+'Pro Forma Assumptions'!$D$21)),0)</f>
        <v>23963</v>
      </c>
      <c r="AG20" s="612">
        <f>ROUND(IF(AG$5&gt;'Pro Forma Assumptions'!$D$24,0,AF20*(1+'Pro Forma Assumptions'!$D$21)),0)</f>
        <v>24562</v>
      </c>
    </row>
    <row r="21" spans="1:33" s="177" customFormat="1" ht="15" customHeight="1" x14ac:dyDescent="0.2">
      <c r="C21" s="198" t="s">
        <v>205</v>
      </c>
      <c r="D21" s="611">
        <f>ROUND(SUM('Operating Expenses'!D35:D44),0)</f>
        <v>14500</v>
      </c>
      <c r="E21" s="611">
        <f>ROUND(IF(E$5&gt;'Pro Forma Assumptions'!$D$24,0,D21*(1+'Pro Forma Assumptions'!$D$21)),0)</f>
        <v>14863</v>
      </c>
      <c r="F21" s="611">
        <f>ROUND(IF(F$5&gt;'Pro Forma Assumptions'!$D$24,0,E21*(1+'Pro Forma Assumptions'!$D$21)),0)</f>
        <v>15235</v>
      </c>
      <c r="G21" s="611">
        <f>ROUND(IF(G$5&gt;'Pro Forma Assumptions'!$D$24,0,F21*(1+'Pro Forma Assumptions'!$D$21)),0)</f>
        <v>15616</v>
      </c>
      <c r="H21" s="611">
        <f>ROUND(IF(H$5&gt;'Pro Forma Assumptions'!$D$24,0,G21*(1+'Pro Forma Assumptions'!$D$21)),0)</f>
        <v>16006</v>
      </c>
      <c r="I21" s="611">
        <f>ROUND(IF(I$5&gt;'Pro Forma Assumptions'!$D$24,0,H21*(1+'Pro Forma Assumptions'!$D$21)),0)</f>
        <v>16406</v>
      </c>
      <c r="J21" s="611">
        <f>ROUND(IF(J$5&gt;'Pro Forma Assumptions'!$D$24,0,I21*(1+'Pro Forma Assumptions'!$D$21)),0)</f>
        <v>16816</v>
      </c>
      <c r="K21" s="611">
        <f>ROUND(IF(K$5&gt;'Pro Forma Assumptions'!$D$24,0,J21*(1+'Pro Forma Assumptions'!$D$21)),0)</f>
        <v>17236</v>
      </c>
      <c r="L21" s="611">
        <f>ROUND(IF(L$5&gt;'Pro Forma Assumptions'!$D$24,0,K21*(1+'Pro Forma Assumptions'!$D$21)),0)</f>
        <v>17667</v>
      </c>
      <c r="M21" s="611">
        <f>ROUND(IF(M$5&gt;'Pro Forma Assumptions'!$D$24,0,L21*(1+'Pro Forma Assumptions'!$D$21)),0)</f>
        <v>18109</v>
      </c>
      <c r="N21" s="611">
        <f>ROUND(IF(N$5&gt;'Pro Forma Assumptions'!$D$24,0,M21*(1+'Pro Forma Assumptions'!$D$21)),0)</f>
        <v>18562</v>
      </c>
      <c r="O21" s="611">
        <f>ROUND(IF(O$5&gt;'Pro Forma Assumptions'!$D$24,0,N21*(1+'Pro Forma Assumptions'!$D$21)),0)</f>
        <v>19026</v>
      </c>
      <c r="P21" s="611">
        <f>ROUND(IF(P$5&gt;'Pro Forma Assumptions'!$D$24,0,O21*(1+'Pro Forma Assumptions'!$D$21)),0)</f>
        <v>19502</v>
      </c>
      <c r="Q21" s="611">
        <f>ROUND(IF(Q$5&gt;'Pro Forma Assumptions'!$D$24,0,P21*(1+'Pro Forma Assumptions'!$D$21)),0)</f>
        <v>19990</v>
      </c>
      <c r="R21" s="611">
        <f>ROUND(IF(R$5&gt;'Pro Forma Assumptions'!$D$24,0,Q21*(1+'Pro Forma Assumptions'!$D$21)),0)</f>
        <v>20490</v>
      </c>
      <c r="S21" s="611">
        <f>ROUND(IF(S$5&gt;'Pro Forma Assumptions'!$D$24,0,R21*(1+'Pro Forma Assumptions'!$D$21)),0)</f>
        <v>21002</v>
      </c>
      <c r="T21" s="611">
        <f>ROUND(IF(T$5&gt;'Pro Forma Assumptions'!$D$24,0,S21*(1+'Pro Forma Assumptions'!$D$21)),0)</f>
        <v>21527</v>
      </c>
      <c r="U21" s="611">
        <f>ROUND(IF(U$5&gt;'Pro Forma Assumptions'!$D$24,0,T21*(1+'Pro Forma Assumptions'!$D$21)),0)</f>
        <v>22065</v>
      </c>
      <c r="V21" s="611">
        <f>ROUND(IF(V$5&gt;'Pro Forma Assumptions'!$D$24,0,U21*(1+'Pro Forma Assumptions'!$D$21)),0)</f>
        <v>22617</v>
      </c>
      <c r="W21" s="611">
        <f>ROUND(IF(W$5&gt;'Pro Forma Assumptions'!$D$24,0,V21*(1+'Pro Forma Assumptions'!$D$21)),0)</f>
        <v>23182</v>
      </c>
      <c r="X21" s="611">
        <f>ROUND(IF(X$5&gt;'Pro Forma Assumptions'!$D$24,0,W21*(1+'Pro Forma Assumptions'!$D$21)),0)</f>
        <v>23762</v>
      </c>
      <c r="Y21" s="611">
        <f>ROUND(IF(Y$5&gt;'Pro Forma Assumptions'!$D$24,0,X21*(1+'Pro Forma Assumptions'!$D$21)),0)</f>
        <v>24356</v>
      </c>
      <c r="Z21" s="611">
        <f>ROUND(IF(Z$5&gt;'Pro Forma Assumptions'!$D$24,0,Y21*(1+'Pro Forma Assumptions'!$D$21)),0)</f>
        <v>24965</v>
      </c>
      <c r="AA21" s="611">
        <f>ROUND(IF(AA$5&gt;'Pro Forma Assumptions'!$D$24,0,Z21*(1+'Pro Forma Assumptions'!$D$21)),0)</f>
        <v>25589</v>
      </c>
      <c r="AB21" s="611">
        <f>ROUND(IF(AB$5&gt;'Pro Forma Assumptions'!$D$24,0,AA21*(1+'Pro Forma Assumptions'!$D$21)),0)</f>
        <v>26229</v>
      </c>
      <c r="AC21" s="611">
        <f>ROUND(IF(AC$5&gt;'Pro Forma Assumptions'!$D$24,0,AB21*(1+'Pro Forma Assumptions'!$D$21)),0)</f>
        <v>26885</v>
      </c>
      <c r="AD21" s="611">
        <f>ROUND(IF(AD$5&gt;'Pro Forma Assumptions'!$D$24,0,AC21*(1+'Pro Forma Assumptions'!$D$21)),0)</f>
        <v>27557</v>
      </c>
      <c r="AE21" s="611">
        <f>ROUND(IF(AE$5&gt;'Pro Forma Assumptions'!$D$24,0,AD21*(1+'Pro Forma Assumptions'!$D$21)),0)</f>
        <v>28246</v>
      </c>
      <c r="AF21" s="611">
        <f>ROUND(IF(AF$5&gt;'Pro Forma Assumptions'!$D$24,0,AE21*(1+'Pro Forma Assumptions'!$D$21)),0)</f>
        <v>28952</v>
      </c>
      <c r="AG21" s="612">
        <f>ROUND(IF(AG$5&gt;'Pro Forma Assumptions'!$D$24,0,AF21*(1+'Pro Forma Assumptions'!$D$21)),0)</f>
        <v>29676</v>
      </c>
    </row>
    <row r="22" spans="1:33" s="176" customFormat="1" ht="15" customHeight="1" x14ac:dyDescent="0.2">
      <c r="C22" s="199" t="s">
        <v>6</v>
      </c>
      <c r="D22" s="622">
        <f t="shared" ref="D22:AG22" si="2">-SUM(D18:D21)</f>
        <v>-100000</v>
      </c>
      <c r="E22" s="622">
        <f t="shared" si="2"/>
        <v>-102501</v>
      </c>
      <c r="F22" s="622">
        <f t="shared" si="2"/>
        <v>-105064</v>
      </c>
      <c r="G22" s="622">
        <f t="shared" si="2"/>
        <v>-107691</v>
      </c>
      <c r="H22" s="622">
        <f t="shared" si="2"/>
        <v>-110383</v>
      </c>
      <c r="I22" s="622">
        <f t="shared" si="2"/>
        <v>-113142</v>
      </c>
      <c r="J22" s="622">
        <f t="shared" si="2"/>
        <v>-115970</v>
      </c>
      <c r="K22" s="622">
        <f t="shared" si="2"/>
        <v>-118869</v>
      </c>
      <c r="L22" s="622">
        <f t="shared" si="2"/>
        <v>-121842</v>
      </c>
      <c r="M22" s="622">
        <f t="shared" si="2"/>
        <v>-124889</v>
      </c>
      <c r="N22" s="622">
        <f t="shared" si="2"/>
        <v>-128012</v>
      </c>
      <c r="O22" s="622">
        <f t="shared" si="2"/>
        <v>-131212</v>
      </c>
      <c r="P22" s="622">
        <f t="shared" si="2"/>
        <v>-134493</v>
      </c>
      <c r="Q22" s="622">
        <f t="shared" si="2"/>
        <v>-137856</v>
      </c>
      <c r="R22" s="622">
        <f t="shared" si="2"/>
        <v>-141303</v>
      </c>
      <c r="S22" s="622">
        <f t="shared" si="2"/>
        <v>-144835</v>
      </c>
      <c r="T22" s="622">
        <f t="shared" si="2"/>
        <v>-148457</v>
      </c>
      <c r="U22" s="622">
        <f t="shared" si="2"/>
        <v>-152168</v>
      </c>
      <c r="V22" s="622">
        <f t="shared" si="2"/>
        <v>-155974</v>
      </c>
      <c r="W22" s="622">
        <f t="shared" si="2"/>
        <v>-159873</v>
      </c>
      <c r="X22" s="622">
        <f t="shared" si="2"/>
        <v>-163871</v>
      </c>
      <c r="Y22" s="622">
        <f t="shared" si="2"/>
        <v>-167968</v>
      </c>
      <c r="Z22" s="622">
        <f t="shared" si="2"/>
        <v>-172168</v>
      </c>
      <c r="AA22" s="622">
        <f t="shared" si="2"/>
        <v>-176473</v>
      </c>
      <c r="AB22" s="622">
        <f t="shared" si="2"/>
        <v>-180885</v>
      </c>
      <c r="AC22" s="622">
        <f t="shared" si="2"/>
        <v>-185408</v>
      </c>
      <c r="AD22" s="622">
        <f t="shared" si="2"/>
        <v>-190043</v>
      </c>
      <c r="AE22" s="622">
        <f t="shared" si="2"/>
        <v>-194794</v>
      </c>
      <c r="AF22" s="622">
        <f t="shared" si="2"/>
        <v>-199663</v>
      </c>
      <c r="AG22" s="623">
        <f t="shared" si="2"/>
        <v>-204655</v>
      </c>
    </row>
    <row r="23" spans="1:33" s="177" customFormat="1" ht="15" customHeight="1" x14ac:dyDescent="0.2">
      <c r="C23" s="200" t="s">
        <v>313</v>
      </c>
      <c r="D23" s="611">
        <f>-'Operating Expenses'!D47</f>
        <v>-20500</v>
      </c>
      <c r="E23" s="611">
        <f>ROUND(IF(E$5&gt;'Pro Forma Assumptions'!$D$24,0,D23*(1+'Pro Forma Assumptions'!$D$21)),0)</f>
        <v>-21013</v>
      </c>
      <c r="F23" s="611">
        <f>ROUND(IF(F$5&gt;'Pro Forma Assumptions'!$D$24,0,E23*(1+'Pro Forma Assumptions'!$D$21)),0)</f>
        <v>-21538</v>
      </c>
      <c r="G23" s="611">
        <f>ROUND(IF(G$5&gt;'Pro Forma Assumptions'!$D$24,0,F23*(1+'Pro Forma Assumptions'!$D$21)),0)</f>
        <v>-22076</v>
      </c>
      <c r="H23" s="611">
        <f>ROUND(IF(H$5&gt;'Pro Forma Assumptions'!$D$24,0,G23*(1+'Pro Forma Assumptions'!$D$21)),0)</f>
        <v>-22628</v>
      </c>
      <c r="I23" s="611">
        <f>ROUND(IF(I$5&gt;'Pro Forma Assumptions'!$D$24,0,H23*(1+'Pro Forma Assumptions'!$D$21)),0)</f>
        <v>-23194</v>
      </c>
      <c r="J23" s="611">
        <f>ROUND(IF(J$5&gt;'Pro Forma Assumptions'!$D$24,0,I23*(1+'Pro Forma Assumptions'!$D$21)),0)</f>
        <v>-23774</v>
      </c>
      <c r="K23" s="611">
        <f>ROUND(IF(K$5&gt;'Pro Forma Assumptions'!$D$24,0,J23*(1+'Pro Forma Assumptions'!$D$21)),0)</f>
        <v>-24368</v>
      </c>
      <c r="L23" s="611">
        <f>ROUND(IF(L$5&gt;'Pro Forma Assumptions'!$D$24,0,K23*(1+'Pro Forma Assumptions'!$D$21)),0)</f>
        <v>-24977</v>
      </c>
      <c r="M23" s="611">
        <f>ROUND(IF(M$5&gt;'Pro Forma Assumptions'!$D$24,0,L23*(1+'Pro Forma Assumptions'!$D$21)),0)</f>
        <v>-25601</v>
      </c>
      <c r="N23" s="611">
        <f>ROUND(IF(N$5&gt;'Pro Forma Assumptions'!$D$24,0,M23*(1+'Pro Forma Assumptions'!$D$21)),0)</f>
        <v>-26241</v>
      </c>
      <c r="O23" s="611">
        <f>ROUND(IF(O$5&gt;'Pro Forma Assumptions'!$D$24,0,N23*(1+'Pro Forma Assumptions'!$D$21)),0)</f>
        <v>-26897</v>
      </c>
      <c r="P23" s="611">
        <f>ROUND(IF(P$5&gt;'Pro Forma Assumptions'!$D$24,0,O23*(1+'Pro Forma Assumptions'!$D$21)),0)</f>
        <v>-27569</v>
      </c>
      <c r="Q23" s="611">
        <f>ROUND(IF(Q$5&gt;'Pro Forma Assumptions'!$D$24,0,P23*(1+'Pro Forma Assumptions'!$D$21)),0)</f>
        <v>-28258</v>
      </c>
      <c r="R23" s="611">
        <f>ROUND(IF(R$5&gt;'Pro Forma Assumptions'!$D$24,0,Q23*(1+'Pro Forma Assumptions'!$D$21)),0)</f>
        <v>-28964</v>
      </c>
      <c r="S23" s="611">
        <f>ROUND(IF(S$5&gt;'Pro Forma Assumptions'!$D$24,0,R23*(1+'Pro Forma Assumptions'!$D$21)),0)</f>
        <v>-29688</v>
      </c>
      <c r="T23" s="611">
        <f>ROUND(IF(T$5&gt;'Pro Forma Assumptions'!$D$24,0,S23*(1+'Pro Forma Assumptions'!$D$21)),0)</f>
        <v>-30430</v>
      </c>
      <c r="U23" s="611">
        <f>ROUND(IF(U$5&gt;'Pro Forma Assumptions'!$D$24,0,T23*(1+'Pro Forma Assumptions'!$D$21)),0)</f>
        <v>-31191</v>
      </c>
      <c r="V23" s="611">
        <f>ROUND(IF(V$5&gt;'Pro Forma Assumptions'!$D$24,0,U23*(1+'Pro Forma Assumptions'!$D$21)),0)</f>
        <v>-31971</v>
      </c>
      <c r="W23" s="611">
        <f>ROUND(IF(W$5&gt;'Pro Forma Assumptions'!$D$24,0,V23*(1+'Pro Forma Assumptions'!$D$21)),0)</f>
        <v>-32770</v>
      </c>
      <c r="X23" s="611">
        <f>ROUND(IF(X$5&gt;'Pro Forma Assumptions'!$D$24,0,W23*(1+'Pro Forma Assumptions'!$D$21)),0)</f>
        <v>-33589</v>
      </c>
      <c r="Y23" s="611">
        <f>ROUND(IF(Y$5&gt;'Pro Forma Assumptions'!$D$24,0,X23*(1+'Pro Forma Assumptions'!$D$21)),0)</f>
        <v>-34429</v>
      </c>
      <c r="Z23" s="611">
        <f>ROUND(IF(Z$5&gt;'Pro Forma Assumptions'!$D$24,0,Y23*(1+'Pro Forma Assumptions'!$D$21)),0)</f>
        <v>-35290</v>
      </c>
      <c r="AA23" s="611">
        <f>ROUND(IF(AA$5&gt;'Pro Forma Assumptions'!$D$24,0,Z23*(1+'Pro Forma Assumptions'!$D$21)),0)</f>
        <v>-36172</v>
      </c>
      <c r="AB23" s="611">
        <f>ROUND(IF(AB$5&gt;'Pro Forma Assumptions'!$D$24,0,AA23*(1+'Pro Forma Assumptions'!$D$21)),0)</f>
        <v>-37076</v>
      </c>
      <c r="AC23" s="611">
        <f>ROUND(IF(AC$5&gt;'Pro Forma Assumptions'!$D$24,0,AB23*(1+'Pro Forma Assumptions'!$D$21)),0)</f>
        <v>-38003</v>
      </c>
      <c r="AD23" s="611">
        <f>ROUND(IF(AD$5&gt;'Pro Forma Assumptions'!$D$24,0,AC23*(1+'Pro Forma Assumptions'!$D$21)),0)</f>
        <v>-38953</v>
      </c>
      <c r="AE23" s="611">
        <f>ROUND(IF(AE$5&gt;'Pro Forma Assumptions'!$D$24,0,AD23*(1+'Pro Forma Assumptions'!$D$21)),0)</f>
        <v>-39927</v>
      </c>
      <c r="AF23" s="611">
        <f>ROUND(IF(AF$5&gt;'Pro Forma Assumptions'!$D$24,0,AE23*(1+'Pro Forma Assumptions'!$D$21)),0)</f>
        <v>-40925</v>
      </c>
      <c r="AG23" s="612">
        <f>ROUND(IF(AG$5&gt;'Pro Forma Assumptions'!$D$24,0,AF23*(1+'Pro Forma Assumptions'!$D$21)),0)</f>
        <v>-41948</v>
      </c>
    </row>
    <row r="24" spans="1:33" s="176" customFormat="1" ht="15" customHeight="1" x14ac:dyDescent="0.2">
      <c r="C24" s="196" t="s">
        <v>52</v>
      </c>
      <c r="D24" s="620">
        <f>D15+D22+D23</f>
        <v>2591</v>
      </c>
      <c r="E24" s="620">
        <f t="shared" ref="E24:AG24" si="3">E15+E22+E23</f>
        <v>22043</v>
      </c>
      <c r="F24" s="620">
        <f t="shared" si="3"/>
        <v>21867</v>
      </c>
      <c r="G24" s="620">
        <f t="shared" si="3"/>
        <v>21671</v>
      </c>
      <c r="H24" s="620">
        <f t="shared" si="3"/>
        <v>21456</v>
      </c>
      <c r="I24" s="620">
        <f t="shared" si="3"/>
        <v>21220</v>
      </c>
      <c r="J24" s="620">
        <f t="shared" si="3"/>
        <v>20963</v>
      </c>
      <c r="K24" s="620">
        <f t="shared" si="3"/>
        <v>20684</v>
      </c>
      <c r="L24" s="620">
        <f t="shared" si="3"/>
        <v>20381</v>
      </c>
      <c r="M24" s="620">
        <f t="shared" si="3"/>
        <v>20053</v>
      </c>
      <c r="N24" s="620">
        <f t="shared" si="3"/>
        <v>19702</v>
      </c>
      <c r="O24" s="620">
        <f t="shared" si="3"/>
        <v>19324</v>
      </c>
      <c r="P24" s="620">
        <f t="shared" si="3"/>
        <v>18921</v>
      </c>
      <c r="Q24" s="620">
        <f t="shared" si="3"/>
        <v>18489</v>
      </c>
      <c r="R24" s="620">
        <f t="shared" si="3"/>
        <v>18028</v>
      </c>
      <c r="S24" s="620">
        <f t="shared" si="3"/>
        <v>99065</v>
      </c>
      <c r="T24" s="620">
        <f t="shared" si="3"/>
        <v>100173</v>
      </c>
      <c r="U24" s="620">
        <f t="shared" si="3"/>
        <v>101282</v>
      </c>
      <c r="V24" s="620">
        <f t="shared" si="3"/>
        <v>102389</v>
      </c>
      <c r="W24" s="620">
        <f t="shared" si="3"/>
        <v>103497</v>
      </c>
      <c r="X24" s="620">
        <f t="shared" si="3"/>
        <v>104603</v>
      </c>
      <c r="Y24" s="620">
        <f t="shared" si="3"/>
        <v>105708</v>
      </c>
      <c r="Z24" s="620">
        <f t="shared" si="3"/>
        <v>106809</v>
      </c>
      <c r="AA24" s="620">
        <f t="shared" si="3"/>
        <v>107907</v>
      </c>
      <c r="AB24" s="620">
        <f t="shared" si="3"/>
        <v>109001</v>
      </c>
      <c r="AC24" s="620">
        <f t="shared" si="3"/>
        <v>110091</v>
      </c>
      <c r="AD24" s="620">
        <f t="shared" si="3"/>
        <v>111176</v>
      </c>
      <c r="AE24" s="620">
        <f t="shared" si="3"/>
        <v>112255</v>
      </c>
      <c r="AF24" s="620">
        <f t="shared" si="3"/>
        <v>113327</v>
      </c>
      <c r="AG24" s="621">
        <f t="shared" si="3"/>
        <v>114390</v>
      </c>
    </row>
    <row r="25" spans="1:33" s="177" customFormat="1" ht="15" customHeight="1" x14ac:dyDescent="0.2">
      <c r="C25" s="178"/>
      <c r="D25" s="615"/>
      <c r="E25" s="615"/>
      <c r="F25" s="615"/>
      <c r="G25" s="615"/>
      <c r="H25" s="615"/>
      <c r="I25" s="615"/>
      <c r="J25" s="615"/>
      <c r="K25" s="615"/>
      <c r="L25" s="615"/>
      <c r="M25" s="615"/>
      <c r="N25" s="615"/>
      <c r="O25" s="615"/>
      <c r="P25" s="615"/>
      <c r="Q25" s="615"/>
      <c r="R25" s="615"/>
      <c r="S25" s="615"/>
      <c r="T25" s="615"/>
      <c r="U25" s="615"/>
      <c r="V25" s="615"/>
      <c r="W25" s="615"/>
      <c r="X25" s="615"/>
      <c r="Y25" s="615"/>
      <c r="Z25" s="615"/>
      <c r="AA25" s="615"/>
      <c r="AB25" s="615"/>
      <c r="AC25" s="615"/>
      <c r="AD25" s="615"/>
      <c r="AE25" s="615"/>
      <c r="AF25" s="615"/>
      <c r="AG25" s="615"/>
    </row>
    <row r="26" spans="1:33" s="177" customFormat="1" ht="15" customHeight="1" x14ac:dyDescent="0.2">
      <c r="C26" s="191" t="s">
        <v>33</v>
      </c>
      <c r="D26" s="617"/>
      <c r="E26" s="615"/>
      <c r="F26" s="615"/>
      <c r="G26" s="615"/>
      <c r="H26" s="615"/>
      <c r="I26" s="615"/>
      <c r="J26" s="615"/>
      <c r="K26" s="615"/>
      <c r="L26" s="615"/>
      <c r="M26" s="615"/>
      <c r="N26" s="615"/>
      <c r="O26" s="615"/>
      <c r="P26" s="615"/>
      <c r="Q26" s="615"/>
      <c r="R26" s="615"/>
      <c r="S26" s="615"/>
      <c r="T26" s="615"/>
      <c r="U26" s="615"/>
      <c r="V26" s="615"/>
      <c r="W26" s="615"/>
      <c r="X26" s="615"/>
      <c r="Y26" s="615"/>
      <c r="Z26" s="615"/>
      <c r="AA26" s="615"/>
      <c r="AB26" s="615"/>
      <c r="AC26" s="615"/>
      <c r="AD26" s="615"/>
      <c r="AE26" s="615"/>
      <c r="AF26" s="615"/>
      <c r="AG26" s="615"/>
    </row>
    <row r="27" spans="1:33" s="177" customFormat="1" ht="15" customHeight="1" x14ac:dyDescent="0.2">
      <c r="A27" s="469" t="s">
        <v>424</v>
      </c>
      <c r="C27" s="195" t="s">
        <v>7</v>
      </c>
      <c r="D27" s="618">
        <f>+-'First Mortgage Sizing'!D46*12</f>
        <v>-13989.382660966865</v>
      </c>
      <c r="E27" s="618">
        <f>ROUND(IF(E$5&gt;(MIN('First Mortgage Sizing'!$D$33,'Pro Forma Assumptions'!$D$24)),0,IF(E$5='Pro Forma Assumptions'!$D$24,-'Operating Pro Forma'!D49*(1+'First Mortgage Sizing'!$D$31),D27)),0)</f>
        <v>-13989</v>
      </c>
      <c r="F27" s="618">
        <f>ROUND(IF(F$5&gt;(MIN('First Mortgage Sizing'!$D$33,'Pro Forma Assumptions'!$D$24)),0,IF(F$5='Pro Forma Assumptions'!$D$24,-'Operating Pro Forma'!E49*(1+'First Mortgage Sizing'!$D$31),E27)),0)</f>
        <v>-13989</v>
      </c>
      <c r="G27" s="618">
        <f>ROUND(IF(G$5&gt;(MIN('First Mortgage Sizing'!$D$33,'Pro Forma Assumptions'!$D$24)),0,IF(G$5='Pro Forma Assumptions'!$D$24,-'Operating Pro Forma'!F49*(1+'First Mortgage Sizing'!$D$31),F27)),0)</f>
        <v>-13989</v>
      </c>
      <c r="H27" s="618">
        <f>ROUND(IF(H$5&gt;(MIN('First Mortgage Sizing'!$D$33,'Pro Forma Assumptions'!$D$24)),0,IF(H$5='Pro Forma Assumptions'!$D$24,-'Operating Pro Forma'!G49*(1+'First Mortgage Sizing'!$D$31),G27)),0)</f>
        <v>-13989</v>
      </c>
      <c r="I27" s="618">
        <f>ROUND(IF(I$5&gt;(MIN('First Mortgage Sizing'!$D$33,'Pro Forma Assumptions'!$D$24)),0,IF(I$5='Pro Forma Assumptions'!$D$24,-'Operating Pro Forma'!H49*(1+'First Mortgage Sizing'!$D$31),H27)),0)</f>
        <v>-13989</v>
      </c>
      <c r="J27" s="618">
        <f>ROUND(IF(J$5&gt;(MIN('First Mortgage Sizing'!$D$33,'Pro Forma Assumptions'!$D$24)),0,IF(J$5='Pro Forma Assumptions'!$D$24,-'Operating Pro Forma'!I49*(1+'First Mortgage Sizing'!$D$31),I27)),0)</f>
        <v>-13989</v>
      </c>
      <c r="K27" s="618">
        <f>ROUND(IF(K$5&gt;(MIN('First Mortgage Sizing'!$D$33,'Pro Forma Assumptions'!$D$24)),0,IF(K$5='Pro Forma Assumptions'!$D$24,-'Operating Pro Forma'!J49*(1+'First Mortgage Sizing'!$D$31),J27)),0)</f>
        <v>-13989</v>
      </c>
      <c r="L27" s="618">
        <f>ROUND(IF(L$5&gt;(MIN('First Mortgage Sizing'!$D$33,'Pro Forma Assumptions'!$D$24)),0,IF(L$5='Pro Forma Assumptions'!$D$24,-'Operating Pro Forma'!K49*(1+'First Mortgage Sizing'!$D$31),K27)),0)</f>
        <v>-13989</v>
      </c>
      <c r="M27" s="618">
        <f>ROUND(IF(M$5&gt;(MIN('First Mortgage Sizing'!$D$33,'Pro Forma Assumptions'!$D$24)),0,IF(M$5='Pro Forma Assumptions'!$D$24,-'Operating Pro Forma'!L49*(1+'First Mortgage Sizing'!$D$31),L27)),0)</f>
        <v>-13989</v>
      </c>
      <c r="N27" s="618">
        <f>ROUND(IF(N$5&gt;(MIN('First Mortgage Sizing'!$D$33,'Pro Forma Assumptions'!$D$24)),0,IF(N$5='Pro Forma Assumptions'!$D$24,-'Operating Pro Forma'!M49*(1+'First Mortgage Sizing'!$D$31),M27)),0)</f>
        <v>-13989</v>
      </c>
      <c r="O27" s="618">
        <f>ROUND(IF(O$5&gt;(MIN('First Mortgage Sizing'!$D$33,'Pro Forma Assumptions'!$D$24)),0,IF(O$5='Pro Forma Assumptions'!$D$24,-'Operating Pro Forma'!N49*(1+'First Mortgage Sizing'!$D$31),N27)),0)</f>
        <v>-13989</v>
      </c>
      <c r="P27" s="618">
        <f>ROUND(IF(P$5&gt;(MIN('First Mortgage Sizing'!$D$33,'Pro Forma Assumptions'!$D$24)),0,IF(P$5='Pro Forma Assumptions'!$D$24,-'Operating Pro Forma'!O49*(1+'First Mortgage Sizing'!$D$31),O27)),0)</f>
        <v>-13989</v>
      </c>
      <c r="Q27" s="618">
        <f>ROUND(IF(Q$5&gt;(MIN('First Mortgage Sizing'!$D$33,'Pro Forma Assumptions'!$D$24)),0,IF(Q$5='Pro Forma Assumptions'!$D$24,-'Operating Pro Forma'!P49*(1+'First Mortgage Sizing'!$D$31),P27)),0)</f>
        <v>-13989</v>
      </c>
      <c r="R27" s="618">
        <f>ROUND(IF(R$5&gt;(MIN('First Mortgage Sizing'!$D$33,'Pro Forma Assumptions'!$D$24)),0,IF(R$5='Pro Forma Assumptions'!$D$24,-'Operating Pro Forma'!Q49*(1+'First Mortgage Sizing'!$D$31),Q27)),0)</f>
        <v>-13989</v>
      </c>
      <c r="S27" s="618">
        <f>ROUND(IF(S$5&gt;(MIN('First Mortgage Sizing'!$D$33,'Pro Forma Assumptions'!$D$24)),0,IF(S$5='Pro Forma Assumptions'!$D$24,-'Operating Pro Forma'!R49*(1+'First Mortgage Sizing'!$D$31),R27)),0)</f>
        <v>0</v>
      </c>
      <c r="T27" s="618">
        <f>ROUND(IF(T$5&gt;(MIN('First Mortgage Sizing'!$D$33,'Pro Forma Assumptions'!$D$24)),0,IF(T$5='Pro Forma Assumptions'!$D$24,-'Operating Pro Forma'!S49*(1+'First Mortgage Sizing'!$D$31),S27)),0)</f>
        <v>0</v>
      </c>
      <c r="U27" s="618">
        <f>ROUND(IF(U$5&gt;(MIN('First Mortgage Sizing'!$D$33,'Pro Forma Assumptions'!$D$24)),0,IF(U$5='Pro Forma Assumptions'!$D$24,-'Operating Pro Forma'!T49*(1+'First Mortgage Sizing'!$D$31),T27)),0)</f>
        <v>0</v>
      </c>
      <c r="V27" s="618">
        <f>ROUND(IF(V$5&gt;(MIN('First Mortgage Sizing'!$D$33,'Pro Forma Assumptions'!$D$24)),0,IF(V$5='Pro Forma Assumptions'!$D$24,-'Operating Pro Forma'!U49*(1+'First Mortgage Sizing'!$D$31),U27)),0)</f>
        <v>0</v>
      </c>
      <c r="W27" s="618">
        <f>ROUND(IF(W$5&gt;(MIN('First Mortgage Sizing'!$D$33,'Pro Forma Assumptions'!$D$24)),0,IF(W$5='Pro Forma Assumptions'!$D$24,-'Operating Pro Forma'!V49*(1+'First Mortgage Sizing'!$D$31),V27)),0)</f>
        <v>0</v>
      </c>
      <c r="X27" s="618">
        <f>ROUND(IF(X$5&gt;(MIN('First Mortgage Sizing'!$D$33,'Pro Forma Assumptions'!$D$24)),0,IF(X$5='Pro Forma Assumptions'!$D$24,-'Operating Pro Forma'!W49*(1+'First Mortgage Sizing'!$D$31),W27)),0)</f>
        <v>0</v>
      </c>
      <c r="Y27" s="618">
        <f>ROUND(IF(Y$5&gt;(MIN('First Mortgage Sizing'!$D$33,'Pro Forma Assumptions'!$D$24)),0,IF(Y$5='Pro Forma Assumptions'!$D$24,-'Operating Pro Forma'!X49*(1+'First Mortgage Sizing'!$D$31),X27)),0)</f>
        <v>0</v>
      </c>
      <c r="Z27" s="618">
        <f>ROUND(IF(Z$5&gt;(MIN('First Mortgage Sizing'!$D$33,'Pro Forma Assumptions'!$D$24)),0,IF(Z$5='Pro Forma Assumptions'!$D$24,-'Operating Pro Forma'!Y49*(1+'First Mortgage Sizing'!$D$31),Y27)),0)</f>
        <v>0</v>
      </c>
      <c r="AA27" s="618">
        <f>ROUND(IF(AA$5&gt;(MIN('First Mortgage Sizing'!$D$33,'Pro Forma Assumptions'!$D$24)),0,IF(AA$5='Pro Forma Assumptions'!$D$24,-'Operating Pro Forma'!Z49*(1+'First Mortgage Sizing'!$D$31),Z27)),0)</f>
        <v>0</v>
      </c>
      <c r="AB27" s="618">
        <f>ROUND(IF(AB$5&gt;(MIN('First Mortgage Sizing'!$D$33,'Pro Forma Assumptions'!$D$24)),0,IF(AB$5='Pro Forma Assumptions'!$D$24,-'Operating Pro Forma'!AA49*(1+'First Mortgage Sizing'!$D$31),AA27)),0)</f>
        <v>0</v>
      </c>
      <c r="AC27" s="618">
        <f>ROUND(IF(AC$5&gt;(MIN('First Mortgage Sizing'!$D$33,'Pro Forma Assumptions'!$D$24)),0,IF(AC$5='Pro Forma Assumptions'!$D$24,-'Operating Pro Forma'!AB49*(1+'First Mortgage Sizing'!$D$31),AB27)),0)</f>
        <v>0</v>
      </c>
      <c r="AD27" s="618">
        <f>ROUND(IF(AD$5&gt;(MIN('First Mortgage Sizing'!$D$33,'Pro Forma Assumptions'!$D$24)),0,IF(AD$5='Pro Forma Assumptions'!$D$24,-'Operating Pro Forma'!AC49*(1+'First Mortgage Sizing'!$D$31),AC27)),0)</f>
        <v>0</v>
      </c>
      <c r="AE27" s="618">
        <f>ROUND(IF(AE$5&gt;(MIN('First Mortgage Sizing'!$D$33,'Pro Forma Assumptions'!$D$24)),0,IF(AE$5='Pro Forma Assumptions'!$D$24,-'Operating Pro Forma'!AD49*(1+'First Mortgage Sizing'!$D$31),AD27)),0)</f>
        <v>0</v>
      </c>
      <c r="AF27" s="618">
        <f>ROUND(IF(AF$5&gt;(MIN('First Mortgage Sizing'!$D$33,'Pro Forma Assumptions'!$D$24)),0,IF(AF$5='Pro Forma Assumptions'!$D$24,-'Operating Pro Forma'!AE49*(1+'First Mortgage Sizing'!$D$31),AE27)),0)</f>
        <v>0</v>
      </c>
      <c r="AG27" s="619">
        <f>ROUND(IF(AG$5&gt;(MIN('First Mortgage Sizing'!$D$33,'Pro Forma Assumptions'!$D$24)),0,IF(AG$5='Pro Forma Assumptions'!$D$24,-'Operating Pro Forma'!AF49*(1+'First Mortgage Sizing'!$D$31),AF27)),0)</f>
        <v>0</v>
      </c>
    </row>
    <row r="28" spans="1:33" s="177" customFormat="1" ht="15" customHeight="1" x14ac:dyDescent="0.2">
      <c r="A28" s="469" t="s">
        <v>424</v>
      </c>
      <c r="C28" s="200" t="s">
        <v>8</v>
      </c>
      <c r="D28" s="624">
        <f>+-'First Mortgage Sizing'!D63*12</f>
        <v>0</v>
      </c>
      <c r="E28" s="624">
        <f>ROUND(IF(E$5&gt;(MIN('First Mortgage Sizing'!$D$62,'Pro Forma Assumptions'!$D$24)),0,IF(E$5='Pro Forma Assumptions'!$D$24,-'Operating Pro Forma'!D50*(1+'First Mortgage Sizing'!$D$61),D28)),0)</f>
        <v>0</v>
      </c>
      <c r="F28" s="624">
        <f>ROUND(IF(F$5&gt;(MIN('First Mortgage Sizing'!$D$62,'Pro Forma Assumptions'!$D$24)),0,IF(F$5='Pro Forma Assumptions'!$D$24,-'Operating Pro Forma'!E50*(1+'First Mortgage Sizing'!$D$61),E28)),0)</f>
        <v>0</v>
      </c>
      <c r="G28" s="624">
        <f>ROUND(IF(G$5&gt;(MIN('First Mortgage Sizing'!$D$62,'Pro Forma Assumptions'!$D$24)),0,IF(G$5='Pro Forma Assumptions'!$D$24,-'Operating Pro Forma'!F50*(1+'First Mortgage Sizing'!$D$61),F28)),0)</f>
        <v>0</v>
      </c>
      <c r="H28" s="624">
        <f>ROUND(IF(H$5&gt;(MIN('First Mortgage Sizing'!$D$62,'Pro Forma Assumptions'!$D$24)),0,IF(H$5='Pro Forma Assumptions'!$D$24,-'Operating Pro Forma'!G50*(1+'First Mortgage Sizing'!$D$61),G28)),0)</f>
        <v>0</v>
      </c>
      <c r="I28" s="624">
        <f>ROUND(IF(I$5&gt;(MIN('First Mortgage Sizing'!$D$62,'Pro Forma Assumptions'!$D$24)),0,IF(I$5='Pro Forma Assumptions'!$D$24,-'Operating Pro Forma'!H50*(1+'First Mortgage Sizing'!$D$61),H28)),0)</f>
        <v>0</v>
      </c>
      <c r="J28" s="624">
        <f>ROUND(IF(J$5&gt;(MIN('First Mortgage Sizing'!$D$62,'Pro Forma Assumptions'!$D$24)),0,IF(J$5='Pro Forma Assumptions'!$D$24,-'Operating Pro Forma'!I50*(1+'First Mortgage Sizing'!$D$61),I28)),0)</f>
        <v>0</v>
      </c>
      <c r="K28" s="624">
        <f>ROUND(IF(K$5&gt;(MIN('First Mortgage Sizing'!$D$62,'Pro Forma Assumptions'!$D$24)),0,IF(K$5='Pro Forma Assumptions'!$D$24,-'Operating Pro Forma'!J50*(1+'First Mortgage Sizing'!$D$61),J28)),0)</f>
        <v>0</v>
      </c>
      <c r="L28" s="624">
        <f>ROUND(IF(L$5&gt;(MIN('First Mortgage Sizing'!$D$62,'Pro Forma Assumptions'!$D$24)),0,IF(L$5='Pro Forma Assumptions'!$D$24,-'Operating Pro Forma'!K50*(1+'First Mortgage Sizing'!$D$61),K28)),0)</f>
        <v>0</v>
      </c>
      <c r="M28" s="624">
        <f>ROUND(IF(M$5&gt;(MIN('First Mortgage Sizing'!$D$62,'Pro Forma Assumptions'!$D$24)),0,IF(M$5='Pro Forma Assumptions'!$D$24,-'Operating Pro Forma'!L50*(1+'First Mortgage Sizing'!$D$61),L28)),0)</f>
        <v>0</v>
      </c>
      <c r="N28" s="624">
        <f>ROUND(IF(N$5&gt;(MIN('First Mortgage Sizing'!$D$62,'Pro Forma Assumptions'!$D$24)),0,IF(N$5='Pro Forma Assumptions'!$D$24,-'Operating Pro Forma'!M50*(1+'First Mortgage Sizing'!$D$61),M28)),0)</f>
        <v>0</v>
      </c>
      <c r="O28" s="624">
        <f>ROUND(IF(O$5&gt;(MIN('First Mortgage Sizing'!$D$62,'Pro Forma Assumptions'!$D$24)),0,IF(O$5='Pro Forma Assumptions'!$D$24,-'Operating Pro Forma'!N50*(1+'First Mortgage Sizing'!$D$61),N28)),0)</f>
        <v>0</v>
      </c>
      <c r="P28" s="624">
        <f>ROUND(IF(P$5&gt;(MIN('First Mortgage Sizing'!$D$62,'Pro Forma Assumptions'!$D$24)),0,IF(P$5='Pro Forma Assumptions'!$D$24,-'Operating Pro Forma'!O50*(1+'First Mortgage Sizing'!$D$61),O28)),0)</f>
        <v>0</v>
      </c>
      <c r="Q28" s="624">
        <f>ROUND(IF(Q$5&gt;(MIN('First Mortgage Sizing'!$D$62,'Pro Forma Assumptions'!$D$24)),0,IF(Q$5='Pro Forma Assumptions'!$D$24,-'Operating Pro Forma'!P50*(1+'First Mortgage Sizing'!$D$61),P28)),0)</f>
        <v>0</v>
      </c>
      <c r="R28" s="624">
        <f>ROUND(IF(R$5&gt;(MIN('First Mortgage Sizing'!$D$62,'Pro Forma Assumptions'!$D$24)),0,IF(R$5='Pro Forma Assumptions'!$D$24,-'Operating Pro Forma'!Q50*(1+'First Mortgage Sizing'!$D$61),Q28)),0)</f>
        <v>0</v>
      </c>
      <c r="S28" s="624">
        <f>ROUND(IF(S$5&gt;(MIN('First Mortgage Sizing'!$D$62,'Pro Forma Assumptions'!$D$24)),0,IF(S$5='Pro Forma Assumptions'!$D$24,-'Operating Pro Forma'!R50*(1+'First Mortgage Sizing'!$D$61),R28)),0)</f>
        <v>0</v>
      </c>
      <c r="T28" s="624">
        <f>ROUND(IF(T$5&gt;(MIN('First Mortgage Sizing'!$D$62,'Pro Forma Assumptions'!$D$24)),0,IF(T$5='Pro Forma Assumptions'!$D$24,-'Operating Pro Forma'!S50*(1+'First Mortgage Sizing'!$D$61),S28)),0)</f>
        <v>0</v>
      </c>
      <c r="U28" s="624">
        <f>ROUND(IF(U$5&gt;(MIN('First Mortgage Sizing'!$D$62,'Pro Forma Assumptions'!$D$24)),0,IF(U$5='Pro Forma Assumptions'!$D$24,-'Operating Pro Forma'!T50*(1+'First Mortgage Sizing'!$D$61),T28)),0)</f>
        <v>0</v>
      </c>
      <c r="V28" s="624">
        <f>ROUND(IF(V$5&gt;(MIN('First Mortgage Sizing'!$D$62,'Pro Forma Assumptions'!$D$24)),0,IF(V$5='Pro Forma Assumptions'!$D$24,-'Operating Pro Forma'!U50*(1+'First Mortgage Sizing'!$D$61),U28)),0)</f>
        <v>0</v>
      </c>
      <c r="W28" s="624">
        <f>ROUND(IF(W$5&gt;(MIN('First Mortgage Sizing'!$D$62,'Pro Forma Assumptions'!$D$24)),0,IF(W$5='Pro Forma Assumptions'!$D$24,-'Operating Pro Forma'!V50*(1+'First Mortgage Sizing'!$D$61),V28)),0)</f>
        <v>0</v>
      </c>
      <c r="X28" s="624">
        <f>ROUND(IF(X$5&gt;(MIN('First Mortgage Sizing'!$D$62,'Pro Forma Assumptions'!$D$24)),0,IF(X$5='Pro Forma Assumptions'!$D$24,-'Operating Pro Forma'!W50*(1+'First Mortgage Sizing'!$D$61),W28)),0)</f>
        <v>0</v>
      </c>
      <c r="Y28" s="624">
        <f>ROUND(IF(Y$5&gt;(MIN('First Mortgage Sizing'!$D$62,'Pro Forma Assumptions'!$D$24)),0,IF(Y$5='Pro Forma Assumptions'!$D$24,-'Operating Pro Forma'!X50*(1+'First Mortgage Sizing'!$D$61),X28)),0)</f>
        <v>0</v>
      </c>
      <c r="Z28" s="624">
        <f>ROUND(IF(Z$5&gt;(MIN('First Mortgage Sizing'!$D$62,'Pro Forma Assumptions'!$D$24)),0,IF(Z$5='Pro Forma Assumptions'!$D$24,-'Operating Pro Forma'!Y50*(1+'First Mortgage Sizing'!$D$61),Y28)),0)</f>
        <v>0</v>
      </c>
      <c r="AA28" s="624">
        <f>ROUND(IF(AA$5&gt;(MIN('First Mortgage Sizing'!$D$62,'Pro Forma Assumptions'!$D$24)),0,IF(AA$5='Pro Forma Assumptions'!$D$24,-'Operating Pro Forma'!Z50*(1+'First Mortgage Sizing'!$D$61),Z28)),0)</f>
        <v>0</v>
      </c>
      <c r="AB28" s="624">
        <f>ROUND(IF(AB$5&gt;(MIN('First Mortgage Sizing'!$D$62,'Pro Forma Assumptions'!$D$24)),0,IF(AB$5='Pro Forma Assumptions'!$D$24,-'Operating Pro Forma'!AA50*(1+'First Mortgage Sizing'!$D$61),AA28)),0)</f>
        <v>0</v>
      </c>
      <c r="AC28" s="624">
        <f>ROUND(IF(AC$5&gt;(MIN('First Mortgage Sizing'!$D$62,'Pro Forma Assumptions'!$D$24)),0,IF(AC$5='Pro Forma Assumptions'!$D$24,-'Operating Pro Forma'!AB50*(1+'First Mortgage Sizing'!$D$61),AB28)),0)</f>
        <v>0</v>
      </c>
      <c r="AD28" s="624">
        <f>ROUND(IF(AD$5&gt;(MIN('First Mortgage Sizing'!$D$62,'Pro Forma Assumptions'!$D$24)),0,IF(AD$5='Pro Forma Assumptions'!$D$24,-'Operating Pro Forma'!AC50*(1+'First Mortgage Sizing'!$D$61),AC28)),0)</f>
        <v>0</v>
      </c>
      <c r="AE28" s="624">
        <f>ROUND(IF(AE$5&gt;(MIN('First Mortgage Sizing'!$D$62,'Pro Forma Assumptions'!$D$24)),0,IF(AE$5='Pro Forma Assumptions'!$D$24,-'Operating Pro Forma'!AD50*(1+'First Mortgage Sizing'!$D$61),AD28)),0)</f>
        <v>0</v>
      </c>
      <c r="AF28" s="624">
        <f>ROUND(IF(AF$5&gt;(MIN('First Mortgage Sizing'!$D$62,'Pro Forma Assumptions'!$D$24)),0,IF(AF$5='Pro Forma Assumptions'!$D$24,-'Operating Pro Forma'!AE50*(1+'First Mortgage Sizing'!$D$61),AE28)),0)</f>
        <v>0</v>
      </c>
      <c r="AG28" s="625">
        <f>ROUND(IF(AG$5&gt;(MIN('First Mortgage Sizing'!$D$62,'Pro Forma Assumptions'!$D$24)),0,IF(AG$5='Pro Forma Assumptions'!$D$24,-'Operating Pro Forma'!AF50*(1+'First Mortgage Sizing'!$D$61),AF28)),0)</f>
        <v>0</v>
      </c>
    </row>
    <row r="29" spans="1:33" s="177" customFormat="1" ht="15" customHeight="1" x14ac:dyDescent="0.2">
      <c r="A29" s="469" t="s">
        <v>424</v>
      </c>
      <c r="C29" s="200" t="s">
        <v>213</v>
      </c>
      <c r="D29" s="626">
        <f>ROUND(IF('Pro Forma Assumptions'!$D$24&lt;='First Mortgage Sizing'!$D$73,IF('Pro Forma Assumptions'!$D$24='Operating Pro Forma'!D5,'Operating Pro Forma'!D93,0),IF('First Mortgage Sizing'!$D$73='Operating Pro Forma'!D5,'Operating Pro Forma'!D93,0)),0)</f>
        <v>0</v>
      </c>
      <c r="E29" s="626">
        <f>ROUND(IF('Pro Forma Assumptions'!$D$24&lt;='First Mortgage Sizing'!$D$73,IF('Pro Forma Assumptions'!$D$24='Operating Pro Forma'!E5,'Operating Pro Forma'!E93,0),IF('First Mortgage Sizing'!$D$73='Operating Pro Forma'!E5,'Operating Pro Forma'!E93,0)),0)</f>
        <v>0</v>
      </c>
      <c r="F29" s="626">
        <f>ROUND(IF('Pro Forma Assumptions'!$D$24&lt;='First Mortgage Sizing'!$D$73,IF('Pro Forma Assumptions'!$D$24='Operating Pro Forma'!F5,'Operating Pro Forma'!F93,0),IF('First Mortgage Sizing'!$D$73='Operating Pro Forma'!F5,'Operating Pro Forma'!F93,0)),0)</f>
        <v>0</v>
      </c>
      <c r="G29" s="626">
        <f>ROUND(IF('Pro Forma Assumptions'!$D$24&lt;='First Mortgage Sizing'!$D$73,IF('Pro Forma Assumptions'!$D$24='Operating Pro Forma'!G5,'Operating Pro Forma'!G93,0),IF('First Mortgage Sizing'!$D$73='Operating Pro Forma'!G5,'Operating Pro Forma'!G93,0)),0)</f>
        <v>0</v>
      </c>
      <c r="H29" s="626">
        <f>ROUND(IF('Pro Forma Assumptions'!$D$24&lt;='First Mortgage Sizing'!$D$73,IF('Pro Forma Assumptions'!$D$24='Operating Pro Forma'!H5,'Operating Pro Forma'!H93,0),IF('First Mortgage Sizing'!$D$73='Operating Pro Forma'!H5,'Operating Pro Forma'!H93,0)),0)</f>
        <v>0</v>
      </c>
      <c r="I29" s="626">
        <f>ROUND(IF('Pro Forma Assumptions'!$D$24&lt;='First Mortgage Sizing'!$D$73,IF('Pro Forma Assumptions'!$D$24='Operating Pro Forma'!I5,'Operating Pro Forma'!I93,0),IF('First Mortgage Sizing'!$D$73='Operating Pro Forma'!I5,'Operating Pro Forma'!I93,0)),0)</f>
        <v>0</v>
      </c>
      <c r="J29" s="626">
        <f>ROUND(IF('Pro Forma Assumptions'!$D$24&lt;='First Mortgage Sizing'!$D$73,IF('Pro Forma Assumptions'!$D$24='Operating Pro Forma'!J5,'Operating Pro Forma'!J93,0),IF('First Mortgage Sizing'!$D$73='Operating Pro Forma'!J5,'Operating Pro Forma'!J93,0)),0)</f>
        <v>0</v>
      </c>
      <c r="K29" s="626">
        <f>ROUND(IF('Pro Forma Assumptions'!$D$24&lt;='First Mortgage Sizing'!$D$73,IF('Pro Forma Assumptions'!$D$24='Operating Pro Forma'!K5,'Operating Pro Forma'!K93,0),IF('First Mortgage Sizing'!$D$73='Operating Pro Forma'!K5,'Operating Pro Forma'!K93,0)),0)</f>
        <v>0</v>
      </c>
      <c r="L29" s="626">
        <f>ROUND(IF('Pro Forma Assumptions'!$D$24&lt;='First Mortgage Sizing'!$D$73,IF('Pro Forma Assumptions'!$D$24='Operating Pro Forma'!L5,'Operating Pro Forma'!L93,0),IF('First Mortgage Sizing'!$D$73='Operating Pro Forma'!L5,'Operating Pro Forma'!L93,0)),0)</f>
        <v>0</v>
      </c>
      <c r="M29" s="626">
        <f>ROUND(IF('Pro Forma Assumptions'!$D$24&lt;='First Mortgage Sizing'!$D$73,IF('Pro Forma Assumptions'!$D$24='Operating Pro Forma'!M5,'Operating Pro Forma'!M93,0),IF('First Mortgage Sizing'!$D$73='Operating Pro Forma'!M5,'Operating Pro Forma'!M93,0)),0)</f>
        <v>0</v>
      </c>
      <c r="N29" s="626">
        <f>ROUND(IF('Pro Forma Assumptions'!$D$24&lt;='First Mortgage Sizing'!$D$73,IF('Pro Forma Assumptions'!$D$24='Operating Pro Forma'!N5,'Operating Pro Forma'!N93,0),IF('First Mortgage Sizing'!$D$73='Operating Pro Forma'!N5,'Operating Pro Forma'!N93,0)),0)</f>
        <v>0</v>
      </c>
      <c r="O29" s="626">
        <f>ROUND(IF('Pro Forma Assumptions'!$D$24&lt;='First Mortgage Sizing'!$D$73,IF('Pro Forma Assumptions'!$D$24='Operating Pro Forma'!O5,'Operating Pro Forma'!O93,0),IF('First Mortgage Sizing'!$D$73='Operating Pro Forma'!O5,'Operating Pro Forma'!O93,0)),0)</f>
        <v>0</v>
      </c>
      <c r="P29" s="626">
        <f>ROUND(IF('Pro Forma Assumptions'!$D$24&lt;='First Mortgage Sizing'!$D$73,IF('Pro Forma Assumptions'!$D$24='Operating Pro Forma'!P5,'Operating Pro Forma'!P93,0),IF('First Mortgage Sizing'!$D$73='Operating Pro Forma'!P5,'Operating Pro Forma'!P93,0)),0)</f>
        <v>0</v>
      </c>
      <c r="Q29" s="626">
        <f>ROUND(IF('Pro Forma Assumptions'!$D$24&lt;='First Mortgage Sizing'!$D$73,IF('Pro Forma Assumptions'!$D$24='Operating Pro Forma'!Q5,'Operating Pro Forma'!Q93,0),IF('First Mortgage Sizing'!$D$73='Operating Pro Forma'!Q5,'Operating Pro Forma'!Q93,0)),0)</f>
        <v>0</v>
      </c>
      <c r="R29" s="626">
        <f>ROUND(IF('Pro Forma Assumptions'!$D$24&lt;='First Mortgage Sizing'!$D$73,IF('Pro Forma Assumptions'!$D$24='Operating Pro Forma'!R5,'Operating Pro Forma'!R93,0),IF('First Mortgage Sizing'!$D$73='Operating Pro Forma'!R5,'Operating Pro Forma'!R93,0)),0)</f>
        <v>0</v>
      </c>
      <c r="S29" s="626">
        <f>ROUND(IF('Pro Forma Assumptions'!$D$24&lt;='First Mortgage Sizing'!$D$73,IF('Pro Forma Assumptions'!$D$24='Operating Pro Forma'!S5,'Operating Pro Forma'!S93,0),IF('First Mortgage Sizing'!$D$73='Operating Pro Forma'!S5,'Operating Pro Forma'!S93,0)),0)</f>
        <v>0</v>
      </c>
      <c r="T29" s="626">
        <f>ROUND(IF('Pro Forma Assumptions'!$D$24&lt;='First Mortgage Sizing'!$D$73,IF('Pro Forma Assumptions'!$D$24='Operating Pro Forma'!T5,'Operating Pro Forma'!T93,0),IF('First Mortgage Sizing'!$D$73='Operating Pro Forma'!T5,'Operating Pro Forma'!T93,0)),0)</f>
        <v>0</v>
      </c>
      <c r="U29" s="626">
        <f>ROUND(IF('Pro Forma Assumptions'!$D$24&lt;='First Mortgage Sizing'!$D$73,IF('Pro Forma Assumptions'!$D$24='Operating Pro Forma'!U5,'Operating Pro Forma'!U93,0),IF('First Mortgage Sizing'!$D$73='Operating Pro Forma'!U5,'Operating Pro Forma'!U93,0)),0)</f>
        <v>0</v>
      </c>
      <c r="V29" s="626">
        <f>ROUND(IF('Pro Forma Assumptions'!$D$24&lt;='First Mortgage Sizing'!$D$73,IF('Pro Forma Assumptions'!$D$24='Operating Pro Forma'!V5,'Operating Pro Forma'!V93,0),IF('First Mortgage Sizing'!$D$73='Operating Pro Forma'!V5,'Operating Pro Forma'!V93,0)),0)</f>
        <v>0</v>
      </c>
      <c r="W29" s="626">
        <f>ROUND(IF('Pro Forma Assumptions'!$D$24&lt;='First Mortgage Sizing'!$D$73,IF('Pro Forma Assumptions'!$D$24='Operating Pro Forma'!W5,'Operating Pro Forma'!W93,0),IF('First Mortgage Sizing'!$D$73='Operating Pro Forma'!W5,'Operating Pro Forma'!W93,0)),0)</f>
        <v>0</v>
      </c>
      <c r="X29" s="626">
        <f>ROUND(IF('Pro Forma Assumptions'!$D$24&lt;='First Mortgage Sizing'!$D$73,IF('Pro Forma Assumptions'!$D$24='Operating Pro Forma'!X5,'Operating Pro Forma'!X93,0),IF('First Mortgage Sizing'!$D$73='Operating Pro Forma'!X5,'Operating Pro Forma'!X93,0)),0)</f>
        <v>0</v>
      </c>
      <c r="Y29" s="626">
        <f>ROUND(IF('Pro Forma Assumptions'!$D$24&lt;='First Mortgage Sizing'!$D$73,IF('Pro Forma Assumptions'!$D$24='Operating Pro Forma'!Y5,'Operating Pro Forma'!Y93,0),IF('First Mortgage Sizing'!$D$73='Operating Pro Forma'!Y5,'Operating Pro Forma'!Y93,0)),0)</f>
        <v>0</v>
      </c>
      <c r="Z29" s="626">
        <f>ROUND(IF('Pro Forma Assumptions'!$D$24&lt;='First Mortgage Sizing'!$D$73,IF('Pro Forma Assumptions'!$D$24='Operating Pro Forma'!Z5,'Operating Pro Forma'!Z93,0),IF('First Mortgage Sizing'!$D$73='Operating Pro Forma'!Z5,'Operating Pro Forma'!Z93,0)),0)</f>
        <v>0</v>
      </c>
      <c r="AA29" s="626">
        <f>ROUND(IF('Pro Forma Assumptions'!$D$24&lt;='First Mortgage Sizing'!$D$73,IF('Pro Forma Assumptions'!$D$24='Operating Pro Forma'!AA5,'Operating Pro Forma'!AA93,0),IF('First Mortgage Sizing'!$D$73='Operating Pro Forma'!AA5,'Operating Pro Forma'!AA93,0)),0)</f>
        <v>0</v>
      </c>
      <c r="AB29" s="626">
        <f>ROUND(IF('Pro Forma Assumptions'!$D$24&lt;='First Mortgage Sizing'!$D$73,IF('Pro Forma Assumptions'!$D$24='Operating Pro Forma'!AB5,'Operating Pro Forma'!AB93,0),IF('First Mortgage Sizing'!$D$73='Operating Pro Forma'!AB5,'Operating Pro Forma'!AB93,0)),0)</f>
        <v>0</v>
      </c>
      <c r="AC29" s="626">
        <f>ROUND(IF('Pro Forma Assumptions'!$D$24&lt;='First Mortgage Sizing'!$D$73,IF('Pro Forma Assumptions'!$D$24='Operating Pro Forma'!AC5,'Operating Pro Forma'!AC93,0),IF('First Mortgage Sizing'!$D$73='Operating Pro Forma'!AC5,'Operating Pro Forma'!AC93,0)),0)</f>
        <v>0</v>
      </c>
      <c r="AD29" s="626">
        <f>ROUND(IF('Pro Forma Assumptions'!$D$24&lt;='First Mortgage Sizing'!$D$73,IF('Pro Forma Assumptions'!$D$24='Operating Pro Forma'!AD5,'Operating Pro Forma'!AD93,0),IF('First Mortgage Sizing'!$D$73='Operating Pro Forma'!AD5,'Operating Pro Forma'!AD93,0)),0)</f>
        <v>0</v>
      </c>
      <c r="AE29" s="626">
        <f>ROUND(IF('Pro Forma Assumptions'!$D$24&lt;='First Mortgage Sizing'!$D$73,IF('Pro Forma Assumptions'!$D$24='Operating Pro Forma'!AE5,'Operating Pro Forma'!AE93,0),IF('First Mortgage Sizing'!$D$73='Operating Pro Forma'!AE5,'Operating Pro Forma'!AE93,0)),0)</f>
        <v>0</v>
      </c>
      <c r="AF29" s="626">
        <f>ROUND(IF('Pro Forma Assumptions'!$D$24&lt;='First Mortgage Sizing'!$D$73,IF('Pro Forma Assumptions'!$D$24='Operating Pro Forma'!AF5,'Operating Pro Forma'!AF93,0),IF('First Mortgage Sizing'!$D$73='Operating Pro Forma'!AF5,'Operating Pro Forma'!AF93,0)),0)</f>
        <v>0</v>
      </c>
      <c r="AG29" s="627">
        <f>ROUND(IF('Pro Forma Assumptions'!$D$24&lt;='First Mortgage Sizing'!$D$73,IF('Pro Forma Assumptions'!$D$24='Operating Pro Forma'!AG5,'Operating Pro Forma'!AG93,0),IF('First Mortgage Sizing'!$D$73='Operating Pro Forma'!AG5,'Operating Pro Forma'!AG93,0)),0)</f>
        <v>-1400000</v>
      </c>
    </row>
    <row r="30" spans="1:33" s="177" customFormat="1" ht="15" customHeight="1" x14ac:dyDescent="0.2">
      <c r="A30" s="469" t="s">
        <v>424</v>
      </c>
      <c r="C30" s="200" t="s">
        <v>214</v>
      </c>
      <c r="D30" s="626">
        <f>ROUND(IF('Pro Forma Assumptions'!$D$24&lt;='First Mortgage Sizing'!$D$83,IF('Pro Forma Assumptions'!$D$24='Operating Pro Forma'!D5,'Operating Pro Forma'!D94,0),IF('First Mortgage Sizing'!$D$83='Operating Pro Forma'!D5,'Operating Pro Forma'!D94,0)),0)</f>
        <v>0</v>
      </c>
      <c r="E30" s="626">
        <f>ROUND(IF('Pro Forma Assumptions'!$D$24&lt;='First Mortgage Sizing'!$D$83,IF('Pro Forma Assumptions'!$D$24='Operating Pro Forma'!E5,'Operating Pro Forma'!E94,0),IF('First Mortgage Sizing'!$D$83='Operating Pro Forma'!E5,'Operating Pro Forma'!E94,0)),0)</f>
        <v>0</v>
      </c>
      <c r="F30" s="626">
        <f>ROUND(IF('Pro Forma Assumptions'!$D$24&lt;='First Mortgage Sizing'!$D$83,IF('Pro Forma Assumptions'!$D$24='Operating Pro Forma'!F5,'Operating Pro Forma'!F94,0),IF('First Mortgage Sizing'!$D$83='Operating Pro Forma'!F5,'Operating Pro Forma'!F94,0)),0)</f>
        <v>0</v>
      </c>
      <c r="G30" s="626">
        <f>ROUND(IF('Pro Forma Assumptions'!$D$24&lt;='First Mortgage Sizing'!$D$83,IF('Pro Forma Assumptions'!$D$24='Operating Pro Forma'!G5,'Operating Pro Forma'!G94,0),IF('First Mortgage Sizing'!$D$83='Operating Pro Forma'!G5,'Operating Pro Forma'!G94,0)),0)</f>
        <v>0</v>
      </c>
      <c r="H30" s="626">
        <f>ROUND(IF('Pro Forma Assumptions'!$D$24&lt;='First Mortgage Sizing'!$D$83,IF('Pro Forma Assumptions'!$D$24='Operating Pro Forma'!H5,'Operating Pro Forma'!H94,0),IF('First Mortgage Sizing'!$D$83='Operating Pro Forma'!H5,'Operating Pro Forma'!H94,0)),0)</f>
        <v>0</v>
      </c>
      <c r="I30" s="626">
        <f>ROUND(IF('Pro Forma Assumptions'!$D$24&lt;='First Mortgage Sizing'!$D$83,IF('Pro Forma Assumptions'!$D$24='Operating Pro Forma'!I5,'Operating Pro Forma'!I94,0),IF('First Mortgage Sizing'!$D$83='Operating Pro Forma'!I5,'Operating Pro Forma'!I94,0)),0)</f>
        <v>0</v>
      </c>
      <c r="J30" s="626">
        <f>ROUND(IF('Pro Forma Assumptions'!$D$24&lt;='First Mortgage Sizing'!$D$83,IF('Pro Forma Assumptions'!$D$24='Operating Pro Forma'!J5,'Operating Pro Forma'!J94,0),IF('First Mortgage Sizing'!$D$83='Operating Pro Forma'!J5,'Operating Pro Forma'!J94,0)),0)</f>
        <v>0</v>
      </c>
      <c r="K30" s="626">
        <f>ROUND(IF('Pro Forma Assumptions'!$D$24&lt;='First Mortgage Sizing'!$D$83,IF('Pro Forma Assumptions'!$D$24='Operating Pro Forma'!K5,'Operating Pro Forma'!K94,0),IF('First Mortgage Sizing'!$D$83='Operating Pro Forma'!K5,'Operating Pro Forma'!K94,0)),0)</f>
        <v>0</v>
      </c>
      <c r="L30" s="626">
        <f>ROUND(IF('Pro Forma Assumptions'!$D$24&lt;='First Mortgage Sizing'!$D$83,IF('Pro Forma Assumptions'!$D$24='Operating Pro Forma'!L5,'Operating Pro Forma'!L94,0),IF('First Mortgage Sizing'!$D$83='Operating Pro Forma'!L5,'Operating Pro Forma'!L94,0)),0)</f>
        <v>0</v>
      </c>
      <c r="M30" s="626">
        <f>ROUND(IF('Pro Forma Assumptions'!$D$24&lt;='First Mortgage Sizing'!$D$83,IF('Pro Forma Assumptions'!$D$24='Operating Pro Forma'!M5,'Operating Pro Forma'!M94,0),IF('First Mortgage Sizing'!$D$83='Operating Pro Forma'!M5,'Operating Pro Forma'!M94,0)),0)</f>
        <v>0</v>
      </c>
      <c r="N30" s="626">
        <f>ROUND(IF('Pro Forma Assumptions'!$D$24&lt;='First Mortgage Sizing'!$D$83,IF('Pro Forma Assumptions'!$D$24='Operating Pro Forma'!N5,'Operating Pro Forma'!N94,0),IF('First Mortgage Sizing'!$D$83='Operating Pro Forma'!N5,'Operating Pro Forma'!N94,0)),0)</f>
        <v>0</v>
      </c>
      <c r="O30" s="626">
        <f>ROUND(IF('Pro Forma Assumptions'!$D$24&lt;='First Mortgage Sizing'!$D$83,IF('Pro Forma Assumptions'!$D$24='Operating Pro Forma'!O5,'Operating Pro Forma'!O94,0),IF('First Mortgage Sizing'!$D$83='Operating Pro Forma'!O5,'Operating Pro Forma'!O94,0)),0)</f>
        <v>0</v>
      </c>
      <c r="P30" s="626">
        <f>ROUND(IF('Pro Forma Assumptions'!$D$24&lt;='First Mortgage Sizing'!$D$83,IF('Pro Forma Assumptions'!$D$24='Operating Pro Forma'!P5,'Operating Pro Forma'!P94,0),IF('First Mortgage Sizing'!$D$83='Operating Pro Forma'!P5,'Operating Pro Forma'!P94,0)),0)</f>
        <v>0</v>
      </c>
      <c r="Q30" s="626">
        <f>ROUND(IF('Pro Forma Assumptions'!$D$24&lt;='First Mortgage Sizing'!$D$83,IF('Pro Forma Assumptions'!$D$24='Operating Pro Forma'!Q5,'Operating Pro Forma'!Q94,0),IF('First Mortgage Sizing'!$D$83='Operating Pro Forma'!Q5,'Operating Pro Forma'!Q94,0)),0)</f>
        <v>0</v>
      </c>
      <c r="R30" s="626">
        <f>ROUND(IF('Pro Forma Assumptions'!$D$24&lt;='First Mortgage Sizing'!$D$83,IF('Pro Forma Assumptions'!$D$24='Operating Pro Forma'!R5,'Operating Pro Forma'!R94,0),IF('First Mortgage Sizing'!$D$83='Operating Pro Forma'!R5,'Operating Pro Forma'!R94,0)),0)</f>
        <v>0</v>
      </c>
      <c r="S30" s="626">
        <f>ROUND(IF('Pro Forma Assumptions'!$D$24&lt;='First Mortgage Sizing'!$D$83,IF('Pro Forma Assumptions'!$D$24='Operating Pro Forma'!S5,'Operating Pro Forma'!S94,0),IF('First Mortgage Sizing'!$D$83='Operating Pro Forma'!S5,'Operating Pro Forma'!S94,0)),0)</f>
        <v>0</v>
      </c>
      <c r="T30" s="626">
        <f>ROUND(IF('Pro Forma Assumptions'!$D$24&lt;='First Mortgage Sizing'!$D$83,IF('Pro Forma Assumptions'!$D$24='Operating Pro Forma'!T5,'Operating Pro Forma'!T94,0),IF('First Mortgage Sizing'!$D$83='Operating Pro Forma'!T5,'Operating Pro Forma'!T94,0)),0)</f>
        <v>0</v>
      </c>
      <c r="U30" s="626">
        <f>ROUND(IF('Pro Forma Assumptions'!$D$24&lt;='First Mortgage Sizing'!$D$83,IF('Pro Forma Assumptions'!$D$24='Operating Pro Forma'!U5,'Operating Pro Forma'!U94,0),IF('First Mortgage Sizing'!$D$83='Operating Pro Forma'!U5,'Operating Pro Forma'!U94,0)),0)</f>
        <v>0</v>
      </c>
      <c r="V30" s="626">
        <f>ROUND(IF('Pro Forma Assumptions'!$D$24&lt;='First Mortgage Sizing'!$D$83,IF('Pro Forma Assumptions'!$D$24='Operating Pro Forma'!V5,'Operating Pro Forma'!V94,0),IF('First Mortgage Sizing'!$D$83='Operating Pro Forma'!V5,'Operating Pro Forma'!V94,0)),0)</f>
        <v>0</v>
      </c>
      <c r="W30" s="626">
        <f>ROUND(IF('Pro Forma Assumptions'!$D$24&lt;='First Mortgage Sizing'!$D$83,IF('Pro Forma Assumptions'!$D$24='Operating Pro Forma'!W5,'Operating Pro Forma'!W94,0),IF('First Mortgage Sizing'!$D$83='Operating Pro Forma'!W5,'Operating Pro Forma'!W94,0)),0)</f>
        <v>0</v>
      </c>
      <c r="X30" s="626">
        <f>ROUND(IF('Pro Forma Assumptions'!$D$24&lt;='First Mortgage Sizing'!$D$83,IF('Pro Forma Assumptions'!$D$24='Operating Pro Forma'!X5,'Operating Pro Forma'!X94,0),IF('First Mortgage Sizing'!$D$83='Operating Pro Forma'!X5,'Operating Pro Forma'!X94,0)),0)</f>
        <v>0</v>
      </c>
      <c r="Y30" s="626">
        <f>ROUND(IF('Pro Forma Assumptions'!$D$24&lt;='First Mortgage Sizing'!$D$83,IF('Pro Forma Assumptions'!$D$24='Operating Pro Forma'!Y5,'Operating Pro Forma'!Y94,0),IF('First Mortgage Sizing'!$D$83='Operating Pro Forma'!Y5,'Operating Pro Forma'!Y94,0)),0)</f>
        <v>0</v>
      </c>
      <c r="Z30" s="626">
        <f>ROUND(IF('Pro Forma Assumptions'!$D$24&lt;='First Mortgage Sizing'!$D$83,IF('Pro Forma Assumptions'!$D$24='Operating Pro Forma'!Z5,'Operating Pro Forma'!Z94,0),IF('First Mortgage Sizing'!$D$83='Operating Pro Forma'!Z5,'Operating Pro Forma'!Z94,0)),0)</f>
        <v>0</v>
      </c>
      <c r="AA30" s="626">
        <f>ROUND(IF('Pro Forma Assumptions'!$D$24&lt;='First Mortgage Sizing'!$D$83,IF('Pro Forma Assumptions'!$D$24='Operating Pro Forma'!AA5,'Operating Pro Forma'!AA94,0),IF('First Mortgage Sizing'!$D$83='Operating Pro Forma'!AA5,'Operating Pro Forma'!AA94,0)),0)</f>
        <v>0</v>
      </c>
      <c r="AB30" s="626">
        <f>ROUND(IF('Pro Forma Assumptions'!$D$24&lt;='First Mortgage Sizing'!$D$83,IF('Pro Forma Assumptions'!$D$24='Operating Pro Forma'!AB5,'Operating Pro Forma'!AB94,0),IF('First Mortgage Sizing'!$D$83='Operating Pro Forma'!AB5,'Operating Pro Forma'!AB94,0)),0)</f>
        <v>0</v>
      </c>
      <c r="AC30" s="626">
        <f>ROUND(IF('Pro Forma Assumptions'!$D$24&lt;='First Mortgage Sizing'!$D$83,IF('Pro Forma Assumptions'!$D$24='Operating Pro Forma'!AC5,'Operating Pro Forma'!AC94,0),IF('First Mortgage Sizing'!$D$83='Operating Pro Forma'!AC5,'Operating Pro Forma'!AC94,0)),0)</f>
        <v>0</v>
      </c>
      <c r="AD30" s="626">
        <f>ROUND(IF('Pro Forma Assumptions'!$D$24&lt;='First Mortgage Sizing'!$D$83,IF('Pro Forma Assumptions'!$D$24='Operating Pro Forma'!AD5,'Operating Pro Forma'!AD94,0),IF('First Mortgage Sizing'!$D$83='Operating Pro Forma'!AD5,'Operating Pro Forma'!AD94,0)),0)</f>
        <v>0</v>
      </c>
      <c r="AE30" s="626">
        <f>ROUND(IF('Pro Forma Assumptions'!$D$24&lt;='First Mortgage Sizing'!$D$83,IF('Pro Forma Assumptions'!$D$24='Operating Pro Forma'!AE5,'Operating Pro Forma'!AE94,0),IF('First Mortgage Sizing'!$D$83='Operating Pro Forma'!AE5,'Operating Pro Forma'!AE94,0)),0)</f>
        <v>0</v>
      </c>
      <c r="AF30" s="626">
        <f>ROUND(IF('Pro Forma Assumptions'!$D$24&lt;='First Mortgage Sizing'!$D$83,IF('Pro Forma Assumptions'!$D$24='Operating Pro Forma'!AF5,'Operating Pro Forma'!AF94,0),IF('First Mortgage Sizing'!$D$83='Operating Pro Forma'!AF5,'Operating Pro Forma'!AF94,0)),0)</f>
        <v>0</v>
      </c>
      <c r="AG30" s="627">
        <f>ROUND(IF('Pro Forma Assumptions'!$D$24&lt;='First Mortgage Sizing'!$D$83,IF('Pro Forma Assumptions'!$D$24='Operating Pro Forma'!AG5,'Operating Pro Forma'!AG94,0),IF('First Mortgage Sizing'!$D$83='Operating Pro Forma'!AG5,'Operating Pro Forma'!AG94,0)),0)</f>
        <v>0</v>
      </c>
    </row>
    <row r="31" spans="1:33" s="177" customFormat="1" ht="15" customHeight="1" x14ac:dyDescent="0.15">
      <c r="A31" s="469" t="s">
        <v>424</v>
      </c>
      <c r="C31" s="200" t="str">
        <f>CONCATENATE('First Mortgage Sizing'!D88," Debt Service")</f>
        <v xml:space="preserve"> Debt Service</v>
      </c>
      <c r="D31" s="628">
        <v>0</v>
      </c>
      <c r="E31" s="628">
        <v>0</v>
      </c>
      <c r="F31" s="628">
        <v>0</v>
      </c>
      <c r="G31" s="628">
        <v>0</v>
      </c>
      <c r="H31" s="628">
        <v>0</v>
      </c>
      <c r="I31" s="628">
        <v>0</v>
      </c>
      <c r="J31" s="628">
        <v>0</v>
      </c>
      <c r="K31" s="628">
        <v>0</v>
      </c>
      <c r="L31" s="628">
        <v>0</v>
      </c>
      <c r="M31" s="628">
        <v>0</v>
      </c>
      <c r="N31" s="628">
        <v>0</v>
      </c>
      <c r="O31" s="628">
        <v>0</v>
      </c>
      <c r="P31" s="628">
        <v>0</v>
      </c>
      <c r="Q31" s="628">
        <v>0</v>
      </c>
      <c r="R31" s="628">
        <v>0</v>
      </c>
      <c r="S31" s="628">
        <v>0</v>
      </c>
      <c r="T31" s="628">
        <v>0</v>
      </c>
      <c r="U31" s="628">
        <v>0</v>
      </c>
      <c r="V31" s="628">
        <v>0</v>
      </c>
      <c r="W31" s="628">
        <v>0</v>
      </c>
      <c r="X31" s="628">
        <v>0</v>
      </c>
      <c r="Y31" s="628">
        <v>0</v>
      </c>
      <c r="Z31" s="628">
        <v>0</v>
      </c>
      <c r="AA31" s="628">
        <v>0</v>
      </c>
      <c r="AB31" s="628">
        <v>0</v>
      </c>
      <c r="AC31" s="628">
        <v>0</v>
      </c>
      <c r="AD31" s="628">
        <v>0</v>
      </c>
      <c r="AE31" s="628">
        <v>0</v>
      </c>
      <c r="AF31" s="628">
        <v>0</v>
      </c>
      <c r="AG31" s="628">
        <v>0</v>
      </c>
    </row>
    <row r="32" spans="1:33" s="177" customFormat="1" ht="15" customHeight="1" x14ac:dyDescent="0.15">
      <c r="A32" s="469" t="s">
        <v>424</v>
      </c>
      <c r="C32" s="201" t="str">
        <f>CONCATENATE('First Mortgage Sizing'!D99," Debt Service")</f>
        <v xml:space="preserve"> Debt Service</v>
      </c>
      <c r="D32" s="628">
        <v>0</v>
      </c>
      <c r="E32" s="628">
        <v>0</v>
      </c>
      <c r="F32" s="628">
        <v>0</v>
      </c>
      <c r="G32" s="628">
        <v>0</v>
      </c>
      <c r="H32" s="628">
        <v>0</v>
      </c>
      <c r="I32" s="628">
        <v>0</v>
      </c>
      <c r="J32" s="628">
        <v>0</v>
      </c>
      <c r="K32" s="628">
        <v>0</v>
      </c>
      <c r="L32" s="628">
        <v>0</v>
      </c>
      <c r="M32" s="628">
        <v>0</v>
      </c>
      <c r="N32" s="628">
        <v>0</v>
      </c>
      <c r="O32" s="628">
        <v>0</v>
      </c>
      <c r="P32" s="628">
        <v>0</v>
      </c>
      <c r="Q32" s="628">
        <v>0</v>
      </c>
      <c r="R32" s="628">
        <v>0</v>
      </c>
      <c r="S32" s="628">
        <v>0</v>
      </c>
      <c r="T32" s="628">
        <v>0</v>
      </c>
      <c r="U32" s="628">
        <v>0</v>
      </c>
      <c r="V32" s="628">
        <v>0</v>
      </c>
      <c r="W32" s="628">
        <v>0</v>
      </c>
      <c r="X32" s="628">
        <v>0</v>
      </c>
      <c r="Y32" s="628">
        <v>0</v>
      </c>
      <c r="Z32" s="628">
        <v>0</v>
      </c>
      <c r="AA32" s="628">
        <v>0</v>
      </c>
      <c r="AB32" s="628">
        <v>0</v>
      </c>
      <c r="AC32" s="628">
        <v>0</v>
      </c>
      <c r="AD32" s="628">
        <v>0</v>
      </c>
      <c r="AE32" s="628">
        <v>0</v>
      </c>
      <c r="AF32" s="628">
        <v>0</v>
      </c>
      <c r="AG32" s="628">
        <v>0</v>
      </c>
    </row>
    <row r="33" spans="1:35" s="177" customFormat="1" ht="15" customHeight="1" x14ac:dyDescent="0.2">
      <c r="A33" s="524"/>
      <c r="C33" s="178"/>
      <c r="D33" s="186"/>
      <c r="E33" s="186"/>
      <c r="F33" s="186"/>
      <c r="G33" s="186"/>
      <c r="H33" s="186"/>
      <c r="I33" s="186"/>
      <c r="J33" s="186"/>
      <c r="K33" s="186"/>
      <c r="L33" s="186"/>
      <c r="M33" s="186"/>
      <c r="N33" s="186"/>
      <c r="O33" s="186"/>
      <c r="P33" s="186"/>
      <c r="Q33" s="186"/>
      <c r="R33" s="186"/>
      <c r="S33" s="186"/>
      <c r="T33" s="186"/>
      <c r="U33" s="186"/>
      <c r="V33" s="186"/>
      <c r="W33" s="186"/>
      <c r="X33" s="186"/>
      <c r="Y33" s="186"/>
      <c r="Z33" s="186"/>
      <c r="AA33" s="186"/>
      <c r="AB33" s="186"/>
      <c r="AC33" s="186"/>
      <c r="AD33" s="186"/>
      <c r="AE33" s="186"/>
      <c r="AF33" s="186"/>
      <c r="AG33" s="186"/>
    </row>
    <row r="34" spans="1:35" s="177" customFormat="1" ht="15" customHeight="1" x14ac:dyDescent="0.2">
      <c r="C34" s="191" t="s">
        <v>66</v>
      </c>
      <c r="D34" s="178"/>
      <c r="E34" s="186"/>
      <c r="F34" s="186"/>
      <c r="G34" s="186"/>
      <c r="H34" s="186"/>
      <c r="I34" s="186"/>
      <c r="J34" s="186"/>
      <c r="K34" s="186"/>
      <c r="L34" s="186"/>
      <c r="M34" s="186"/>
      <c r="N34" s="186"/>
      <c r="O34" s="186"/>
      <c r="P34" s="186"/>
      <c r="Q34" s="186"/>
      <c r="R34" s="186"/>
      <c r="S34" s="186"/>
      <c r="T34" s="186"/>
      <c r="U34" s="186"/>
      <c r="V34" s="186"/>
      <c r="W34" s="186"/>
      <c r="X34" s="186"/>
      <c r="Y34" s="186"/>
      <c r="Z34" s="186"/>
      <c r="AA34" s="186"/>
      <c r="AB34" s="186"/>
      <c r="AC34" s="186"/>
      <c r="AD34" s="186"/>
      <c r="AE34" s="186"/>
      <c r="AF34" s="186"/>
      <c r="AG34" s="186"/>
    </row>
    <row r="35" spans="1:35" s="177" customFormat="1" ht="15" customHeight="1" x14ac:dyDescent="0.2">
      <c r="C35" s="195" t="s">
        <v>224</v>
      </c>
      <c r="D35" s="187">
        <f>IF('Pro Forma Assumptions'!$D$24&lt;D5,0,SUM(D24:D32))</f>
        <v>-11398.382660966865</v>
      </c>
      <c r="E35" s="187">
        <f>IF('Pro Forma Assumptions'!$D$24&lt;E5,0,SUM(E24:E32))</f>
        <v>8054</v>
      </c>
      <c r="F35" s="187">
        <f>IF('Pro Forma Assumptions'!$D$24&lt;F5,0,SUM(F24:F32))</f>
        <v>7878</v>
      </c>
      <c r="G35" s="187">
        <f>IF('Pro Forma Assumptions'!$D$24&lt;G5,0,SUM(G24:G32))</f>
        <v>7682</v>
      </c>
      <c r="H35" s="187">
        <f>IF('Pro Forma Assumptions'!$D$24&lt;H5,0,SUM(H24:H32))</f>
        <v>7467</v>
      </c>
      <c r="I35" s="187">
        <f>IF('Pro Forma Assumptions'!$D$24&lt;I5,0,SUM(I24:I32))</f>
        <v>7231</v>
      </c>
      <c r="J35" s="187">
        <f>IF('Pro Forma Assumptions'!$D$24&lt;J5,0,SUM(J24:J32))</f>
        <v>6974</v>
      </c>
      <c r="K35" s="187">
        <f>IF('Pro Forma Assumptions'!$D$24&lt;K5,0,SUM(K24:K32))</f>
        <v>6695</v>
      </c>
      <c r="L35" s="187">
        <f>IF('Pro Forma Assumptions'!$D$24&lt;L5,0,SUM(L24:L32))</f>
        <v>6392</v>
      </c>
      <c r="M35" s="187">
        <f>IF('Pro Forma Assumptions'!$D$24&lt;M5,0,SUM(M24:M32))</f>
        <v>6064</v>
      </c>
      <c r="N35" s="187">
        <f>IF('Pro Forma Assumptions'!$D$24&lt;N5,0,SUM(N24:N32))</f>
        <v>5713</v>
      </c>
      <c r="O35" s="187">
        <f>IF('Pro Forma Assumptions'!$D$24&lt;O5,0,SUM(O24:O32))</f>
        <v>5335</v>
      </c>
      <c r="P35" s="187">
        <f>IF('Pro Forma Assumptions'!$D$24&lt;P5,0,SUM(P24:P32))</f>
        <v>4932</v>
      </c>
      <c r="Q35" s="187">
        <f>IF('Pro Forma Assumptions'!$D$24&lt;Q5,0,SUM(Q24:Q32))</f>
        <v>4500</v>
      </c>
      <c r="R35" s="187">
        <f>IF('Pro Forma Assumptions'!$D$24&lt;R5,0,SUM(R24:R32))</f>
        <v>4039</v>
      </c>
      <c r="S35" s="187">
        <f>IF('Pro Forma Assumptions'!$D$24&lt;S5,0,SUM(S24:S32))</f>
        <v>99065</v>
      </c>
      <c r="T35" s="187">
        <f>IF('Pro Forma Assumptions'!$D$24&lt;T5,0,SUM(T24:T32))</f>
        <v>100173</v>
      </c>
      <c r="U35" s="187">
        <f>IF('Pro Forma Assumptions'!$D$24&lt;U5,0,SUM(U24:U32))</f>
        <v>101282</v>
      </c>
      <c r="V35" s="187">
        <f>IF('Pro Forma Assumptions'!$D$24&lt;V5,0,SUM(V24:V32))</f>
        <v>102389</v>
      </c>
      <c r="W35" s="187">
        <f>IF('Pro Forma Assumptions'!$D$24&lt;W5,0,SUM(W24:W32))</f>
        <v>103497</v>
      </c>
      <c r="X35" s="187">
        <f>IF('Pro Forma Assumptions'!$D$24&lt;X5,0,SUM(X24:X32))</f>
        <v>104603</v>
      </c>
      <c r="Y35" s="187">
        <f>IF('Pro Forma Assumptions'!$D$24&lt;Y5,0,SUM(Y24:Y32))</f>
        <v>105708</v>
      </c>
      <c r="Z35" s="187">
        <f>IF('Pro Forma Assumptions'!$D$24&lt;Z5,0,SUM(Z24:Z32))</f>
        <v>106809</v>
      </c>
      <c r="AA35" s="187">
        <f>IF('Pro Forma Assumptions'!$D$24&lt;AA5,0,SUM(AA24:AA32))</f>
        <v>107907</v>
      </c>
      <c r="AB35" s="187">
        <f>IF('Pro Forma Assumptions'!$D$24&lt;AB5,0,SUM(AB24:AB32))</f>
        <v>109001</v>
      </c>
      <c r="AC35" s="187">
        <f>IF('Pro Forma Assumptions'!$D$24&lt;AC5,0,SUM(AC24:AC32))</f>
        <v>110091</v>
      </c>
      <c r="AD35" s="187">
        <f>IF('Pro Forma Assumptions'!$D$24&lt;AD5,0,SUM(AD24:AD32))</f>
        <v>111176</v>
      </c>
      <c r="AE35" s="187">
        <f>IF('Pro Forma Assumptions'!$D$24&lt;AE5,0,SUM(AE24:AE32))</f>
        <v>112255</v>
      </c>
      <c r="AF35" s="187">
        <f>IF('Pro Forma Assumptions'!$D$24&lt;AF5,0,SUM(AF24:AF32))</f>
        <v>113327</v>
      </c>
      <c r="AG35" s="188">
        <f>IF('Pro Forma Assumptions'!$D$24&lt;AG5,0,SUM(AG24:AG32))</f>
        <v>-1285610</v>
      </c>
    </row>
    <row r="36" spans="1:35" s="177" customFormat="1" ht="15" customHeight="1" x14ac:dyDescent="0.2">
      <c r="C36" s="200" t="s">
        <v>203</v>
      </c>
      <c r="D36" s="182">
        <f>IF('Pro Forma Assumptions'!$D$24=D5,IF('First Mortgage Sizing'!$D$21&lt;&gt;0,'First Mortgage Sizing'!$D$21,D42),0)</f>
        <v>0</v>
      </c>
      <c r="E36" s="182">
        <f>IF('Pro Forma Assumptions'!$D$24=E5,IF('First Mortgage Sizing'!$D$21&lt;&gt;0,'First Mortgage Sizing'!$D$21,E42),0)</f>
        <v>0</v>
      </c>
      <c r="F36" s="182">
        <f>IF('Pro Forma Assumptions'!$D$24=F5,IF('First Mortgage Sizing'!$D$21&lt;&gt;0,'First Mortgage Sizing'!$D$21,F42),0)</f>
        <v>0</v>
      </c>
      <c r="G36" s="182">
        <f>IF('Pro Forma Assumptions'!$D$24=G5,IF('First Mortgage Sizing'!$D$21&lt;&gt;0,'First Mortgage Sizing'!$D$21,G42),0)</f>
        <v>0</v>
      </c>
      <c r="H36" s="182">
        <f>IF('Pro Forma Assumptions'!$D$24=H5,IF('First Mortgage Sizing'!$D$21&lt;&gt;0,'First Mortgage Sizing'!$D$21,H42),0)</f>
        <v>0</v>
      </c>
      <c r="I36" s="182">
        <f>IF('Pro Forma Assumptions'!$D$24=I5,IF('First Mortgage Sizing'!$D$21&lt;&gt;0,'First Mortgage Sizing'!$D$21,I42),0)</f>
        <v>0</v>
      </c>
      <c r="J36" s="182">
        <f>IF('Pro Forma Assumptions'!$D$24=J5,IF('First Mortgage Sizing'!$D$21&lt;&gt;0,'First Mortgage Sizing'!$D$21,J42),0)</f>
        <v>0</v>
      </c>
      <c r="K36" s="182">
        <f>IF('Pro Forma Assumptions'!$D$24=K5,IF('First Mortgage Sizing'!$D$21&lt;&gt;0,'First Mortgage Sizing'!$D$21,K42),0)</f>
        <v>0</v>
      </c>
      <c r="L36" s="182">
        <f>IF('Pro Forma Assumptions'!$D$24=L5,IF('First Mortgage Sizing'!$D$21&lt;&gt;0,'First Mortgage Sizing'!$D$21,L42),0)</f>
        <v>0</v>
      </c>
      <c r="M36" s="182">
        <f>IF('Pro Forma Assumptions'!$D$24=M5,IF('First Mortgage Sizing'!$D$21&lt;&gt;0,'First Mortgage Sizing'!$D$21,M42),0)</f>
        <v>0</v>
      </c>
      <c r="N36" s="182">
        <f>IF('Pro Forma Assumptions'!$D$24=N5,IF('First Mortgage Sizing'!$D$21&lt;&gt;0,'First Mortgage Sizing'!$D$21,N42),0)</f>
        <v>0</v>
      </c>
      <c r="O36" s="182">
        <f>IF('Pro Forma Assumptions'!$D$24=O5,IF('First Mortgage Sizing'!$D$21&lt;&gt;0,'First Mortgage Sizing'!$D$21,O42),0)</f>
        <v>0</v>
      </c>
      <c r="P36" s="182">
        <f>IF('Pro Forma Assumptions'!$D$24=P5,IF('First Mortgage Sizing'!$D$21&lt;&gt;0,'First Mortgage Sizing'!$D$21,P42),0)</f>
        <v>0</v>
      </c>
      <c r="Q36" s="182">
        <f>IF('Pro Forma Assumptions'!$D$24=Q5,IF('First Mortgage Sizing'!$D$21&lt;&gt;0,'First Mortgage Sizing'!$D$21,Q42),0)</f>
        <v>0</v>
      </c>
      <c r="R36" s="182">
        <f>IF('Pro Forma Assumptions'!$D$24=R5,IF('First Mortgage Sizing'!$D$21&lt;&gt;0,'First Mortgage Sizing'!$D$21,R42),0)</f>
        <v>0</v>
      </c>
      <c r="S36" s="182">
        <f>IF('Pro Forma Assumptions'!$D$24=S5,IF('First Mortgage Sizing'!$D$21&lt;&gt;0,'First Mortgage Sizing'!$D$21,S42),0)</f>
        <v>0</v>
      </c>
      <c r="T36" s="182">
        <f>IF('Pro Forma Assumptions'!$D$24=T5,IF('First Mortgage Sizing'!$D$21&lt;&gt;0,'First Mortgage Sizing'!$D$21,T42),0)</f>
        <v>0</v>
      </c>
      <c r="U36" s="182">
        <f>IF('Pro Forma Assumptions'!$D$24=U5,IF('First Mortgage Sizing'!$D$21&lt;&gt;0,'First Mortgage Sizing'!$D$21,U42),0)</f>
        <v>0</v>
      </c>
      <c r="V36" s="182">
        <f>IF('Pro Forma Assumptions'!$D$24=V5,IF('First Mortgage Sizing'!$D$21&lt;&gt;0,'First Mortgage Sizing'!$D$21,V42),0)</f>
        <v>0</v>
      </c>
      <c r="W36" s="182">
        <f>IF('Pro Forma Assumptions'!$D$24=W5,IF('First Mortgage Sizing'!$D$21&lt;&gt;0,'First Mortgage Sizing'!$D$21,W42),0)</f>
        <v>0</v>
      </c>
      <c r="X36" s="182">
        <f>IF('Pro Forma Assumptions'!$D$24=X5,IF('First Mortgage Sizing'!$D$21&lt;&gt;0,'First Mortgage Sizing'!$D$21,X42),0)</f>
        <v>0</v>
      </c>
      <c r="Y36" s="182">
        <f>IF('Pro Forma Assumptions'!$D$24=Y5,IF('First Mortgage Sizing'!$D$21&lt;&gt;0,'First Mortgage Sizing'!$D$21,Y42),0)</f>
        <v>0</v>
      </c>
      <c r="Z36" s="182">
        <f>IF('Pro Forma Assumptions'!$D$24=Z5,IF('First Mortgage Sizing'!$D$21&lt;&gt;0,'First Mortgage Sizing'!$D$21,Z42),0)</f>
        <v>0</v>
      </c>
      <c r="AA36" s="182">
        <f>IF('Pro Forma Assumptions'!$D$24=AA5,IF('First Mortgage Sizing'!$D$21&lt;&gt;0,'First Mortgage Sizing'!$D$21,AA42),0)</f>
        <v>0</v>
      </c>
      <c r="AB36" s="182">
        <f>IF('Pro Forma Assumptions'!$D$24=AB5,IF('First Mortgage Sizing'!$D$21&lt;&gt;0,'First Mortgage Sizing'!$D$21,AB42),0)</f>
        <v>0</v>
      </c>
      <c r="AC36" s="182">
        <f>IF('Pro Forma Assumptions'!$D$24=AC5,IF('First Mortgage Sizing'!$D$21&lt;&gt;0,'First Mortgage Sizing'!$D$21,AC42),0)</f>
        <v>0</v>
      </c>
      <c r="AD36" s="182">
        <f>IF('Pro Forma Assumptions'!$D$24=AD5,IF('First Mortgage Sizing'!$D$21&lt;&gt;0,'First Mortgage Sizing'!$D$21,AD42),0)</f>
        <v>0</v>
      </c>
      <c r="AE36" s="182">
        <f>IF('Pro Forma Assumptions'!$D$24=AE5,IF('First Mortgage Sizing'!$D$21&lt;&gt;0,'First Mortgage Sizing'!$D$21,AE42),0)</f>
        <v>0</v>
      </c>
      <c r="AF36" s="182">
        <f>IF('Pro Forma Assumptions'!$D$24=AF5,IF('First Mortgage Sizing'!$D$21&lt;&gt;0,'First Mortgage Sizing'!$D$21,AF42),0)</f>
        <v>0</v>
      </c>
      <c r="AG36" s="183">
        <f>IF('Pro Forma Assumptions'!$D$24=AG5,IF('First Mortgage Sizing'!$D$21&lt;&gt;0,'First Mortgage Sizing'!$D$21,AG42),0)</f>
        <v>1634143</v>
      </c>
    </row>
    <row r="37" spans="1:35" s="177" customFormat="1" ht="15" customHeight="1" x14ac:dyDescent="0.2">
      <c r="C37" s="201" t="s">
        <v>220</v>
      </c>
      <c r="D37" s="184">
        <f t="shared" ref="D37:AG37" si="4">SUM(D35:D36)</f>
        <v>-11398.382660966865</v>
      </c>
      <c r="E37" s="184">
        <f t="shared" si="4"/>
        <v>8054</v>
      </c>
      <c r="F37" s="184">
        <f t="shared" si="4"/>
        <v>7878</v>
      </c>
      <c r="G37" s="184">
        <f t="shared" si="4"/>
        <v>7682</v>
      </c>
      <c r="H37" s="184">
        <f t="shared" si="4"/>
        <v>7467</v>
      </c>
      <c r="I37" s="184">
        <f t="shared" si="4"/>
        <v>7231</v>
      </c>
      <c r="J37" s="184">
        <f t="shared" si="4"/>
        <v>6974</v>
      </c>
      <c r="K37" s="184">
        <f t="shared" si="4"/>
        <v>6695</v>
      </c>
      <c r="L37" s="184">
        <f t="shared" si="4"/>
        <v>6392</v>
      </c>
      <c r="M37" s="184">
        <f t="shared" si="4"/>
        <v>6064</v>
      </c>
      <c r="N37" s="184">
        <f t="shared" si="4"/>
        <v>5713</v>
      </c>
      <c r="O37" s="184">
        <f t="shared" si="4"/>
        <v>5335</v>
      </c>
      <c r="P37" s="184">
        <f t="shared" si="4"/>
        <v>4932</v>
      </c>
      <c r="Q37" s="184">
        <f t="shared" si="4"/>
        <v>4500</v>
      </c>
      <c r="R37" s="184">
        <f t="shared" si="4"/>
        <v>4039</v>
      </c>
      <c r="S37" s="184">
        <f t="shared" si="4"/>
        <v>99065</v>
      </c>
      <c r="T37" s="184">
        <f t="shared" si="4"/>
        <v>100173</v>
      </c>
      <c r="U37" s="184">
        <f t="shared" si="4"/>
        <v>101282</v>
      </c>
      <c r="V37" s="184">
        <f t="shared" si="4"/>
        <v>102389</v>
      </c>
      <c r="W37" s="184">
        <f t="shared" si="4"/>
        <v>103497</v>
      </c>
      <c r="X37" s="184">
        <f t="shared" si="4"/>
        <v>104603</v>
      </c>
      <c r="Y37" s="184">
        <f t="shared" si="4"/>
        <v>105708</v>
      </c>
      <c r="Z37" s="184">
        <f t="shared" si="4"/>
        <v>106809</v>
      </c>
      <c r="AA37" s="184">
        <f t="shared" si="4"/>
        <v>107907</v>
      </c>
      <c r="AB37" s="184">
        <f t="shared" si="4"/>
        <v>109001</v>
      </c>
      <c r="AC37" s="184">
        <f t="shared" si="4"/>
        <v>110091</v>
      </c>
      <c r="AD37" s="184">
        <f t="shared" si="4"/>
        <v>111176</v>
      </c>
      <c r="AE37" s="184">
        <f t="shared" si="4"/>
        <v>112255</v>
      </c>
      <c r="AF37" s="184">
        <f t="shared" si="4"/>
        <v>113327</v>
      </c>
      <c r="AG37" s="185">
        <f t="shared" si="4"/>
        <v>348533</v>
      </c>
    </row>
    <row r="38" spans="1:35" s="21" customFormat="1" ht="15" customHeight="1" x14ac:dyDescent="0.2">
      <c r="C38" s="607" t="str">
        <f>IF(D110="","","Cash flow after debt service is negative in these years: "&amp;D110)</f>
        <v>Cash flow after debt service is negative in these years: 1, 30</v>
      </c>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c r="AB38" s="120"/>
      <c r="AC38" s="120"/>
      <c r="AD38" s="120"/>
      <c r="AE38" s="120"/>
      <c r="AF38" s="120"/>
      <c r="AG38" s="120"/>
      <c r="AH38" s="117"/>
    </row>
    <row r="39" spans="1:35" s="21" customFormat="1" ht="15" customHeight="1" x14ac:dyDescent="0.2">
      <c r="C39" s="119"/>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c r="AB39" s="120"/>
      <c r="AC39" s="120"/>
      <c r="AD39" s="120"/>
      <c r="AE39" s="120"/>
      <c r="AF39" s="120"/>
      <c r="AG39" s="120"/>
      <c r="AH39" s="117"/>
    </row>
    <row r="40" spans="1:35" s="21" customFormat="1" ht="15" customHeight="1" x14ac:dyDescent="0.2">
      <c r="C40" s="115" t="str">
        <f>"Developer Return on Equity ("&amp;IF('Sources and Uses'!$D$26=0,"N/A; there is no developer investment)","Developer Investment is "&amp;TEXT('Sources and Uses'!$D$26,"$#,##0")&amp;")")</f>
        <v>Developer Return on Equity (Developer Investment is $39,000)</v>
      </c>
      <c r="D40" s="115"/>
      <c r="E40" s="115"/>
      <c r="F40" s="118"/>
      <c r="G40" s="118"/>
      <c r="H40" s="118"/>
      <c r="I40" s="118"/>
      <c r="J40" s="118"/>
      <c r="K40" s="118"/>
      <c r="L40" s="118"/>
      <c r="M40" s="118"/>
      <c r="N40" s="118"/>
      <c r="O40" s="121"/>
      <c r="P40" s="118"/>
      <c r="Q40" s="118"/>
      <c r="R40" s="118"/>
      <c r="S40" s="118"/>
      <c r="T40" s="118"/>
      <c r="U40" s="118"/>
      <c r="V40" s="118"/>
      <c r="W40" s="118"/>
      <c r="X40" s="118"/>
      <c r="Y40" s="118"/>
      <c r="Z40" s="118"/>
      <c r="AA40" s="118"/>
      <c r="AB40" s="118"/>
      <c r="AC40" s="118"/>
      <c r="AD40" s="118"/>
      <c r="AE40" s="118"/>
      <c r="AF40" s="118"/>
      <c r="AG40" s="118"/>
      <c r="AH40" s="117"/>
    </row>
    <row r="41" spans="1:35" s="25" customFormat="1" ht="15" customHeight="1" x14ac:dyDescent="0.2">
      <c r="C41" s="205" t="s">
        <v>22</v>
      </c>
      <c r="D41" s="346">
        <f>IF('Pro Forma Assumptions'!$D$24&lt;D5,0,IF('Sources and Uses'!$D$26&gt;0,D99/'Sources and Uses'!$D$26,"no equity"))</f>
        <v>-0.29226622207607345</v>
      </c>
      <c r="E41" s="346">
        <f>IF('Pro Forma Assumptions'!$D$24&lt;E5,0,IF('Sources and Uses'!$D$26&gt;0,E99/'Sources and Uses'!$D$26,"no equity"))</f>
        <v>0.20651282051282052</v>
      </c>
      <c r="F41" s="346">
        <f>IF('Pro Forma Assumptions'!$D$24&lt;F5,0,IF('Sources and Uses'!$D$26&gt;0,F99/'Sources and Uses'!$D$26,"no equity"))</f>
        <v>0.20200000000000001</v>
      </c>
      <c r="G41" s="346">
        <f>IF('Pro Forma Assumptions'!$D$24&lt;G5,0,IF('Sources and Uses'!$D$26&gt;0,G99/'Sources and Uses'!$D$26,"no equity"))</f>
        <v>0.19697435897435897</v>
      </c>
      <c r="H41" s="346">
        <f>IF('Pro Forma Assumptions'!$D$24&lt;H5,0,IF('Sources and Uses'!$D$26&gt;0,H99/'Sources and Uses'!$D$26,"no equity"))</f>
        <v>0.19146153846153846</v>
      </c>
      <c r="I41" s="346">
        <f>IF('Pro Forma Assumptions'!$D$24&lt;I5,0,IF('Sources and Uses'!$D$26&gt;0,I99/'Sources and Uses'!$D$26,"no equity"))</f>
        <v>0.18541025641025641</v>
      </c>
      <c r="J41" s="346">
        <f>IF('Pro Forma Assumptions'!$D$24&lt;J5,0,IF('Sources and Uses'!$D$26&gt;0,J99/'Sources and Uses'!$D$26,"no equity"))</f>
        <v>0.17882051282051281</v>
      </c>
      <c r="K41" s="346">
        <f>IF('Pro Forma Assumptions'!$D$24&lt;K5,0,IF('Sources and Uses'!$D$26&gt;0,K99/'Sources and Uses'!$D$26,"no equity"))</f>
        <v>0.17166666666666666</v>
      </c>
      <c r="L41" s="346">
        <f>IF('Pro Forma Assumptions'!$D$24&lt;L5,0,IF('Sources and Uses'!$D$26&gt;0,L99/'Sources and Uses'!$D$26,"no equity"))</f>
        <v>0.16389743589743588</v>
      </c>
      <c r="M41" s="346">
        <f>IF('Pro Forma Assumptions'!$D$24&lt;M5,0,IF('Sources and Uses'!$D$26&gt;0,M99/'Sources and Uses'!$D$26,"no equity"))</f>
        <v>0.15548717948717949</v>
      </c>
      <c r="N41" s="346">
        <f>IF('Pro Forma Assumptions'!$D$24&lt;N5,0,IF('Sources and Uses'!$D$26&gt;0,N99/'Sources and Uses'!$D$26,"no equity"))</f>
        <v>0.14648717948717949</v>
      </c>
      <c r="O41" s="346">
        <f>IF('Pro Forma Assumptions'!$D$24&lt;O5,0,IF('Sources and Uses'!$D$26&gt;0,O99/'Sources and Uses'!$D$26,"no equity"))</f>
        <v>0.13679487179487179</v>
      </c>
      <c r="P41" s="346">
        <f>IF('Pro Forma Assumptions'!$D$24&lt;P5,0,IF('Sources and Uses'!$D$26&gt;0,P99/'Sources and Uses'!$D$26,"no equity"))</f>
        <v>0.12646153846153846</v>
      </c>
      <c r="Q41" s="346">
        <f>IF('Pro Forma Assumptions'!$D$24&lt;Q5,0,IF('Sources and Uses'!$D$26&gt;0,Q99/'Sources and Uses'!$D$26,"no equity"))</f>
        <v>0.11538461538461539</v>
      </c>
      <c r="R41" s="346">
        <f>IF('Pro Forma Assumptions'!$D$24&lt;R5,0,IF('Sources and Uses'!$D$26&gt;0,R99/'Sources and Uses'!$D$26,"no equity"))</f>
        <v>0.10356410256410256</v>
      </c>
      <c r="S41" s="346">
        <f>IF('Pro Forma Assumptions'!$D$24&lt;S5,0,IF('Sources and Uses'!$D$26&gt;0,S99/'Sources and Uses'!$D$26,"no equity"))</f>
        <v>2.5401282051282053</v>
      </c>
      <c r="T41" s="346">
        <f>IF('Pro Forma Assumptions'!$D$24&lt;T5,0,IF('Sources and Uses'!$D$26&gt;0,T99/'Sources and Uses'!$D$26,"no equity"))</f>
        <v>2.5685384615384614</v>
      </c>
      <c r="U41" s="346">
        <f>IF('Pro Forma Assumptions'!$D$24&lt;U5,0,IF('Sources and Uses'!$D$26&gt;0,U99/'Sources and Uses'!$D$26,"no equity"))</f>
        <v>2.596974358974359</v>
      </c>
      <c r="V41" s="346">
        <f>IF('Pro Forma Assumptions'!$D$24&lt;V5,0,IF('Sources and Uses'!$D$26&gt;0,V99/'Sources and Uses'!$D$26,"no equity"))</f>
        <v>2.6253589743589743</v>
      </c>
      <c r="W41" s="346">
        <f>IF('Pro Forma Assumptions'!$D$24&lt;W5,0,IF('Sources and Uses'!$D$26&gt;0,W99/'Sources and Uses'!$D$26,"no equity"))</f>
        <v>2.6537692307692309</v>
      </c>
      <c r="X41" s="346">
        <f>IF('Pro Forma Assumptions'!$D$24&lt;X5,0,IF('Sources and Uses'!$D$26&gt;0,X99/'Sources and Uses'!$D$26,"no equity"))</f>
        <v>2.6821282051282052</v>
      </c>
      <c r="Y41" s="346">
        <f>IF('Pro Forma Assumptions'!$D$24&lt;Y5,0,IF('Sources and Uses'!$D$26&gt;0,Y99/'Sources and Uses'!$D$26,"no equity"))</f>
        <v>2.7104615384615385</v>
      </c>
      <c r="Z41" s="346">
        <f>IF('Pro Forma Assumptions'!$D$24&lt;Z5,0,IF('Sources and Uses'!$D$26&gt;0,Z99/'Sources and Uses'!$D$26,"no equity"))</f>
        <v>2.7386923076923075</v>
      </c>
      <c r="AA41" s="346">
        <f>IF('Pro Forma Assumptions'!$D$24&lt;AA5,0,IF('Sources and Uses'!$D$26&gt;0,AA99/'Sources and Uses'!$D$26,"no equity"))</f>
        <v>2.7668461538461537</v>
      </c>
      <c r="AB41" s="346">
        <f>IF('Pro Forma Assumptions'!$D$24&lt;AB5,0,IF('Sources and Uses'!$D$26&gt;0,AB99/'Sources and Uses'!$D$26,"no equity"))</f>
        <v>2.7948974358974361</v>
      </c>
      <c r="AC41" s="346">
        <f>IF('Pro Forma Assumptions'!$D$24&lt;AC5,0,IF('Sources and Uses'!$D$26&gt;0,AC99/'Sources and Uses'!$D$26,"no equity"))</f>
        <v>2.8228461538461538</v>
      </c>
      <c r="AD41" s="346">
        <f>IF('Pro Forma Assumptions'!$D$24&lt;AD5,0,IF('Sources and Uses'!$D$26&gt;0,AD99/'Sources and Uses'!$D$26,"no equity"))</f>
        <v>2.8506666666666667</v>
      </c>
      <c r="AE41" s="346">
        <f>IF('Pro Forma Assumptions'!$D$24&lt;AE5,0,IF('Sources and Uses'!$D$26&gt;0,AE99/'Sources and Uses'!$D$26,"no equity"))</f>
        <v>2.8783333333333334</v>
      </c>
      <c r="AF41" s="346">
        <f>IF('Pro Forma Assumptions'!$D$24&lt;AF5,0,IF('Sources and Uses'!$D$26&gt;0,AF99/'Sources and Uses'!$D$26,"no equity"))</f>
        <v>2.905820512820513</v>
      </c>
      <c r="AG41" s="420">
        <f>IF('Pro Forma Assumptions'!$D$24&lt;AG5,0,IF('Sources and Uses'!$D$26&gt;0,AG99/'Sources and Uses'!$D$26,"no equity"))</f>
        <v>8.936743589743589</v>
      </c>
      <c r="AH41" s="122"/>
    </row>
    <row r="42" spans="1:35" s="21" customFormat="1" ht="15" customHeight="1" x14ac:dyDescent="0.2">
      <c r="C42" s="201" t="s">
        <v>202</v>
      </c>
      <c r="D42" s="184">
        <f>IF('First Mortgage Sizing'!$D$18=0,0,IF(D24&gt;0,ROUND(D24/'First Mortgage Sizing'!$D$18,0),0))</f>
        <v>37014</v>
      </c>
      <c r="E42" s="184">
        <f>IF('First Mortgage Sizing'!$D$18=0,0,IF(E24&gt;0,ROUND(E24/'First Mortgage Sizing'!$D$18,0),0))</f>
        <v>314900</v>
      </c>
      <c r="F42" s="184">
        <f>IF('First Mortgage Sizing'!$D$18=0,0,IF(F24&gt;0,ROUND(F24/'First Mortgage Sizing'!$D$18,0),0))</f>
        <v>312386</v>
      </c>
      <c r="G42" s="184">
        <f>IF('First Mortgage Sizing'!$D$18=0,0,IF(G24&gt;0,ROUND(G24/'First Mortgage Sizing'!$D$18,0),0))</f>
        <v>309586</v>
      </c>
      <c r="H42" s="184">
        <f>IF('First Mortgage Sizing'!$D$18=0,0,IF(H24&gt;0,ROUND(H24/'First Mortgage Sizing'!$D$18,0),0))</f>
        <v>306514</v>
      </c>
      <c r="I42" s="184">
        <f>IF('First Mortgage Sizing'!$D$18=0,0,IF(I24&gt;0,ROUND(I24/'First Mortgage Sizing'!$D$18,0),0))</f>
        <v>303143</v>
      </c>
      <c r="J42" s="184">
        <f>IF('First Mortgage Sizing'!$D$18=0,0,IF(J24&gt;0,ROUND(J24/'First Mortgage Sizing'!$D$18,0),0))</f>
        <v>299471</v>
      </c>
      <c r="K42" s="184">
        <f>IF('First Mortgage Sizing'!$D$18=0,0,IF(K24&gt;0,ROUND(K24/'First Mortgage Sizing'!$D$18,0),0))</f>
        <v>295486</v>
      </c>
      <c r="L42" s="184">
        <f>IF('First Mortgage Sizing'!$D$18=0,0,IF(L24&gt;0,ROUND(L24/'First Mortgage Sizing'!$D$18,0),0))</f>
        <v>291157</v>
      </c>
      <c r="M42" s="184">
        <f>IF('First Mortgage Sizing'!$D$18=0,0,IF(M24&gt;0,ROUND(M24/'First Mortgage Sizing'!$D$18,0),0))</f>
        <v>286471</v>
      </c>
      <c r="N42" s="184">
        <f>IF('First Mortgage Sizing'!$D$18=0,0,IF(N24&gt;0,ROUND(N24/'First Mortgage Sizing'!$D$18,0),0))</f>
        <v>281457</v>
      </c>
      <c r="O42" s="184">
        <f>IF('First Mortgage Sizing'!$D$18=0,0,IF(O24&gt;0,ROUND(O24/'First Mortgage Sizing'!$D$18,0),0))</f>
        <v>276057</v>
      </c>
      <c r="P42" s="184">
        <f>IF('First Mortgage Sizing'!$D$18=0,0,IF(P24&gt;0,ROUND(P24/'First Mortgage Sizing'!$D$18,0),0))</f>
        <v>270300</v>
      </c>
      <c r="Q42" s="184">
        <f>IF('First Mortgage Sizing'!$D$18=0,0,IF(Q24&gt;0,ROUND(Q24/'First Mortgage Sizing'!$D$18,0),0))</f>
        <v>264129</v>
      </c>
      <c r="R42" s="184">
        <f>IF('First Mortgage Sizing'!$D$18=0,0,IF(R24&gt;0,ROUND(R24/'First Mortgage Sizing'!$D$18,0),0))</f>
        <v>257543</v>
      </c>
      <c r="S42" s="184">
        <f>IF('First Mortgage Sizing'!$D$18=0,0,IF(S24&gt;0,ROUND(S24/'First Mortgage Sizing'!$D$18,0),0))</f>
        <v>1415214</v>
      </c>
      <c r="T42" s="184">
        <f>IF('First Mortgage Sizing'!$D$18=0,0,IF(T24&gt;0,ROUND(T24/'First Mortgage Sizing'!$D$18,0),0))</f>
        <v>1431043</v>
      </c>
      <c r="U42" s="184">
        <f>IF('First Mortgage Sizing'!$D$18=0,0,IF(U24&gt;0,ROUND(U24/'First Mortgage Sizing'!$D$18,0),0))</f>
        <v>1446886</v>
      </c>
      <c r="V42" s="184">
        <f>IF('First Mortgage Sizing'!$D$18=0,0,IF(V24&gt;0,ROUND(V24/'First Mortgage Sizing'!$D$18,0),0))</f>
        <v>1462700</v>
      </c>
      <c r="W42" s="184">
        <f>IF('First Mortgage Sizing'!$D$18=0,0,IF(W24&gt;0,ROUND(W24/'First Mortgage Sizing'!$D$18,0),0))</f>
        <v>1478529</v>
      </c>
      <c r="X42" s="184">
        <f>IF('First Mortgage Sizing'!$D$18=0,0,IF(X24&gt;0,ROUND(X24/'First Mortgage Sizing'!$D$18,0),0))</f>
        <v>1494329</v>
      </c>
      <c r="Y42" s="184">
        <f>IF('First Mortgage Sizing'!$D$18=0,0,IF(Y24&gt;0,ROUND(Y24/'First Mortgage Sizing'!$D$18,0),0))</f>
        <v>1510114</v>
      </c>
      <c r="Z42" s="184">
        <f>IF('First Mortgage Sizing'!$D$18=0,0,IF(Z24&gt;0,ROUND(Z24/'First Mortgage Sizing'!$D$18,0),0))</f>
        <v>1525843</v>
      </c>
      <c r="AA42" s="184">
        <f>IF('First Mortgage Sizing'!$D$18=0,0,IF(AA24&gt;0,ROUND(AA24/'First Mortgage Sizing'!$D$18,0),0))</f>
        <v>1541529</v>
      </c>
      <c r="AB42" s="184">
        <f>IF('First Mortgage Sizing'!$D$18=0,0,IF(AB24&gt;0,ROUND(AB24/'First Mortgage Sizing'!$D$18,0),0))</f>
        <v>1557157</v>
      </c>
      <c r="AC42" s="184">
        <f>IF('First Mortgage Sizing'!$D$18=0,0,IF(AC24&gt;0,ROUND(AC24/'First Mortgage Sizing'!$D$18,0),0))</f>
        <v>1572729</v>
      </c>
      <c r="AD42" s="184">
        <f>IF('First Mortgage Sizing'!$D$18=0,0,IF(AD24&gt;0,ROUND(AD24/'First Mortgage Sizing'!$D$18,0),0))</f>
        <v>1588229</v>
      </c>
      <c r="AE42" s="184">
        <f>IF('First Mortgage Sizing'!$D$18=0,0,IF(AE24&gt;0,ROUND(AE24/'First Mortgage Sizing'!$D$18,0),0))</f>
        <v>1603643</v>
      </c>
      <c r="AF42" s="184">
        <f>IF('First Mortgage Sizing'!$D$18=0,0,IF(AF24&gt;0,ROUND(AF24/'First Mortgage Sizing'!$D$18,0),0))</f>
        <v>1618957</v>
      </c>
      <c r="AG42" s="185">
        <f>IF('First Mortgage Sizing'!$D$18=0,0,IF(AG24&gt;0,ROUND(AG24/'First Mortgage Sizing'!$D$18,0),0))</f>
        <v>1634143</v>
      </c>
      <c r="AH42" s="117"/>
    </row>
    <row r="43" spans="1:35" s="21" customFormat="1" ht="15" customHeight="1" x14ac:dyDescent="0.2">
      <c r="C43" s="347" t="s">
        <v>539</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18"/>
      <c r="AH43" s="117"/>
    </row>
    <row r="44" spans="1:35" s="21" customFormat="1" ht="15" customHeight="1" x14ac:dyDescent="0.2">
      <c r="C44" s="524"/>
      <c r="D44" s="124"/>
      <c r="E44" s="123"/>
      <c r="F44" s="123"/>
      <c r="G44" s="123"/>
      <c r="H44" s="123"/>
      <c r="I44" s="123"/>
      <c r="J44" s="123"/>
      <c r="K44" s="123"/>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17"/>
    </row>
    <row r="45" spans="1:35" s="21" customFormat="1" ht="15" customHeight="1" x14ac:dyDescent="0.2">
      <c r="C45" s="117"/>
      <c r="D45" s="749"/>
      <c r="E45" s="750"/>
      <c r="F45" s="751"/>
      <c r="G45" s="190" t="s">
        <v>23</v>
      </c>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22"/>
    </row>
    <row r="46" spans="1:35" s="21" customFormat="1" ht="15" customHeight="1" x14ac:dyDescent="0.2">
      <c r="C46" s="117"/>
      <c r="D46" s="752" t="s">
        <v>193</v>
      </c>
      <c r="E46" s="753"/>
      <c r="F46" s="754"/>
      <c r="G46" s="348">
        <f>IF('Sources and Uses'!D26=0,"no investment",IF(ISERROR(C100),"N/A",C100))</f>
        <v>0.21993871437253398</v>
      </c>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22"/>
    </row>
    <row r="47" spans="1:35" s="21" customFormat="1" ht="15" customHeight="1" x14ac:dyDescent="0.2">
      <c r="A47" s="525"/>
      <c r="C47" s="119"/>
      <c r="D47" s="120"/>
      <c r="E47" s="120"/>
      <c r="F47" s="120"/>
      <c r="G47" s="120"/>
      <c r="H47" s="120"/>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17"/>
    </row>
    <row r="48" spans="1:35" s="21" customFormat="1" ht="15" customHeight="1" x14ac:dyDescent="0.2">
      <c r="A48" s="469" t="s">
        <v>424</v>
      </c>
      <c r="C48" s="115" t="s">
        <v>188</v>
      </c>
      <c r="D48" s="46"/>
      <c r="E48" s="120"/>
      <c r="F48" s="120"/>
      <c r="G48" s="120"/>
      <c r="H48" s="120"/>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17"/>
    </row>
    <row r="49" spans="3:34" s="19" customFormat="1" ht="15" customHeight="1" x14ac:dyDescent="0.2">
      <c r="C49" s="197" t="s">
        <v>9</v>
      </c>
      <c r="D49" s="206">
        <f>IF(E5&gt;(MIN('First Mortgage Sizing'!$D$33,'Pro Forma Assumptions'!$D$24)),0,D86)</f>
        <v>149776.88538833725</v>
      </c>
      <c r="E49" s="206">
        <f>IF(F5&gt;(MIN('First Mortgage Sizing'!$D$33,'Pro Forma Assumptions'!$D$24)),0,E86)</f>
        <v>141626.42683158413</v>
      </c>
      <c r="F49" s="206">
        <f>IF(G5&gt;(MIN('First Mortgage Sizing'!$D$33,'Pro Forma Assumptions'!$D$24)),0,F86)</f>
        <v>133148.16988129588</v>
      </c>
      <c r="G49" s="206">
        <f>IF(H5&gt;(MIN('First Mortgage Sizing'!$D$33,'Pro Forma Assumptions'!$D$24)),0,G86)</f>
        <v>124324.49566158246</v>
      </c>
      <c r="H49" s="206">
        <f>IF(I5&gt;(MIN('First Mortgage Sizing'!$D$33,'Pro Forma Assumptions'!$D$24)),0,H86)</f>
        <v>115141.33133993635</v>
      </c>
      <c r="I49" s="206">
        <f>IF(J5&gt;(MIN('First Mortgage Sizing'!$D$33,'Pro Forma Assumptions'!$D$24)),0,I86)</f>
        <v>105584.03073494036</v>
      </c>
      <c r="J49" s="206">
        <f>IF(K5&gt;(MIN('First Mortgage Sizing'!$D$33,'Pro Forma Assumptions'!$D$24)),0,J86)</f>
        <v>95637.35095714865</v>
      </c>
      <c r="K49" s="206">
        <f>IF(L5&gt;(MIN('First Mortgage Sizing'!$D$33,'Pro Forma Assumptions'!$D$24)),0,K86)</f>
        <v>85285.428098280623</v>
      </c>
      <c r="L49" s="206">
        <f>IF(M5&gt;(MIN('First Mortgage Sizing'!$D$33,'Pro Forma Assumptions'!$D$24)),0,L86)</f>
        <v>74511.751929955601</v>
      </c>
      <c r="M49" s="206">
        <f>IF(N5&gt;(MIN('First Mortgage Sizing'!$D$33,'Pro Forma Assumptions'!$D$24)),0,M86)</f>
        <v>63299.139571614884</v>
      </c>
      <c r="N49" s="206">
        <f>IF(O5&gt;(MIN('First Mortgage Sizing'!$D$33,'Pro Forma Assumptions'!$D$24)),0,N86)</f>
        <v>51629.708085633843</v>
      </c>
      <c r="O49" s="206">
        <f>IF(P5&gt;(MIN('First Mortgage Sizing'!$D$33,'Pro Forma Assumptions'!$D$24)),0,O86)</f>
        <v>39484.845955917095</v>
      </c>
      <c r="P49" s="206">
        <f>IF(Q5&gt;(MIN('First Mortgage Sizing'!$D$33,'Pro Forma Assumptions'!$D$24)),0,P86)</f>
        <v>26845.18340448762</v>
      </c>
      <c r="Q49" s="206">
        <f>IF(R5&gt;(MIN('First Mortgage Sizing'!$D$33,'Pro Forma Assumptions'!$D$24)),0,Q86)</f>
        <v>13690.561498727406</v>
      </c>
      <c r="R49" s="206">
        <f>IF(S5&gt;(MIN('First Mortgage Sizing'!$D$33,'Pro Forma Assumptions'!$D$24)),0,R86)</f>
        <v>0</v>
      </c>
      <c r="S49" s="206">
        <f>IF(T5&gt;(MIN('First Mortgage Sizing'!$D$33,'Pro Forma Assumptions'!$D$24)),0,S86)</f>
        <v>0</v>
      </c>
      <c r="T49" s="206">
        <f>IF(U5&gt;(MIN('First Mortgage Sizing'!$D$33,'Pro Forma Assumptions'!$D$24)),0,T86)</f>
        <v>0</v>
      </c>
      <c r="U49" s="206">
        <f>IF(V5&gt;(MIN('First Mortgage Sizing'!$D$33,'Pro Forma Assumptions'!$D$24)),0,U86)</f>
        <v>0</v>
      </c>
      <c r="V49" s="206">
        <f>IF(W5&gt;(MIN('First Mortgage Sizing'!$D$33,'Pro Forma Assumptions'!$D$24)),0,V86)</f>
        <v>0</v>
      </c>
      <c r="W49" s="206">
        <f>IF(X5&gt;(MIN('First Mortgage Sizing'!$D$33,'Pro Forma Assumptions'!$D$24)),0,W86)</f>
        <v>0</v>
      </c>
      <c r="X49" s="206">
        <f>IF(Y5&gt;(MIN('First Mortgage Sizing'!$D$33,'Pro Forma Assumptions'!$D$24)),0,X86)</f>
        <v>0</v>
      </c>
      <c r="Y49" s="206">
        <f>IF(Z5&gt;(MIN('First Mortgage Sizing'!$D$33,'Pro Forma Assumptions'!$D$24)),0,Y86)</f>
        <v>0</v>
      </c>
      <c r="Z49" s="206">
        <f>IF(AA5&gt;(MIN('First Mortgage Sizing'!$D$33,'Pro Forma Assumptions'!$D$24)),0,Z86)</f>
        <v>0</v>
      </c>
      <c r="AA49" s="206">
        <f>IF(AB5&gt;(MIN('First Mortgage Sizing'!$D$33,'Pro Forma Assumptions'!$D$24)),0,AA86)</f>
        <v>0</v>
      </c>
      <c r="AB49" s="206">
        <f>IF(AC5&gt;(MIN('First Mortgage Sizing'!$D$33,'Pro Forma Assumptions'!$D$24)),0,AB86)</f>
        <v>0</v>
      </c>
      <c r="AC49" s="206">
        <f>IF(AD5&gt;(MIN('First Mortgage Sizing'!$D$33,'Pro Forma Assumptions'!$D$24)),0,AC86)</f>
        <v>0</v>
      </c>
      <c r="AD49" s="206">
        <f>IF(AE5&gt;(MIN('First Mortgage Sizing'!$D$33,'Pro Forma Assumptions'!$D$24)),0,AD86)</f>
        <v>0</v>
      </c>
      <c r="AE49" s="206">
        <f>IF(AF5&gt;(MIN('First Mortgage Sizing'!$D$33,'Pro Forma Assumptions'!$D$24)),0,AE86)</f>
        <v>0</v>
      </c>
      <c r="AF49" s="206">
        <f>IF(AG5&gt;(MIN('First Mortgage Sizing'!$D$33,'Pro Forma Assumptions'!$D$24)),0,AF86)</f>
        <v>0</v>
      </c>
      <c r="AG49" s="207">
        <f>IF(AH4&gt;(MIN('First Mortgage Sizing'!$D$33,'Pro Forma Assumptions'!$D$24)),0,AG86)</f>
        <v>0</v>
      </c>
      <c r="AH49" s="57"/>
    </row>
    <row r="50" spans="3:34" s="21" customFormat="1" ht="15" customHeight="1" x14ac:dyDescent="0.2">
      <c r="C50" s="200" t="s">
        <v>10</v>
      </c>
      <c r="D50" s="180">
        <f>IF(E5&gt;(MIN('First Mortgage Sizing'!$D$62,'Pro Forma Assumptions'!$D$24)),0,'Operating Pro Forma'!D91)</f>
        <v>0</v>
      </c>
      <c r="E50" s="180">
        <f>IF(F5&gt;(MIN('First Mortgage Sizing'!$D$62,'Pro Forma Assumptions'!$D$24)),0,'Operating Pro Forma'!E91)</f>
        <v>0</v>
      </c>
      <c r="F50" s="180">
        <f>IF(G5&gt;(MIN('First Mortgage Sizing'!$D$62,'Pro Forma Assumptions'!$D$24)),0,'Operating Pro Forma'!F91)</f>
        <v>0</v>
      </c>
      <c r="G50" s="180">
        <f>IF(H5&gt;(MIN('First Mortgage Sizing'!$D$62,'Pro Forma Assumptions'!$D$24)),0,'Operating Pro Forma'!G91)</f>
        <v>0</v>
      </c>
      <c r="H50" s="180">
        <f>IF(I5&gt;(MIN('First Mortgage Sizing'!$D$62,'Pro Forma Assumptions'!$D$24)),0,'Operating Pro Forma'!H91)</f>
        <v>0</v>
      </c>
      <c r="I50" s="180">
        <f>IF(J5&gt;(MIN('First Mortgage Sizing'!$D$62,'Pro Forma Assumptions'!$D$24)),0,'Operating Pro Forma'!I91)</f>
        <v>0</v>
      </c>
      <c r="J50" s="180">
        <f>IF(K5&gt;(MIN('First Mortgage Sizing'!$D$62,'Pro Forma Assumptions'!$D$24)),0,'Operating Pro Forma'!J91)</f>
        <v>0</v>
      </c>
      <c r="K50" s="180">
        <f>IF(L5&gt;(MIN('First Mortgage Sizing'!$D$62,'Pro Forma Assumptions'!$D$24)),0,'Operating Pro Forma'!K91)</f>
        <v>0</v>
      </c>
      <c r="L50" s="180">
        <f>IF(M5&gt;(MIN('First Mortgage Sizing'!$D$62,'Pro Forma Assumptions'!$D$24)),0,'Operating Pro Forma'!L91)</f>
        <v>0</v>
      </c>
      <c r="M50" s="180">
        <f>IF(N5&gt;(MIN('First Mortgage Sizing'!$D$62,'Pro Forma Assumptions'!$D$24)),0,'Operating Pro Forma'!M91)</f>
        <v>0</v>
      </c>
      <c r="N50" s="180">
        <f>IF(O5&gt;(MIN('First Mortgage Sizing'!$D$62,'Pro Forma Assumptions'!$D$24)),0,'Operating Pro Forma'!N91)</f>
        <v>0</v>
      </c>
      <c r="O50" s="180">
        <f>IF(P5&gt;(MIN('First Mortgage Sizing'!$D$62,'Pro Forma Assumptions'!$D$24)),0,'Operating Pro Forma'!O91)</f>
        <v>0</v>
      </c>
      <c r="P50" s="180">
        <f>IF(Q5&gt;(MIN('First Mortgage Sizing'!$D$62,'Pro Forma Assumptions'!$D$24)),0,'Operating Pro Forma'!P91)</f>
        <v>0</v>
      </c>
      <c r="Q50" s="180">
        <f>IF(R5&gt;(MIN('First Mortgage Sizing'!$D$62,'Pro Forma Assumptions'!$D$24)),0,'Operating Pro Forma'!Q91)</f>
        <v>0</v>
      </c>
      <c r="R50" s="180">
        <f>IF(S5&gt;(MIN('First Mortgage Sizing'!$D$62,'Pro Forma Assumptions'!$D$24)),0,'Operating Pro Forma'!R91)</f>
        <v>0</v>
      </c>
      <c r="S50" s="180">
        <f>IF(T5&gt;(MIN('First Mortgage Sizing'!$D$62,'Pro Forma Assumptions'!$D$24)),0,'Operating Pro Forma'!S91)</f>
        <v>0</v>
      </c>
      <c r="T50" s="180">
        <f>IF(U5&gt;(MIN('First Mortgage Sizing'!$D$62,'Pro Forma Assumptions'!$D$24)),0,'Operating Pro Forma'!T91)</f>
        <v>0</v>
      </c>
      <c r="U50" s="180">
        <f>IF(V5&gt;(MIN('First Mortgage Sizing'!$D$62,'Pro Forma Assumptions'!$D$24)),0,'Operating Pro Forma'!U91)</f>
        <v>0</v>
      </c>
      <c r="V50" s="180">
        <f>IF(W5&gt;(MIN('First Mortgage Sizing'!$D$62,'Pro Forma Assumptions'!$D$24)),0,'Operating Pro Forma'!V91)</f>
        <v>0</v>
      </c>
      <c r="W50" s="180">
        <f>IF(X5&gt;(MIN('First Mortgage Sizing'!$D$62,'Pro Forma Assumptions'!$D$24)),0,'Operating Pro Forma'!W91)</f>
        <v>0</v>
      </c>
      <c r="X50" s="180">
        <f>IF(Y5&gt;(MIN('First Mortgage Sizing'!$D$62,'Pro Forma Assumptions'!$D$24)),0,'Operating Pro Forma'!X91)</f>
        <v>0</v>
      </c>
      <c r="Y50" s="180">
        <f>IF(Z5&gt;(MIN('First Mortgage Sizing'!$D$62,'Pro Forma Assumptions'!$D$24)),0,'Operating Pro Forma'!Y91)</f>
        <v>0</v>
      </c>
      <c r="Z50" s="180">
        <f>IF(AA5&gt;(MIN('First Mortgage Sizing'!$D$62,'Pro Forma Assumptions'!$D$24)),0,'Operating Pro Forma'!Z91)</f>
        <v>0</v>
      </c>
      <c r="AA50" s="180">
        <f>IF(AB5&gt;(MIN('First Mortgage Sizing'!$D$62,'Pro Forma Assumptions'!$D$24)),0,'Operating Pro Forma'!AA91)</f>
        <v>0</v>
      </c>
      <c r="AB50" s="180">
        <f>IF(AC5&gt;(MIN('First Mortgage Sizing'!$D$62,'Pro Forma Assumptions'!$D$24)),0,'Operating Pro Forma'!AB91)</f>
        <v>0</v>
      </c>
      <c r="AC50" s="180">
        <f>IF(AD5&gt;(MIN('First Mortgage Sizing'!$D$62,'Pro Forma Assumptions'!$D$24)),0,'Operating Pro Forma'!AC91)</f>
        <v>0</v>
      </c>
      <c r="AD50" s="180">
        <f>IF(AE5&gt;(MIN('First Mortgage Sizing'!$D$62,'Pro Forma Assumptions'!$D$24)),0,'Operating Pro Forma'!AD91)</f>
        <v>0</v>
      </c>
      <c r="AE50" s="180">
        <f>IF(AF5&gt;(MIN('First Mortgage Sizing'!$D$62,'Pro Forma Assumptions'!$D$24)),0,'Operating Pro Forma'!AE91)</f>
        <v>0</v>
      </c>
      <c r="AF50" s="180">
        <f>IF(AG5&gt;(MIN('First Mortgage Sizing'!$D$62,'Pro Forma Assumptions'!$D$24)),0,'Operating Pro Forma'!AF91)</f>
        <v>0</v>
      </c>
      <c r="AG50" s="181">
        <f>IF(AH4&gt;(MIN('First Mortgage Sizing'!$D$62,'Pro Forma Assumptions'!$D$24)),0,'Operating Pro Forma'!AG91)</f>
        <v>0</v>
      </c>
      <c r="AH50" s="117"/>
    </row>
    <row r="51" spans="3:34" s="21" customFormat="1" ht="15" customHeight="1" x14ac:dyDescent="0.2">
      <c r="C51" s="200" t="s">
        <v>153</v>
      </c>
      <c r="D51" s="180">
        <f>IF(D$5&gt;(MIN('First Mortgage Sizing'!$D$73,'Pro Forma Assumptions'!$D$24)),0,-D93)</f>
        <v>1400000</v>
      </c>
      <c r="E51" s="180">
        <f>IF(E$5&gt;(MIN('First Mortgage Sizing'!$D$73,'Pro Forma Assumptions'!$D$24)),0,-E93)</f>
        <v>1400000</v>
      </c>
      <c r="F51" s="180">
        <f>IF(F$5&gt;(MIN('First Mortgage Sizing'!$D$73,'Pro Forma Assumptions'!$D$24)),0,-F93)</f>
        <v>1400000</v>
      </c>
      <c r="G51" s="180">
        <f>IF(G$5&gt;(MIN('First Mortgage Sizing'!$D$73,'Pro Forma Assumptions'!$D$24)),0,-G93)</f>
        <v>1400000</v>
      </c>
      <c r="H51" s="180">
        <f>IF(H$5&gt;(MIN('First Mortgage Sizing'!$D$73,'Pro Forma Assumptions'!$D$24)),0,-H93)</f>
        <v>1400000</v>
      </c>
      <c r="I51" s="180">
        <f>IF(I$5&gt;(MIN('First Mortgage Sizing'!$D$73,'Pro Forma Assumptions'!$D$24)),0,-I93)</f>
        <v>1400000</v>
      </c>
      <c r="J51" s="180">
        <f>IF(J$5&gt;(MIN('First Mortgage Sizing'!$D$73,'Pro Forma Assumptions'!$D$24)),0,-J93)</f>
        <v>1400000</v>
      </c>
      <c r="K51" s="180">
        <f>IF(K$5&gt;(MIN('First Mortgage Sizing'!$D$73,'Pro Forma Assumptions'!$D$24)),0,-K93)</f>
        <v>1400000</v>
      </c>
      <c r="L51" s="180">
        <f>IF(L$5&gt;(MIN('First Mortgage Sizing'!$D$73,'Pro Forma Assumptions'!$D$24)),0,-L93)</f>
        <v>1400000</v>
      </c>
      <c r="M51" s="180">
        <f>IF(M$5&gt;(MIN('First Mortgage Sizing'!$D$73,'Pro Forma Assumptions'!$D$24)),0,-M93)</f>
        <v>1400000</v>
      </c>
      <c r="N51" s="180">
        <f>IF(N$5&gt;(MIN('First Mortgage Sizing'!$D$73,'Pro Forma Assumptions'!$D$24)),0,-N93)</f>
        <v>1400000</v>
      </c>
      <c r="O51" s="180">
        <f>IF(O$5&gt;(MIN('First Mortgage Sizing'!$D$73,'Pro Forma Assumptions'!$D$24)),0,-O93)</f>
        <v>1400000</v>
      </c>
      <c r="P51" s="180">
        <f>IF(P$5&gt;(MIN('First Mortgage Sizing'!$D$73,'Pro Forma Assumptions'!$D$24)),0,-P93)</f>
        <v>1400000</v>
      </c>
      <c r="Q51" s="180">
        <f>IF(Q$5&gt;(MIN('First Mortgage Sizing'!$D$73,'Pro Forma Assumptions'!$D$24)),0,-Q93)</f>
        <v>1400000</v>
      </c>
      <c r="R51" s="180">
        <f>IF(R$5&gt;(MIN('First Mortgage Sizing'!$D$73,'Pro Forma Assumptions'!$D$24)),0,-R93)</f>
        <v>1400000</v>
      </c>
      <c r="S51" s="180">
        <f>IF(S$5&gt;(MIN('First Mortgage Sizing'!$D$73,'Pro Forma Assumptions'!$D$24)),0,-S93)</f>
        <v>1400000</v>
      </c>
      <c r="T51" s="180">
        <f>IF(T$5&gt;(MIN('First Mortgage Sizing'!$D$73,'Pro Forma Assumptions'!$D$24)),0,-T93)</f>
        <v>1400000</v>
      </c>
      <c r="U51" s="180">
        <f>IF(U$5&gt;(MIN('First Mortgage Sizing'!$D$73,'Pro Forma Assumptions'!$D$24)),0,-U93)</f>
        <v>1400000</v>
      </c>
      <c r="V51" s="180">
        <f>IF(V$5&gt;(MIN('First Mortgage Sizing'!$D$73,'Pro Forma Assumptions'!$D$24)),0,-V93)</f>
        <v>1400000</v>
      </c>
      <c r="W51" s="180">
        <f>IF(W$5&gt;(MIN('First Mortgage Sizing'!$D$73,'Pro Forma Assumptions'!$D$24)),0,-W93)</f>
        <v>1400000</v>
      </c>
      <c r="X51" s="180">
        <f>IF(X$5&gt;(MIN('First Mortgage Sizing'!$D$73,'Pro Forma Assumptions'!$D$24)),0,-X93)</f>
        <v>1400000</v>
      </c>
      <c r="Y51" s="180">
        <f>IF(Y$5&gt;(MIN('First Mortgage Sizing'!$D$73,'Pro Forma Assumptions'!$D$24)),0,-Y93)</f>
        <v>1400000</v>
      </c>
      <c r="Z51" s="180">
        <f>IF(Z$5&gt;(MIN('First Mortgage Sizing'!$D$73,'Pro Forma Assumptions'!$D$24)),0,-Z93)</f>
        <v>1400000</v>
      </c>
      <c r="AA51" s="180">
        <f>IF(AA$5&gt;(MIN('First Mortgage Sizing'!$D$73,'Pro Forma Assumptions'!$D$24)),0,-AA93)</f>
        <v>1400000</v>
      </c>
      <c r="AB51" s="180">
        <f>IF(AB$5&gt;(MIN('First Mortgage Sizing'!$D$73,'Pro Forma Assumptions'!$D$24)),0,-AB93)</f>
        <v>1400000</v>
      </c>
      <c r="AC51" s="180">
        <f>IF(AC$5&gt;(MIN('First Mortgage Sizing'!$D$73,'Pro Forma Assumptions'!$D$24)),0,-AC93)</f>
        <v>1400000</v>
      </c>
      <c r="AD51" s="180">
        <f>IF(AD$5&gt;(MIN('First Mortgage Sizing'!$D$73,'Pro Forma Assumptions'!$D$24)),0,-AD93)</f>
        <v>1400000</v>
      </c>
      <c r="AE51" s="180">
        <f>IF(AE$5&gt;(MIN('First Mortgage Sizing'!$D$73,'Pro Forma Assumptions'!$D$24)),0,-AE93)</f>
        <v>1400000</v>
      </c>
      <c r="AF51" s="180">
        <f>IF(AF$5&gt;(MIN('First Mortgage Sizing'!$D$73,'Pro Forma Assumptions'!$D$24)),0,-AF93)</f>
        <v>1400000</v>
      </c>
      <c r="AG51" s="181">
        <f>IF(AG$5&gt;(MIN('First Mortgage Sizing'!$D$73,'Pro Forma Assumptions'!$D$24)),0,-AG93)</f>
        <v>1400000</v>
      </c>
      <c r="AH51" s="117"/>
    </row>
    <row r="52" spans="3:34" s="21" customFormat="1" ht="15" customHeight="1" x14ac:dyDescent="0.2">
      <c r="C52" s="201" t="s">
        <v>154</v>
      </c>
      <c r="D52" s="208">
        <f>IF(D$5&gt;(MIN('First Mortgage Sizing'!$D$73,'Pro Forma Assumptions'!$D$24)),0,-D94)</f>
        <v>0</v>
      </c>
      <c r="E52" s="208">
        <f>IF(E$5&gt;(MIN('First Mortgage Sizing'!$D$73,'Pro Forma Assumptions'!$D$24)),0,-E94)</f>
        <v>0</v>
      </c>
      <c r="F52" s="208">
        <f>IF(F$5&gt;(MIN('First Mortgage Sizing'!$D$73,'Pro Forma Assumptions'!$D$24)),0,-F94)</f>
        <v>0</v>
      </c>
      <c r="G52" s="208">
        <f>IF(G$5&gt;(MIN('First Mortgage Sizing'!$D$73,'Pro Forma Assumptions'!$D$24)),0,-G94)</f>
        <v>0</v>
      </c>
      <c r="H52" s="208">
        <f>IF(H$5&gt;(MIN('First Mortgage Sizing'!$D$73,'Pro Forma Assumptions'!$D$24)),0,-H94)</f>
        <v>0</v>
      </c>
      <c r="I52" s="208">
        <f>IF(I$5&gt;(MIN('First Mortgage Sizing'!$D$73,'Pro Forma Assumptions'!$D$24)),0,-I94)</f>
        <v>0</v>
      </c>
      <c r="J52" s="208">
        <f>IF(J$5&gt;(MIN('First Mortgage Sizing'!$D$73,'Pro Forma Assumptions'!$D$24)),0,-J94)</f>
        <v>0</v>
      </c>
      <c r="K52" s="208">
        <f>IF(K$5&gt;(MIN('First Mortgage Sizing'!$D$73,'Pro Forma Assumptions'!$D$24)),0,-K94)</f>
        <v>0</v>
      </c>
      <c r="L52" s="208">
        <f>IF(L$5&gt;(MIN('First Mortgage Sizing'!$D$73,'Pro Forma Assumptions'!$D$24)),0,-L94)</f>
        <v>0</v>
      </c>
      <c r="M52" s="208">
        <f>IF(M$5&gt;(MIN('First Mortgage Sizing'!$D$73,'Pro Forma Assumptions'!$D$24)),0,-M94)</f>
        <v>0</v>
      </c>
      <c r="N52" s="208">
        <f>IF(N$5&gt;(MIN('First Mortgage Sizing'!$D$73,'Pro Forma Assumptions'!$D$24)),0,-N94)</f>
        <v>0</v>
      </c>
      <c r="O52" s="208">
        <f>IF(O$5&gt;(MIN('First Mortgage Sizing'!$D$73,'Pro Forma Assumptions'!$D$24)),0,-O94)</f>
        <v>0</v>
      </c>
      <c r="P52" s="208">
        <f>IF(P$5&gt;(MIN('First Mortgage Sizing'!$D$73,'Pro Forma Assumptions'!$D$24)),0,-P94)</f>
        <v>0</v>
      </c>
      <c r="Q52" s="208">
        <f>IF(Q$5&gt;(MIN('First Mortgage Sizing'!$D$73,'Pro Forma Assumptions'!$D$24)),0,-Q94)</f>
        <v>0</v>
      </c>
      <c r="R52" s="208">
        <f>IF(R$5&gt;(MIN('First Mortgage Sizing'!$D$73,'Pro Forma Assumptions'!$D$24)),0,-R94)</f>
        <v>0</v>
      </c>
      <c r="S52" s="208">
        <f>IF(S$5&gt;(MIN('First Mortgage Sizing'!$D$73,'Pro Forma Assumptions'!$D$24)),0,-S94)</f>
        <v>0</v>
      </c>
      <c r="T52" s="208">
        <f>IF(T$5&gt;(MIN('First Mortgage Sizing'!$D$73,'Pro Forma Assumptions'!$D$24)),0,-T94)</f>
        <v>0</v>
      </c>
      <c r="U52" s="208">
        <f>IF(U$5&gt;(MIN('First Mortgage Sizing'!$D$73,'Pro Forma Assumptions'!$D$24)),0,-U94)</f>
        <v>0</v>
      </c>
      <c r="V52" s="208">
        <f>IF(V$5&gt;(MIN('First Mortgage Sizing'!$D$73,'Pro Forma Assumptions'!$D$24)),0,-V94)</f>
        <v>0</v>
      </c>
      <c r="W52" s="208">
        <f>IF(W$5&gt;(MIN('First Mortgage Sizing'!$D$73,'Pro Forma Assumptions'!$D$24)),0,-W94)</f>
        <v>0</v>
      </c>
      <c r="X52" s="208">
        <f>IF(X$5&gt;(MIN('First Mortgage Sizing'!$D$73,'Pro Forma Assumptions'!$D$24)),0,-X94)</f>
        <v>0</v>
      </c>
      <c r="Y52" s="208">
        <f>IF(Y$5&gt;(MIN('First Mortgage Sizing'!$D$73,'Pro Forma Assumptions'!$D$24)),0,-Y94)</f>
        <v>0</v>
      </c>
      <c r="Z52" s="208">
        <f>IF(Z$5&gt;(MIN('First Mortgage Sizing'!$D$73,'Pro Forma Assumptions'!$D$24)),0,-Z94)</f>
        <v>0</v>
      </c>
      <c r="AA52" s="208">
        <f>IF(AA$5&gt;(MIN('First Mortgage Sizing'!$D$73,'Pro Forma Assumptions'!$D$24)),0,-AA94)</f>
        <v>0</v>
      </c>
      <c r="AB52" s="208">
        <f>IF(AB$5&gt;(MIN('First Mortgage Sizing'!$D$73,'Pro Forma Assumptions'!$D$24)),0,-AB94)</f>
        <v>0</v>
      </c>
      <c r="AC52" s="208">
        <f>IF(AC$5&gt;(MIN('First Mortgage Sizing'!$D$73,'Pro Forma Assumptions'!$D$24)),0,-AC94)</f>
        <v>0</v>
      </c>
      <c r="AD52" s="208">
        <f>IF(AD$5&gt;(MIN('First Mortgage Sizing'!$D$73,'Pro Forma Assumptions'!$D$24)),0,-AD94)</f>
        <v>0</v>
      </c>
      <c r="AE52" s="208">
        <f>IF(AE$5&gt;(MIN('First Mortgage Sizing'!$D$73,'Pro Forma Assumptions'!$D$24)),0,-AE94)</f>
        <v>0</v>
      </c>
      <c r="AF52" s="208">
        <f>IF(AF$5&gt;(MIN('First Mortgage Sizing'!$D$73,'Pro Forma Assumptions'!$D$24)),0,-AF94)</f>
        <v>0</v>
      </c>
      <c r="AG52" s="209">
        <f>IF(AG$5&gt;(MIN('First Mortgage Sizing'!$D$73,'Pro Forma Assumptions'!$D$24)),0,-AG94)</f>
        <v>0</v>
      </c>
      <c r="AH52" s="117"/>
    </row>
    <row r="53" spans="3:34" s="21" customFormat="1" ht="15" customHeight="1" x14ac:dyDescent="0.2">
      <c r="C53" s="46"/>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117"/>
    </row>
    <row r="54" spans="3:34" s="21" customFormat="1" ht="15" customHeight="1" x14ac:dyDescent="0.2">
      <c r="C54" s="337" t="s">
        <v>723</v>
      </c>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117"/>
    </row>
    <row r="55" spans="3:34" s="21" customFormat="1" ht="15.75" customHeight="1" x14ac:dyDescent="0.2">
      <c r="C55" s="337"/>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117"/>
    </row>
    <row r="56" spans="3:34" s="21" customFormat="1" ht="15" customHeight="1" x14ac:dyDescent="0.2">
      <c r="C56" s="5"/>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row>
    <row r="57" spans="3:34" s="21" customFormat="1" ht="15" customHeight="1" x14ac:dyDescent="0.2">
      <c r="C57" s="5"/>
      <c r="F57" s="5"/>
      <c r="G57" s="6"/>
      <c r="H57" s="6"/>
      <c r="I57" s="6"/>
      <c r="J57" s="6"/>
      <c r="K57" s="6"/>
      <c r="L57" s="6"/>
      <c r="M57" s="6"/>
      <c r="N57" s="6"/>
      <c r="O57" s="6"/>
      <c r="P57" s="6"/>
      <c r="Q57" s="6"/>
      <c r="R57" s="6"/>
      <c r="S57" s="6"/>
      <c r="T57" s="6"/>
      <c r="U57" s="6"/>
      <c r="V57" s="6"/>
      <c r="W57" s="6"/>
      <c r="X57" s="6"/>
      <c r="Y57" s="6"/>
      <c r="Z57" s="6"/>
      <c r="AA57" s="6"/>
      <c r="AB57" s="6"/>
      <c r="AC57" s="6"/>
      <c r="AD57" s="6"/>
      <c r="AE57" s="6"/>
      <c r="AF57" s="6"/>
      <c r="AG57" s="6"/>
    </row>
    <row r="58" spans="3:34" s="21" customFormat="1" ht="15" customHeight="1" x14ac:dyDescent="0.2">
      <c r="C58" s="5"/>
      <c r="F58" s="5"/>
      <c r="G58" s="526"/>
      <c r="H58" s="6"/>
      <c r="I58" s="6"/>
      <c r="J58" s="6"/>
      <c r="K58" s="6"/>
      <c r="L58" s="6"/>
      <c r="M58" s="6"/>
      <c r="N58" s="6"/>
      <c r="O58" s="6"/>
      <c r="P58" s="6"/>
      <c r="Q58" s="6"/>
      <c r="R58" s="6"/>
      <c r="S58" s="6"/>
      <c r="T58" s="6"/>
      <c r="U58" s="6"/>
      <c r="V58" s="6"/>
      <c r="W58" s="6"/>
      <c r="X58" s="6"/>
      <c r="Y58" s="6"/>
      <c r="Z58" s="6"/>
      <c r="AA58" s="6"/>
      <c r="AB58" s="6"/>
      <c r="AC58" s="6"/>
      <c r="AD58" s="6"/>
      <c r="AE58" s="6"/>
      <c r="AF58" s="6"/>
      <c r="AG58" s="6"/>
    </row>
    <row r="59" spans="3:34" s="21" customFormat="1" ht="15" customHeight="1" x14ac:dyDescent="0.2">
      <c r="C59" s="5"/>
      <c r="F59" s="5"/>
      <c r="G59" s="6"/>
      <c r="H59" s="6"/>
      <c r="I59" s="6"/>
      <c r="J59" s="6"/>
      <c r="K59" s="6"/>
      <c r="L59" s="6"/>
      <c r="M59" s="6"/>
      <c r="N59" s="6"/>
      <c r="O59" s="6"/>
      <c r="P59" s="6"/>
      <c r="Q59" s="6"/>
      <c r="R59" s="6"/>
      <c r="S59" s="6"/>
      <c r="T59" s="6"/>
      <c r="U59" s="6"/>
      <c r="V59" s="6"/>
      <c r="W59" s="6"/>
      <c r="X59" s="6"/>
      <c r="Y59" s="6"/>
      <c r="Z59" s="6"/>
      <c r="AA59" s="6"/>
      <c r="AB59" s="6"/>
      <c r="AC59" s="6"/>
      <c r="AD59" s="6"/>
      <c r="AE59" s="6"/>
      <c r="AF59" s="6"/>
      <c r="AG59" s="6"/>
    </row>
    <row r="60" spans="3:34" s="21" customFormat="1" ht="15" customHeight="1" x14ac:dyDescent="0.2">
      <c r="C60" s="5"/>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row>
    <row r="61" spans="3:34" s="21" customFormat="1" ht="15" customHeight="1" x14ac:dyDescent="0.2">
      <c r="C61" s="5"/>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row>
    <row r="62" spans="3:34" s="21" customFormat="1" ht="23.25" hidden="1" customHeight="1" x14ac:dyDescent="0.2">
      <c r="C62" s="11" t="s">
        <v>195</v>
      </c>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row>
    <row r="63" spans="3:34" s="21" customFormat="1" ht="15" hidden="1" customHeight="1" x14ac:dyDescent="0.2">
      <c r="C63" s="5"/>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row>
    <row r="64" spans="3:34" s="21" customFormat="1" ht="15" hidden="1" customHeight="1" x14ac:dyDescent="0.2">
      <c r="C64" s="23" t="s">
        <v>189</v>
      </c>
      <c r="D64" s="6" t="str">
        <f>"Year "&amp;D$5</f>
        <v>Year 1</v>
      </c>
      <c r="E64" s="6" t="str">
        <f t="shared" ref="E64:AG64" si="5">"Year "&amp;E$5</f>
        <v>Year 2</v>
      </c>
      <c r="F64" s="6" t="str">
        <f t="shared" si="5"/>
        <v>Year 3</v>
      </c>
      <c r="G64" s="6" t="str">
        <f t="shared" si="5"/>
        <v>Year 4</v>
      </c>
      <c r="H64" s="6" t="str">
        <f t="shared" si="5"/>
        <v>Year 5</v>
      </c>
      <c r="I64" s="6" t="str">
        <f t="shared" si="5"/>
        <v>Year 6</v>
      </c>
      <c r="J64" s="6" t="str">
        <f t="shared" si="5"/>
        <v>Year 7</v>
      </c>
      <c r="K64" s="6" t="str">
        <f t="shared" si="5"/>
        <v>Year 8</v>
      </c>
      <c r="L64" s="6" t="str">
        <f t="shared" si="5"/>
        <v>Year 9</v>
      </c>
      <c r="M64" s="6" t="str">
        <f t="shared" si="5"/>
        <v>Year 10</v>
      </c>
      <c r="N64" s="6" t="str">
        <f t="shared" si="5"/>
        <v>Year 11</v>
      </c>
      <c r="O64" s="6" t="str">
        <f t="shared" si="5"/>
        <v>Year 12</v>
      </c>
      <c r="P64" s="6" t="str">
        <f t="shared" si="5"/>
        <v>Year 13</v>
      </c>
      <c r="Q64" s="6" t="str">
        <f t="shared" si="5"/>
        <v>Year 14</v>
      </c>
      <c r="R64" s="6" t="str">
        <f t="shared" si="5"/>
        <v>Year 15</v>
      </c>
      <c r="S64" s="6" t="str">
        <f t="shared" si="5"/>
        <v>Year 16</v>
      </c>
      <c r="T64" s="6" t="str">
        <f t="shared" si="5"/>
        <v>Year 17</v>
      </c>
      <c r="U64" s="6" t="str">
        <f t="shared" si="5"/>
        <v>Year 18</v>
      </c>
      <c r="V64" s="6" t="str">
        <f t="shared" si="5"/>
        <v>Year 19</v>
      </c>
      <c r="W64" s="6" t="str">
        <f t="shared" si="5"/>
        <v>Year 20</v>
      </c>
      <c r="X64" s="6" t="str">
        <f t="shared" si="5"/>
        <v>Year 21</v>
      </c>
      <c r="Y64" s="6" t="str">
        <f t="shared" si="5"/>
        <v>Year 22</v>
      </c>
      <c r="Z64" s="6" t="str">
        <f t="shared" si="5"/>
        <v>Year 23</v>
      </c>
      <c r="AA64" s="6" t="str">
        <f t="shared" si="5"/>
        <v>Year 24</v>
      </c>
      <c r="AB64" s="6" t="str">
        <f t="shared" si="5"/>
        <v>Year 25</v>
      </c>
      <c r="AC64" s="6" t="str">
        <f t="shared" si="5"/>
        <v>Year 26</v>
      </c>
      <c r="AD64" s="6" t="str">
        <f t="shared" si="5"/>
        <v>Year 27</v>
      </c>
      <c r="AE64" s="6" t="str">
        <f t="shared" si="5"/>
        <v>Year 28</v>
      </c>
      <c r="AF64" s="6" t="str">
        <f t="shared" si="5"/>
        <v>Year 29</v>
      </c>
      <c r="AG64" s="6" t="str">
        <f t="shared" si="5"/>
        <v>Year 30</v>
      </c>
    </row>
    <row r="65" spans="3:33" s="21" customFormat="1" ht="15" hidden="1" customHeight="1" x14ac:dyDescent="0.2">
      <c r="C65" s="5"/>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row>
    <row r="66" spans="3:33" s="211" customFormat="1" ht="15" hidden="1" customHeight="1" x14ac:dyDescent="0.2">
      <c r="C66" s="210" t="s">
        <v>155</v>
      </c>
      <c r="D66" s="441">
        <f>+'Rents and Income'!X31*12</f>
        <v>150864</v>
      </c>
      <c r="E66" s="441">
        <f>D66*(1+'Pro Forma Assumptions'!$D$17)</f>
        <v>153881.28</v>
      </c>
      <c r="F66" s="441">
        <f>E66*(1+'Pro Forma Assumptions'!$D$17)</f>
        <v>156958.9056</v>
      </c>
      <c r="G66" s="441">
        <f>F66*(1+'Pro Forma Assumptions'!$D$17)</f>
        <v>160098.08371199999</v>
      </c>
      <c r="H66" s="441">
        <f>G66*(1+'Pro Forma Assumptions'!$D$17)</f>
        <v>163300.04538624</v>
      </c>
      <c r="I66" s="441">
        <f>H66*(1+'Pro Forma Assumptions'!$D$17)</f>
        <v>166566.04629396481</v>
      </c>
      <c r="J66" s="441">
        <f>I66*(1+'Pro Forma Assumptions'!$D$17)</f>
        <v>169897.36721984411</v>
      </c>
      <c r="K66" s="441">
        <f>J66*(1+'Pro Forma Assumptions'!$D$17)</f>
        <v>173295.31456424098</v>
      </c>
      <c r="L66" s="441">
        <f>K66*(1+'Pro Forma Assumptions'!$D$17)</f>
        <v>176761.22085552581</v>
      </c>
      <c r="M66" s="441">
        <f>L66*(1+'Pro Forma Assumptions'!$D$17)</f>
        <v>180296.44527263634</v>
      </c>
      <c r="N66" s="441">
        <f>M66*(1+'Pro Forma Assumptions'!$D$17)</f>
        <v>183902.37417808906</v>
      </c>
      <c r="O66" s="441">
        <f>N66*(1+'Pro Forma Assumptions'!$D$17)</f>
        <v>187580.42166165085</v>
      </c>
      <c r="P66" s="441">
        <f>O66*(1+'Pro Forma Assumptions'!$D$17)</f>
        <v>191332.03009488387</v>
      </c>
      <c r="Q66" s="441">
        <f>P66*(1+'Pro Forma Assumptions'!$D$17)</f>
        <v>195158.67069678154</v>
      </c>
      <c r="R66" s="441">
        <f>Q66*(1+'Pro Forma Assumptions'!$D$17)</f>
        <v>199061.84411071718</v>
      </c>
      <c r="S66" s="441">
        <f>R66*(1+'Pro Forma Assumptions'!$D$17)</f>
        <v>203043.08099293153</v>
      </c>
      <c r="T66" s="441">
        <f>S66*(1+'Pro Forma Assumptions'!$D$17)</f>
        <v>207103.94261279015</v>
      </c>
      <c r="U66" s="441">
        <f>T66*(1+'Pro Forma Assumptions'!$D$17)</f>
        <v>211246.02146504595</v>
      </c>
      <c r="V66" s="441">
        <f>U66*(1+'Pro Forma Assumptions'!$D$17)</f>
        <v>215470.94189434688</v>
      </c>
      <c r="W66" s="441">
        <f>V66*(1+'Pro Forma Assumptions'!$D$17)</f>
        <v>219780.36073223382</v>
      </c>
      <c r="X66" s="441">
        <f>W66*(1+'Pro Forma Assumptions'!$D$17)</f>
        <v>224175.96794687849</v>
      </c>
      <c r="Y66" s="441">
        <f>X66*(1+'Pro Forma Assumptions'!$D$17)</f>
        <v>228659.48730581606</v>
      </c>
      <c r="Z66" s="441">
        <f>Y66*(1+'Pro Forma Assumptions'!$D$17)</f>
        <v>233232.67705193238</v>
      </c>
      <c r="AA66" s="441">
        <f>Z66*(1+'Pro Forma Assumptions'!$D$17)</f>
        <v>237897.33059297103</v>
      </c>
      <c r="AB66" s="441">
        <f>AA66*(1+'Pro Forma Assumptions'!$D$17)</f>
        <v>242655.27720483046</v>
      </c>
      <c r="AC66" s="441">
        <f>AB66*(1+'Pro Forma Assumptions'!$D$17)</f>
        <v>247508.38274892708</v>
      </c>
      <c r="AD66" s="441">
        <f>AC66*(1+'Pro Forma Assumptions'!$D$17)</f>
        <v>252458.55040390562</v>
      </c>
      <c r="AE66" s="441">
        <f>AD66*(1+'Pro Forma Assumptions'!$D$17)</f>
        <v>257507.72141198374</v>
      </c>
      <c r="AF66" s="441">
        <f>AE66*(1+'Pro Forma Assumptions'!$D$17)</f>
        <v>262657.87584022345</v>
      </c>
      <c r="AG66" s="441">
        <f>AF66*(1+'Pro Forma Assumptions'!$D$17)</f>
        <v>267911.03335702792</v>
      </c>
    </row>
    <row r="67" spans="3:33" s="211" customFormat="1" ht="15" hidden="1" customHeight="1" x14ac:dyDescent="0.2">
      <c r="C67" s="210" t="s">
        <v>156</v>
      </c>
      <c r="D67" s="441">
        <f>+'Rents and Income'!AA31*12</f>
        <v>216000</v>
      </c>
      <c r="E67" s="441">
        <f>D67*(1+'Pro Forma Assumptions'!$D$18)</f>
        <v>220320</v>
      </c>
      <c r="F67" s="441">
        <f>E67*(1+'Pro Forma Assumptions'!$D$18)</f>
        <v>224726.39999999999</v>
      </c>
      <c r="G67" s="441">
        <f>F67*(1+'Pro Forma Assumptions'!$D$18)</f>
        <v>229220.92799999999</v>
      </c>
      <c r="H67" s="441">
        <f>G67*(1+'Pro Forma Assumptions'!$D$18)</f>
        <v>233805.34655999998</v>
      </c>
      <c r="I67" s="441">
        <f>H67*(1+'Pro Forma Assumptions'!$D$18)</f>
        <v>238481.45349119999</v>
      </c>
      <c r="J67" s="441">
        <f>I67*(1+'Pro Forma Assumptions'!$D$18)</f>
        <v>243251.082561024</v>
      </c>
      <c r="K67" s="441">
        <f>J67*(1+'Pro Forma Assumptions'!$D$18)</f>
        <v>248116.10421224448</v>
      </c>
      <c r="L67" s="441">
        <f>K67*(1+'Pro Forma Assumptions'!$D$18)</f>
        <v>253078.42629648937</v>
      </c>
      <c r="M67" s="441">
        <f>L67*(1+'Pro Forma Assumptions'!$D$18)</f>
        <v>258139.99482241916</v>
      </c>
      <c r="N67" s="441">
        <f>M67*(1+'Pro Forma Assumptions'!$D$18)</f>
        <v>263302.79471886758</v>
      </c>
      <c r="O67" s="441">
        <f>N67*(1+'Pro Forma Assumptions'!$D$18)</f>
        <v>268568.85061324493</v>
      </c>
      <c r="P67" s="441">
        <f>O67*(1+'Pro Forma Assumptions'!$D$18)</f>
        <v>273940.22762550984</v>
      </c>
      <c r="Q67" s="441">
        <f>P67*(1+'Pro Forma Assumptions'!$D$18)</f>
        <v>279419.03217802005</v>
      </c>
      <c r="R67" s="441">
        <f>Q67*(1+'Pro Forma Assumptions'!$D$18)</f>
        <v>285007.41282158048</v>
      </c>
      <c r="S67" s="441">
        <f>R67*(1+'Pro Forma Assumptions'!$D$18)</f>
        <v>290707.56107801211</v>
      </c>
      <c r="T67" s="441">
        <f>S67*(1+'Pro Forma Assumptions'!$D$18)</f>
        <v>296521.71229957236</v>
      </c>
      <c r="U67" s="441">
        <f>T67*(1+'Pro Forma Assumptions'!$D$18)</f>
        <v>302452.14654556382</v>
      </c>
      <c r="V67" s="441">
        <f>U67*(1+'Pro Forma Assumptions'!$D$18)</f>
        <v>308501.18947647512</v>
      </c>
      <c r="W67" s="441">
        <f>V67*(1+'Pro Forma Assumptions'!$D$18)</f>
        <v>314671.21326600463</v>
      </c>
      <c r="X67" s="441">
        <f>W67*(1+'Pro Forma Assumptions'!$D$18)</f>
        <v>320964.63753132476</v>
      </c>
      <c r="Y67" s="441">
        <f>X67*(1+'Pro Forma Assumptions'!$D$18)</f>
        <v>327383.93028195127</v>
      </c>
      <c r="Z67" s="441">
        <f>Y67*(1+'Pro Forma Assumptions'!$D$18)</f>
        <v>333931.60888759029</v>
      </c>
      <c r="AA67" s="441">
        <f>Z67*(1+'Pro Forma Assumptions'!$D$18)</f>
        <v>340610.2410653421</v>
      </c>
      <c r="AB67" s="441">
        <f>AA67*(1+'Pro Forma Assumptions'!$D$18)</f>
        <v>347422.44588664896</v>
      </c>
      <c r="AC67" s="441">
        <f>AB67*(1+'Pro Forma Assumptions'!$D$18)</f>
        <v>354370.89480438194</v>
      </c>
      <c r="AD67" s="441">
        <f>AC67*(1+'Pro Forma Assumptions'!$D$18)</f>
        <v>361458.31270046957</v>
      </c>
      <c r="AE67" s="441">
        <f>AD67*(1+'Pro Forma Assumptions'!$D$18)</f>
        <v>368687.47895447898</v>
      </c>
      <c r="AF67" s="441">
        <f>AE67*(1+'Pro Forma Assumptions'!$D$18)</f>
        <v>376061.22853356856</v>
      </c>
      <c r="AG67" s="441">
        <f>AF67*(1+'Pro Forma Assumptions'!$D$18)</f>
        <v>383582.45310423995</v>
      </c>
    </row>
    <row r="68" spans="3:33" s="211" customFormat="1" ht="15" hidden="1" customHeight="1" x14ac:dyDescent="0.2">
      <c r="C68" s="210" t="s">
        <v>191</v>
      </c>
      <c r="D68" s="441">
        <f>IF(D5&lt;='Pro Forma Assumptions'!$D$7,'Operating Pro Forma'!D66,'Operating Pro Forma'!D67)</f>
        <v>150864</v>
      </c>
      <c r="E68" s="441">
        <f>IF(E5&lt;='Pro Forma Assumptions'!$D$7,'Operating Pro Forma'!E66,'Operating Pro Forma'!E67)</f>
        <v>153881.28</v>
      </c>
      <c r="F68" s="441">
        <f>IF(F5&lt;='Pro Forma Assumptions'!$D$7,'Operating Pro Forma'!F66,'Operating Pro Forma'!F67)</f>
        <v>156958.9056</v>
      </c>
      <c r="G68" s="441">
        <f>IF(G5&lt;='Pro Forma Assumptions'!$D$7,'Operating Pro Forma'!G66,'Operating Pro Forma'!G67)</f>
        <v>160098.08371199999</v>
      </c>
      <c r="H68" s="441">
        <f>IF(H5&lt;='Pro Forma Assumptions'!$D$7,'Operating Pro Forma'!H66,'Operating Pro Forma'!H67)</f>
        <v>163300.04538624</v>
      </c>
      <c r="I68" s="441">
        <f>IF(I5&lt;='Pro Forma Assumptions'!$D$7,'Operating Pro Forma'!I66,'Operating Pro Forma'!I67)</f>
        <v>166566.04629396481</v>
      </c>
      <c r="J68" s="441">
        <f>IF(J5&lt;='Pro Forma Assumptions'!$D$7,'Operating Pro Forma'!J66,'Operating Pro Forma'!J67)</f>
        <v>169897.36721984411</v>
      </c>
      <c r="K68" s="441">
        <f>IF(K5&lt;='Pro Forma Assumptions'!$D$7,'Operating Pro Forma'!K66,'Operating Pro Forma'!K67)</f>
        <v>173295.31456424098</v>
      </c>
      <c r="L68" s="441">
        <f>IF(L5&lt;='Pro Forma Assumptions'!$D$7,'Operating Pro Forma'!L66,'Operating Pro Forma'!L67)</f>
        <v>176761.22085552581</v>
      </c>
      <c r="M68" s="441">
        <f>IF(M5&lt;='Pro Forma Assumptions'!$D$7,'Operating Pro Forma'!M66,'Operating Pro Forma'!M67)</f>
        <v>180296.44527263634</v>
      </c>
      <c r="N68" s="441">
        <f>IF(N5&lt;='Pro Forma Assumptions'!$D$7,'Operating Pro Forma'!N66,'Operating Pro Forma'!N67)</f>
        <v>183902.37417808906</v>
      </c>
      <c r="O68" s="441">
        <f>IF(O5&lt;='Pro Forma Assumptions'!$D$7,'Operating Pro Forma'!O66,'Operating Pro Forma'!O67)</f>
        <v>187580.42166165085</v>
      </c>
      <c r="P68" s="441">
        <f>IF(P5&lt;='Pro Forma Assumptions'!$D$7,'Operating Pro Forma'!P66,'Operating Pro Forma'!P67)</f>
        <v>191332.03009488387</v>
      </c>
      <c r="Q68" s="441">
        <f>IF(Q5&lt;='Pro Forma Assumptions'!$D$7,'Operating Pro Forma'!Q66,'Operating Pro Forma'!Q67)</f>
        <v>195158.67069678154</v>
      </c>
      <c r="R68" s="441">
        <f>IF(R5&lt;='Pro Forma Assumptions'!$D$7,'Operating Pro Forma'!R66,'Operating Pro Forma'!R67)</f>
        <v>199061.84411071718</v>
      </c>
      <c r="S68" s="441">
        <f>IF(S5&lt;='Pro Forma Assumptions'!$D$7,'Operating Pro Forma'!S66,'Operating Pro Forma'!S67)</f>
        <v>290707.56107801211</v>
      </c>
      <c r="T68" s="441">
        <f>IF(T5&lt;='Pro Forma Assumptions'!$D$7,'Operating Pro Forma'!T66,'Operating Pro Forma'!T67)</f>
        <v>296521.71229957236</v>
      </c>
      <c r="U68" s="441">
        <f>IF(U5&lt;='Pro Forma Assumptions'!$D$7,'Operating Pro Forma'!U66,'Operating Pro Forma'!U67)</f>
        <v>302452.14654556382</v>
      </c>
      <c r="V68" s="441">
        <f>IF(V5&lt;='Pro Forma Assumptions'!$D$7,'Operating Pro Forma'!V66,'Operating Pro Forma'!V67)</f>
        <v>308501.18947647512</v>
      </c>
      <c r="W68" s="441">
        <f>IF(W5&lt;='Pro Forma Assumptions'!$D$7,'Operating Pro Forma'!W66,'Operating Pro Forma'!W67)</f>
        <v>314671.21326600463</v>
      </c>
      <c r="X68" s="441">
        <f>IF(X5&lt;='Pro Forma Assumptions'!$D$7,'Operating Pro Forma'!X66,'Operating Pro Forma'!X67)</f>
        <v>320964.63753132476</v>
      </c>
      <c r="Y68" s="441">
        <f>IF(Y5&lt;='Pro Forma Assumptions'!$D$7,'Operating Pro Forma'!Y66,'Operating Pro Forma'!Y67)</f>
        <v>327383.93028195127</v>
      </c>
      <c r="Z68" s="441">
        <f>IF(Z5&lt;='Pro Forma Assumptions'!$D$7,'Operating Pro Forma'!Z66,'Operating Pro Forma'!Z67)</f>
        <v>333931.60888759029</v>
      </c>
      <c r="AA68" s="441">
        <f>IF(AA5&lt;='Pro Forma Assumptions'!$D$7,'Operating Pro Forma'!AA66,'Operating Pro Forma'!AA67)</f>
        <v>340610.2410653421</v>
      </c>
      <c r="AB68" s="441">
        <f>IF(AB5&lt;='Pro Forma Assumptions'!$D$7,'Operating Pro Forma'!AB66,'Operating Pro Forma'!AB67)</f>
        <v>347422.44588664896</v>
      </c>
      <c r="AC68" s="441">
        <f>IF(AC5&lt;='Pro Forma Assumptions'!$D$7,'Operating Pro Forma'!AC66,'Operating Pro Forma'!AC67)</f>
        <v>354370.89480438194</v>
      </c>
      <c r="AD68" s="441">
        <f>IF(AD5&lt;='Pro Forma Assumptions'!$D$7,'Operating Pro Forma'!AD66,'Operating Pro Forma'!AD67)</f>
        <v>361458.31270046957</v>
      </c>
      <c r="AE68" s="441">
        <f>IF(AE5&lt;='Pro Forma Assumptions'!$D$7,'Operating Pro Forma'!AE66,'Operating Pro Forma'!AE67)</f>
        <v>368687.47895447898</v>
      </c>
      <c r="AF68" s="441">
        <f>IF(AF5&lt;='Pro Forma Assumptions'!$D$7,'Operating Pro Forma'!AF66,'Operating Pro Forma'!AF67)</f>
        <v>376061.22853356856</v>
      </c>
      <c r="AG68" s="441">
        <f>IF(AG5&lt;='Pro Forma Assumptions'!$D$7,'Operating Pro Forma'!AG66,'Operating Pro Forma'!AG67)</f>
        <v>383582.45310423995</v>
      </c>
    </row>
    <row r="69" spans="3:33" s="177" customFormat="1" ht="15" hidden="1" customHeight="1" x14ac:dyDescent="0.2">
      <c r="C69" s="210" t="s">
        <v>2</v>
      </c>
      <c r="D69" s="441">
        <f>+'Rents and Income'!Z31*12</f>
        <v>0</v>
      </c>
      <c r="E69" s="441">
        <f>D69*(1+'Pro Forma Assumptions'!$D$18)</f>
        <v>0</v>
      </c>
      <c r="F69" s="441">
        <f>E69*(1+'Pro Forma Assumptions'!$D$18)</f>
        <v>0</v>
      </c>
      <c r="G69" s="441">
        <f>F69*(1+'Pro Forma Assumptions'!$D$18)</f>
        <v>0</v>
      </c>
      <c r="H69" s="441">
        <f>G69*(1+'Pro Forma Assumptions'!$D$18)</f>
        <v>0</v>
      </c>
      <c r="I69" s="441">
        <f>H69*(1+'Pro Forma Assumptions'!$D$18)</f>
        <v>0</v>
      </c>
      <c r="J69" s="441">
        <f>I69*(1+'Pro Forma Assumptions'!$D$18)</f>
        <v>0</v>
      </c>
      <c r="K69" s="441">
        <f>J69*(1+'Pro Forma Assumptions'!$D$18)</f>
        <v>0</v>
      </c>
      <c r="L69" s="441">
        <f>K69*(1+'Pro Forma Assumptions'!$D$18)</f>
        <v>0</v>
      </c>
      <c r="M69" s="441">
        <f>L69*(1+'Pro Forma Assumptions'!$D$18)</f>
        <v>0</v>
      </c>
      <c r="N69" s="441">
        <f>M69*(1+'Pro Forma Assumptions'!$D$18)</f>
        <v>0</v>
      </c>
      <c r="O69" s="441">
        <f>N69*(1+'Pro Forma Assumptions'!$D$18)</f>
        <v>0</v>
      </c>
      <c r="P69" s="441">
        <f>O69*(1+'Pro Forma Assumptions'!$D$18)</f>
        <v>0</v>
      </c>
      <c r="Q69" s="441">
        <f>P69*(1+'Pro Forma Assumptions'!$D$18)</f>
        <v>0</v>
      </c>
      <c r="R69" s="441">
        <f>Q69*(1+'Pro Forma Assumptions'!$D$18)</f>
        <v>0</v>
      </c>
      <c r="S69" s="441">
        <f>R69*(1+'Pro Forma Assumptions'!$D$18)</f>
        <v>0</v>
      </c>
      <c r="T69" s="441">
        <f>S69*(1+'Pro Forma Assumptions'!$D$18)</f>
        <v>0</v>
      </c>
      <c r="U69" s="441">
        <f>T69*(1+'Pro Forma Assumptions'!$D$18)</f>
        <v>0</v>
      </c>
      <c r="V69" s="441">
        <f>U69*(1+'Pro Forma Assumptions'!$D$18)</f>
        <v>0</v>
      </c>
      <c r="W69" s="441">
        <f>V69*(1+'Pro Forma Assumptions'!$D$18)</f>
        <v>0</v>
      </c>
      <c r="X69" s="441">
        <f>W69*(1+'Pro Forma Assumptions'!$D$18)</f>
        <v>0</v>
      </c>
      <c r="Y69" s="441">
        <f>X69*(1+'Pro Forma Assumptions'!$D$18)</f>
        <v>0</v>
      </c>
      <c r="Z69" s="441">
        <f>Y69*(1+'Pro Forma Assumptions'!$D$18)</f>
        <v>0</v>
      </c>
      <c r="AA69" s="441">
        <f>Z69*(1+'Pro Forma Assumptions'!$D$18)</f>
        <v>0</v>
      </c>
      <c r="AB69" s="441">
        <f>AA69*(1+'Pro Forma Assumptions'!$D$18)</f>
        <v>0</v>
      </c>
      <c r="AC69" s="441">
        <f>AB69*(1+'Pro Forma Assumptions'!$D$18)</f>
        <v>0</v>
      </c>
      <c r="AD69" s="441">
        <f>AC69*(1+'Pro Forma Assumptions'!$D$18)</f>
        <v>0</v>
      </c>
      <c r="AE69" s="441">
        <f>AD69*(1+'Pro Forma Assumptions'!$D$18)</f>
        <v>0</v>
      </c>
      <c r="AF69" s="441">
        <f>AE69*(1+'Pro Forma Assumptions'!$D$18)</f>
        <v>0</v>
      </c>
      <c r="AG69" s="441">
        <f>AF69*(1+'Pro Forma Assumptions'!$D$18)</f>
        <v>0</v>
      </c>
    </row>
    <row r="70" spans="3:33" s="177" customFormat="1" ht="15" hidden="1" customHeight="1" x14ac:dyDescent="0.2">
      <c r="C70" s="210" t="s">
        <v>157</v>
      </c>
      <c r="D70" s="441">
        <f>+'Rents and Income'!Y31*12</f>
        <v>0</v>
      </c>
      <c r="E70" s="441">
        <f>D70*(1+'Pro Forma Assumptions'!$D$19)</f>
        <v>0</v>
      </c>
      <c r="F70" s="441">
        <f>E70*(1+'Pro Forma Assumptions'!$D$19)</f>
        <v>0</v>
      </c>
      <c r="G70" s="441">
        <f>F70*(1+'Pro Forma Assumptions'!$D$19)</f>
        <v>0</v>
      </c>
      <c r="H70" s="441">
        <f>G70*(1+'Pro Forma Assumptions'!$D$19)</f>
        <v>0</v>
      </c>
      <c r="I70" s="441">
        <f>H70*(1+'Pro Forma Assumptions'!$D$19)</f>
        <v>0</v>
      </c>
      <c r="J70" s="441">
        <f>I70*(1+'Pro Forma Assumptions'!$D$19)</f>
        <v>0</v>
      </c>
      <c r="K70" s="441">
        <f>J70*(1+'Pro Forma Assumptions'!$D$19)</f>
        <v>0</v>
      </c>
      <c r="L70" s="441">
        <f>K70*(1+'Pro Forma Assumptions'!$D$19)</f>
        <v>0</v>
      </c>
      <c r="M70" s="441">
        <f>L70*(1+'Pro Forma Assumptions'!$D$19)</f>
        <v>0</v>
      </c>
      <c r="N70" s="441">
        <f>M70*(1+'Pro Forma Assumptions'!$D$19)</f>
        <v>0</v>
      </c>
      <c r="O70" s="441">
        <f>N70*(1+'Pro Forma Assumptions'!$D$19)</f>
        <v>0</v>
      </c>
      <c r="P70" s="441">
        <f>O70*(1+'Pro Forma Assumptions'!$D$19)</f>
        <v>0</v>
      </c>
      <c r="Q70" s="441">
        <f>P70*(1+'Pro Forma Assumptions'!$D$19)</f>
        <v>0</v>
      </c>
      <c r="R70" s="441">
        <f>Q70*(1+'Pro Forma Assumptions'!$D$19)</f>
        <v>0</v>
      </c>
      <c r="S70" s="441">
        <f>R70*(1+'Pro Forma Assumptions'!$D$19)</f>
        <v>0</v>
      </c>
      <c r="T70" s="441">
        <f>S70*(1+'Pro Forma Assumptions'!$D$19)</f>
        <v>0</v>
      </c>
      <c r="U70" s="441">
        <f>T70*(1+'Pro Forma Assumptions'!$D$19)</f>
        <v>0</v>
      </c>
      <c r="V70" s="441">
        <f>U70*(1+'Pro Forma Assumptions'!$D$19)</f>
        <v>0</v>
      </c>
      <c r="W70" s="441">
        <f>V70*(1+'Pro Forma Assumptions'!$D$19)</f>
        <v>0</v>
      </c>
      <c r="X70" s="441">
        <f>W70*(1+'Pro Forma Assumptions'!$D$19)</f>
        <v>0</v>
      </c>
      <c r="Y70" s="441">
        <f>X70*(1+'Pro Forma Assumptions'!$D$19)</f>
        <v>0</v>
      </c>
      <c r="Z70" s="441">
        <f>Y70*(1+'Pro Forma Assumptions'!$D$19)</f>
        <v>0</v>
      </c>
      <c r="AA70" s="441">
        <f>Z70*(1+'Pro Forma Assumptions'!$D$19)</f>
        <v>0</v>
      </c>
      <c r="AB70" s="441">
        <f>AA70*(1+'Pro Forma Assumptions'!$D$19)</f>
        <v>0</v>
      </c>
      <c r="AC70" s="441">
        <f>AB70*(1+'Pro Forma Assumptions'!$D$19)</f>
        <v>0</v>
      </c>
      <c r="AD70" s="441">
        <f>AC70*(1+'Pro Forma Assumptions'!$D$19)</f>
        <v>0</v>
      </c>
      <c r="AE70" s="441">
        <f>AD70*(1+'Pro Forma Assumptions'!$D$19)</f>
        <v>0</v>
      </c>
      <c r="AF70" s="441">
        <f>AE70*(1+'Pro Forma Assumptions'!$D$19)</f>
        <v>0</v>
      </c>
      <c r="AG70" s="441">
        <f>AF70*(1+'Pro Forma Assumptions'!$D$19)</f>
        <v>0</v>
      </c>
    </row>
    <row r="71" spans="3:33" s="177" customFormat="1" ht="15" hidden="1" customHeight="1" x14ac:dyDescent="0.2">
      <c r="C71" s="210" t="s">
        <v>158</v>
      </c>
      <c r="D71" s="442">
        <f>+'Rents and Income'!AB31*12</f>
        <v>0</v>
      </c>
      <c r="E71" s="442">
        <f>D71*(1+'Pro Forma Assumptions'!$D$18)</f>
        <v>0</v>
      </c>
      <c r="F71" s="442">
        <f>E71*(1+'Pro Forma Assumptions'!$D$18)</f>
        <v>0</v>
      </c>
      <c r="G71" s="442">
        <f>F71*(1+'Pro Forma Assumptions'!$D$18)</f>
        <v>0</v>
      </c>
      <c r="H71" s="442">
        <f>G71*(1+'Pro Forma Assumptions'!$D$18)</f>
        <v>0</v>
      </c>
      <c r="I71" s="442">
        <f>H71*(1+'Pro Forma Assumptions'!$D$18)</f>
        <v>0</v>
      </c>
      <c r="J71" s="442">
        <f>I71*(1+'Pro Forma Assumptions'!$D$18)</f>
        <v>0</v>
      </c>
      <c r="K71" s="442">
        <f>J71*(1+'Pro Forma Assumptions'!$D$18)</f>
        <v>0</v>
      </c>
      <c r="L71" s="442">
        <f>K71*(1+'Pro Forma Assumptions'!$D$18)</f>
        <v>0</v>
      </c>
      <c r="M71" s="442">
        <f>L71*(1+'Pro Forma Assumptions'!$D$18)</f>
        <v>0</v>
      </c>
      <c r="N71" s="442">
        <f>M71*(1+'Pro Forma Assumptions'!$D$18)</f>
        <v>0</v>
      </c>
      <c r="O71" s="442">
        <f>N71*(1+'Pro Forma Assumptions'!$D$18)</f>
        <v>0</v>
      </c>
      <c r="P71" s="442">
        <f>O71*(1+'Pro Forma Assumptions'!$D$18)</f>
        <v>0</v>
      </c>
      <c r="Q71" s="442">
        <f>P71*(1+'Pro Forma Assumptions'!$D$18)</f>
        <v>0</v>
      </c>
      <c r="R71" s="442">
        <f>Q71*(1+'Pro Forma Assumptions'!$D$18)</f>
        <v>0</v>
      </c>
      <c r="S71" s="442">
        <f>R71*(1+'Pro Forma Assumptions'!$D$18)</f>
        <v>0</v>
      </c>
      <c r="T71" s="442">
        <f>S71*(1+'Pro Forma Assumptions'!$D$18)</f>
        <v>0</v>
      </c>
      <c r="U71" s="442">
        <f>T71*(1+'Pro Forma Assumptions'!$D$18)</f>
        <v>0</v>
      </c>
      <c r="V71" s="442">
        <f>U71*(1+'Pro Forma Assumptions'!$D$18)</f>
        <v>0</v>
      </c>
      <c r="W71" s="442">
        <f>V71*(1+'Pro Forma Assumptions'!$D$18)</f>
        <v>0</v>
      </c>
      <c r="X71" s="442">
        <f>W71*(1+'Pro Forma Assumptions'!$D$18)</f>
        <v>0</v>
      </c>
      <c r="Y71" s="442">
        <f>X71*(1+'Pro Forma Assumptions'!$D$18)</f>
        <v>0</v>
      </c>
      <c r="Z71" s="442">
        <f>Y71*(1+'Pro Forma Assumptions'!$D$18)</f>
        <v>0</v>
      </c>
      <c r="AA71" s="442">
        <f>Z71*(1+'Pro Forma Assumptions'!$D$18)</f>
        <v>0</v>
      </c>
      <c r="AB71" s="442">
        <f>AA71*(1+'Pro Forma Assumptions'!$D$18)</f>
        <v>0</v>
      </c>
      <c r="AC71" s="442">
        <f>AB71*(1+'Pro Forma Assumptions'!$D$18)</f>
        <v>0</v>
      </c>
      <c r="AD71" s="442">
        <f>AC71*(1+'Pro Forma Assumptions'!$D$18)</f>
        <v>0</v>
      </c>
      <c r="AE71" s="442">
        <f>AD71*(1+'Pro Forma Assumptions'!$D$18)</f>
        <v>0</v>
      </c>
      <c r="AF71" s="442">
        <f>AE71*(1+'Pro Forma Assumptions'!$D$18)</f>
        <v>0</v>
      </c>
      <c r="AG71" s="442">
        <f>AF71*(1+'Pro Forma Assumptions'!$D$18)</f>
        <v>0</v>
      </c>
    </row>
    <row r="72" spans="3:33" s="177" customFormat="1" ht="15" hidden="1" customHeight="1" x14ac:dyDescent="0.2">
      <c r="C72" s="210" t="s">
        <v>192</v>
      </c>
      <c r="D72" s="441">
        <f>IF(D5&lt;='Pro Forma Assumptions'!$D$12,'Operating Pro Forma'!D70,'Operating Pro Forma'!D71)</f>
        <v>0</v>
      </c>
      <c r="E72" s="441">
        <f>IF(E5&lt;='Pro Forma Assumptions'!$D$12,'Operating Pro Forma'!E70,'Operating Pro Forma'!E71)</f>
        <v>0</v>
      </c>
      <c r="F72" s="441">
        <f>IF(F5&lt;='Pro Forma Assumptions'!$D$12,'Operating Pro Forma'!F70,'Operating Pro Forma'!F71)</f>
        <v>0</v>
      </c>
      <c r="G72" s="441">
        <f>IF(G5&lt;='Pro Forma Assumptions'!$D$12,'Operating Pro Forma'!G70,'Operating Pro Forma'!G71)</f>
        <v>0</v>
      </c>
      <c r="H72" s="441">
        <f>IF(H5&lt;='Pro Forma Assumptions'!$D$12,'Operating Pro Forma'!H70,'Operating Pro Forma'!H71)</f>
        <v>0</v>
      </c>
      <c r="I72" s="441">
        <f>IF(I5&lt;='Pro Forma Assumptions'!$D$12,'Operating Pro Forma'!I70,'Operating Pro Forma'!I71)</f>
        <v>0</v>
      </c>
      <c r="J72" s="441">
        <f>IF(J5&lt;='Pro Forma Assumptions'!$D$12,'Operating Pro Forma'!J70,'Operating Pro Forma'!J71)</f>
        <v>0</v>
      </c>
      <c r="K72" s="441">
        <f>IF(K5&lt;='Pro Forma Assumptions'!$D$12,'Operating Pro Forma'!K70,'Operating Pro Forma'!K71)</f>
        <v>0</v>
      </c>
      <c r="L72" s="441">
        <f>IF(L5&lt;='Pro Forma Assumptions'!$D$12,'Operating Pro Forma'!L70,'Operating Pro Forma'!L71)</f>
        <v>0</v>
      </c>
      <c r="M72" s="441">
        <f>IF(M5&lt;='Pro Forma Assumptions'!$D$12,'Operating Pro Forma'!M70,'Operating Pro Forma'!M71)</f>
        <v>0</v>
      </c>
      <c r="N72" s="441">
        <f>IF(N5&lt;='Pro Forma Assumptions'!$D$12,'Operating Pro Forma'!N70,'Operating Pro Forma'!N71)</f>
        <v>0</v>
      </c>
      <c r="O72" s="441">
        <f>IF(O5&lt;='Pro Forma Assumptions'!$D$12,'Operating Pro Forma'!O70,'Operating Pro Forma'!O71)</f>
        <v>0</v>
      </c>
      <c r="P72" s="441">
        <f>IF(P5&lt;='Pro Forma Assumptions'!$D$12,'Operating Pro Forma'!P70,'Operating Pro Forma'!P71)</f>
        <v>0</v>
      </c>
      <c r="Q72" s="441">
        <f>IF(Q5&lt;='Pro Forma Assumptions'!$D$12,'Operating Pro Forma'!Q70,'Operating Pro Forma'!Q71)</f>
        <v>0</v>
      </c>
      <c r="R72" s="441">
        <f>IF(R5&lt;='Pro Forma Assumptions'!$D$12,'Operating Pro Forma'!R70,'Operating Pro Forma'!R71)</f>
        <v>0</v>
      </c>
      <c r="S72" s="441">
        <f>IF(S5&lt;='Pro Forma Assumptions'!$D$12,'Operating Pro Forma'!S70,'Operating Pro Forma'!S71)</f>
        <v>0</v>
      </c>
      <c r="T72" s="441">
        <f>IF(T5&lt;='Pro Forma Assumptions'!$D$12,'Operating Pro Forma'!T70,'Operating Pro Forma'!T71)</f>
        <v>0</v>
      </c>
      <c r="U72" s="441">
        <f>IF(U5&lt;='Pro Forma Assumptions'!$D$12,'Operating Pro Forma'!U70,'Operating Pro Forma'!U71)</f>
        <v>0</v>
      </c>
      <c r="V72" s="441">
        <f>IF(V5&lt;='Pro Forma Assumptions'!$D$12,'Operating Pro Forma'!V70,'Operating Pro Forma'!V71)</f>
        <v>0</v>
      </c>
      <c r="W72" s="441">
        <f>IF(W5&lt;='Pro Forma Assumptions'!$D$12,'Operating Pro Forma'!W70,'Operating Pro Forma'!W71)</f>
        <v>0</v>
      </c>
      <c r="X72" s="441">
        <f>IF(X5&lt;='Pro Forma Assumptions'!$D$12,'Operating Pro Forma'!X70,'Operating Pro Forma'!X71)</f>
        <v>0</v>
      </c>
      <c r="Y72" s="441">
        <f>IF(Y5&lt;='Pro Forma Assumptions'!$D$12,'Operating Pro Forma'!Y70,'Operating Pro Forma'!Y71)</f>
        <v>0</v>
      </c>
      <c r="Z72" s="441">
        <f>IF(Z5&lt;='Pro Forma Assumptions'!$D$12,'Operating Pro Forma'!Z70,'Operating Pro Forma'!Z71)</f>
        <v>0</v>
      </c>
      <c r="AA72" s="441">
        <f>IF(AA5&lt;='Pro Forma Assumptions'!$D$12,'Operating Pro Forma'!AA70,'Operating Pro Forma'!AA71)</f>
        <v>0</v>
      </c>
      <c r="AB72" s="441">
        <f>IF(AB5&lt;='Pro Forma Assumptions'!$D$12,'Operating Pro Forma'!AB70,'Operating Pro Forma'!AB71)</f>
        <v>0</v>
      </c>
      <c r="AC72" s="441">
        <f>IF(AC5&lt;='Pro Forma Assumptions'!$D$12,'Operating Pro Forma'!AC70,'Operating Pro Forma'!AC71)</f>
        <v>0</v>
      </c>
      <c r="AD72" s="441">
        <f>IF(AD5&lt;='Pro Forma Assumptions'!$D$12,'Operating Pro Forma'!AD70,'Operating Pro Forma'!AD71)</f>
        <v>0</v>
      </c>
      <c r="AE72" s="441">
        <f>IF(AE5&lt;='Pro Forma Assumptions'!$D$12,'Operating Pro Forma'!AE70,'Operating Pro Forma'!AE71)</f>
        <v>0</v>
      </c>
      <c r="AF72" s="441">
        <f>IF(AF5&lt;='Pro Forma Assumptions'!$D$12,'Operating Pro Forma'!AF70,'Operating Pro Forma'!AF71)</f>
        <v>0</v>
      </c>
      <c r="AG72" s="441">
        <f>IF(AG5&lt;='Pro Forma Assumptions'!$D$12,'Operating Pro Forma'!AG70,'Operating Pro Forma'!AG71)</f>
        <v>0</v>
      </c>
    </row>
    <row r="73" spans="3:33" s="177" customFormat="1" ht="15" hidden="1" customHeight="1" x14ac:dyDescent="0.2">
      <c r="C73" s="178"/>
      <c r="D73" s="442"/>
      <c r="E73" s="442"/>
      <c r="F73" s="442"/>
      <c r="G73" s="442"/>
      <c r="H73" s="442"/>
      <c r="I73" s="442"/>
      <c r="J73" s="442"/>
      <c r="K73" s="442"/>
      <c r="L73" s="442"/>
      <c r="M73" s="442"/>
      <c r="N73" s="442"/>
      <c r="O73" s="442"/>
      <c r="P73" s="442"/>
      <c r="Q73" s="442"/>
      <c r="R73" s="442"/>
      <c r="S73" s="442"/>
      <c r="T73" s="442"/>
      <c r="U73" s="442"/>
      <c r="V73" s="442"/>
      <c r="W73" s="442"/>
      <c r="X73" s="442"/>
      <c r="Y73" s="442"/>
      <c r="Z73" s="442"/>
      <c r="AA73" s="442"/>
      <c r="AB73" s="442"/>
      <c r="AC73" s="442"/>
      <c r="AD73" s="442"/>
      <c r="AE73" s="442"/>
      <c r="AF73" s="442"/>
      <c r="AG73" s="442"/>
    </row>
    <row r="74" spans="3:33" s="177" customFormat="1" ht="15" hidden="1" customHeight="1" x14ac:dyDescent="0.2">
      <c r="C74" s="210" t="s">
        <v>58</v>
      </c>
      <c r="D74" s="441">
        <f>'Rents and Income'!$E$48*12</f>
        <v>2400</v>
      </c>
      <c r="E74" s="441">
        <f>D74*(1+'Pro Forma Assumptions'!$D$20)</f>
        <v>2448</v>
      </c>
      <c r="F74" s="441">
        <f>E74*(1+'Pro Forma Assumptions'!$D$20)</f>
        <v>2496.96</v>
      </c>
      <c r="G74" s="441">
        <f>F74*(1+'Pro Forma Assumptions'!$D$20)</f>
        <v>2546.8992000000003</v>
      </c>
      <c r="H74" s="441">
        <f>G74*(1+'Pro Forma Assumptions'!$D$20)</f>
        <v>2597.8371840000004</v>
      </c>
      <c r="I74" s="441">
        <f>H74*(1+'Pro Forma Assumptions'!$D$20)</f>
        <v>2649.7939276800007</v>
      </c>
      <c r="J74" s="441">
        <f>I74*(1+'Pro Forma Assumptions'!$D$20)</f>
        <v>2702.7898062336008</v>
      </c>
      <c r="K74" s="441">
        <f>J74*(1+'Pro Forma Assumptions'!$D$20)</f>
        <v>2756.845602358273</v>
      </c>
      <c r="L74" s="441">
        <f>K74*(1+'Pro Forma Assumptions'!$D$20)</f>
        <v>2811.9825144054385</v>
      </c>
      <c r="M74" s="441">
        <f>L74*(1+'Pro Forma Assumptions'!$D$20)</f>
        <v>2868.2221646935473</v>
      </c>
      <c r="N74" s="441">
        <f>M74*(1+'Pro Forma Assumptions'!$D$20)</f>
        <v>2925.5866079874181</v>
      </c>
      <c r="O74" s="441">
        <f>N74*(1+'Pro Forma Assumptions'!$D$20)</f>
        <v>2984.0983401471667</v>
      </c>
      <c r="P74" s="441">
        <f>O74*(1+'Pro Forma Assumptions'!$D$20)</f>
        <v>3043.7803069501101</v>
      </c>
      <c r="Q74" s="441">
        <f>P74*(1+'Pro Forma Assumptions'!$D$20)</f>
        <v>3104.6559130891123</v>
      </c>
      <c r="R74" s="441">
        <f>Q74*(1+'Pro Forma Assumptions'!$D$20)</f>
        <v>3166.7490313508947</v>
      </c>
      <c r="S74" s="441">
        <f>R74*(1+'Pro Forma Assumptions'!$D$20)</f>
        <v>3230.0840119779127</v>
      </c>
      <c r="T74" s="441">
        <f>S74*(1+'Pro Forma Assumptions'!$D$20)</f>
        <v>3294.6856922174711</v>
      </c>
      <c r="U74" s="441">
        <f>T74*(1+'Pro Forma Assumptions'!$D$20)</f>
        <v>3360.5794060618205</v>
      </c>
      <c r="V74" s="441">
        <f>U74*(1+'Pro Forma Assumptions'!$D$20)</f>
        <v>3427.7909941830571</v>
      </c>
      <c r="W74" s="441">
        <f>V74*(1+'Pro Forma Assumptions'!$D$20)</f>
        <v>3496.3468140667183</v>
      </c>
      <c r="X74" s="441">
        <f>W74*(1+'Pro Forma Assumptions'!$D$20)</f>
        <v>3566.2737503480525</v>
      </c>
      <c r="Y74" s="441">
        <f>X74*(1+'Pro Forma Assumptions'!$D$20)</f>
        <v>3637.5992253550135</v>
      </c>
      <c r="Z74" s="441">
        <f>Y74*(1+'Pro Forma Assumptions'!$D$20)</f>
        <v>3710.3512098621136</v>
      </c>
      <c r="AA74" s="441">
        <f>Z74*(1+'Pro Forma Assumptions'!$D$20)</f>
        <v>3784.558234059356</v>
      </c>
      <c r="AB74" s="441">
        <f>AA74*(1+'Pro Forma Assumptions'!$D$20)</f>
        <v>3860.2493987405433</v>
      </c>
      <c r="AC74" s="441">
        <f>AB74*(1+'Pro Forma Assumptions'!$D$20)</f>
        <v>3937.4543867153543</v>
      </c>
      <c r="AD74" s="441">
        <f>AC74*(1+'Pro Forma Assumptions'!$D$20)</f>
        <v>4016.2034744496614</v>
      </c>
      <c r="AE74" s="441">
        <f>AD74*(1+'Pro Forma Assumptions'!$D$20)</f>
        <v>4096.5275439386551</v>
      </c>
      <c r="AF74" s="441">
        <f>AE74*(1+'Pro Forma Assumptions'!$D$20)</f>
        <v>4178.458094817428</v>
      </c>
      <c r="AG74" s="441">
        <f>AF74*(1+'Pro Forma Assumptions'!$D$20)</f>
        <v>4262.0272567137763</v>
      </c>
    </row>
    <row r="75" spans="3:33" s="177" customFormat="1" ht="15" hidden="1" customHeight="1" x14ac:dyDescent="0.2">
      <c r="C75" s="178"/>
      <c r="D75" s="442"/>
      <c r="E75" s="442"/>
      <c r="F75" s="442"/>
      <c r="G75" s="442"/>
      <c r="H75" s="442"/>
      <c r="I75" s="442"/>
      <c r="J75" s="442"/>
      <c r="K75" s="442"/>
      <c r="L75" s="442"/>
      <c r="M75" s="442"/>
      <c r="N75" s="442"/>
      <c r="O75" s="442"/>
      <c r="P75" s="442"/>
      <c r="Q75" s="442"/>
      <c r="R75" s="442"/>
      <c r="S75" s="442"/>
      <c r="T75" s="442"/>
      <c r="U75" s="442"/>
      <c r="V75" s="442"/>
      <c r="W75" s="442"/>
      <c r="X75" s="442"/>
      <c r="Y75" s="442"/>
      <c r="Z75" s="442"/>
      <c r="AA75" s="442"/>
      <c r="AB75" s="442"/>
      <c r="AC75" s="442"/>
      <c r="AD75" s="442"/>
      <c r="AE75" s="442"/>
      <c r="AF75" s="442"/>
      <c r="AG75" s="442"/>
    </row>
    <row r="76" spans="3:33" s="177" customFormat="1" ht="15" hidden="1" customHeight="1" x14ac:dyDescent="0.2">
      <c r="C76" s="210" t="s">
        <v>402</v>
      </c>
      <c r="D76" s="441">
        <f>D7*'Rents and Income'!E38</f>
        <v>30172.800000000003</v>
      </c>
      <c r="E76" s="441">
        <f>E7*'Rents and Income'!$E$39</f>
        <v>10771.670000000002</v>
      </c>
      <c r="F76" s="441">
        <f>F7*'Rents and Income'!$E$39</f>
        <v>10987.130000000001</v>
      </c>
      <c r="G76" s="441">
        <f>G7*'Rents and Income'!$E$39</f>
        <v>11206.86</v>
      </c>
      <c r="H76" s="441">
        <f>H7*'Rents and Income'!$E$39</f>
        <v>11431.000000000002</v>
      </c>
      <c r="I76" s="441">
        <f>I7*'Rents and Income'!$E$39</f>
        <v>11659.62</v>
      </c>
      <c r="J76" s="441">
        <f>J7*'Rents and Income'!$E$39</f>
        <v>11892.79</v>
      </c>
      <c r="K76" s="441">
        <f>K7*'Rents and Income'!$E$39</f>
        <v>12130.650000000001</v>
      </c>
      <c r="L76" s="441">
        <f>L7*'Rents and Income'!$E$39</f>
        <v>12373.27</v>
      </c>
      <c r="M76" s="441">
        <f>M7*'Rents and Income'!$E$39</f>
        <v>12620.720000000001</v>
      </c>
      <c r="N76" s="441">
        <f>N7*'Rents and Income'!$E$39</f>
        <v>12873.140000000001</v>
      </c>
      <c r="O76" s="441">
        <f>O7*'Rents and Income'!$E$39</f>
        <v>13130.6</v>
      </c>
      <c r="P76" s="441">
        <f>P7*'Rents and Income'!$E$39</f>
        <v>13393.240000000002</v>
      </c>
      <c r="Q76" s="441">
        <f>Q7*'Rents and Income'!$E$39</f>
        <v>13661.130000000001</v>
      </c>
      <c r="R76" s="441">
        <f>R7*'Rents and Income'!$E$39</f>
        <v>13934.340000000002</v>
      </c>
      <c r="S76" s="441">
        <f>S7*'Rents and Income'!$E$39</f>
        <v>20349.560000000001</v>
      </c>
      <c r="T76" s="441">
        <f>T7*'Rents and Income'!$E$39</f>
        <v>20756.54</v>
      </c>
      <c r="U76" s="441">
        <f>U7*'Rents and Income'!$E$39</f>
        <v>21171.640000000003</v>
      </c>
      <c r="V76" s="441">
        <f>V7*'Rents and Income'!$E$39</f>
        <v>21595.070000000003</v>
      </c>
      <c r="W76" s="441">
        <f>W7*'Rents and Income'!$E$39</f>
        <v>22026.97</v>
      </c>
      <c r="X76" s="441">
        <f>X7*'Rents and Income'!$E$39</f>
        <v>22467.550000000003</v>
      </c>
      <c r="Y76" s="441">
        <f>Y7*'Rents and Income'!$E$39</f>
        <v>22916.880000000001</v>
      </c>
      <c r="Z76" s="441">
        <f>Z7*'Rents and Income'!$E$39</f>
        <v>23375.24</v>
      </c>
      <c r="AA76" s="441">
        <f>AA7*'Rents and Income'!$E$39</f>
        <v>23842.7</v>
      </c>
      <c r="AB76" s="441">
        <f>AB7*'Rents and Income'!$E$39</f>
        <v>24319.54</v>
      </c>
      <c r="AC76" s="441">
        <f>AC7*'Rents and Income'!$E$39</f>
        <v>24805.97</v>
      </c>
      <c r="AD76" s="441">
        <f>AD7*'Rents and Income'!$E$39</f>
        <v>25302.06</v>
      </c>
      <c r="AE76" s="441">
        <f>AE7*'Rents and Income'!$E$39</f>
        <v>25808.090000000004</v>
      </c>
      <c r="AF76" s="441">
        <f>AF7*'Rents and Income'!$E$39</f>
        <v>26324.270000000004</v>
      </c>
      <c r="AG76" s="441">
        <f>AG7*'Rents and Income'!$E$39</f>
        <v>26850.74</v>
      </c>
    </row>
    <row r="77" spans="3:33" s="177" customFormat="1" ht="15" hidden="1" customHeight="1" x14ac:dyDescent="0.2">
      <c r="C77" s="210" t="s">
        <v>403</v>
      </c>
      <c r="D77" s="441">
        <f>D8*'Rents and Income'!F38</f>
        <v>0</v>
      </c>
      <c r="E77" s="441">
        <f>E8*'Rents and Income'!$F$39</f>
        <v>0</v>
      </c>
      <c r="F77" s="441">
        <f>F8*'Rents and Income'!$F$39</f>
        <v>0</v>
      </c>
      <c r="G77" s="441">
        <f>G8*'Rents and Income'!$F$39</f>
        <v>0</v>
      </c>
      <c r="H77" s="441">
        <f>H8*'Rents and Income'!$F$39</f>
        <v>0</v>
      </c>
      <c r="I77" s="441">
        <f>I8*'Rents and Income'!$F$39</f>
        <v>0</v>
      </c>
      <c r="J77" s="441">
        <f>J8*'Rents and Income'!$F$39</f>
        <v>0</v>
      </c>
      <c r="K77" s="441">
        <f>K8*'Rents and Income'!$F$39</f>
        <v>0</v>
      </c>
      <c r="L77" s="441">
        <f>L8*'Rents and Income'!$F$39</f>
        <v>0</v>
      </c>
      <c r="M77" s="441">
        <f>M8*'Rents and Income'!$F$39</f>
        <v>0</v>
      </c>
      <c r="N77" s="441">
        <f>N8*'Rents and Income'!$F$39</f>
        <v>0</v>
      </c>
      <c r="O77" s="441">
        <f>O8*'Rents and Income'!$F$39</f>
        <v>0</v>
      </c>
      <c r="P77" s="441">
        <f>P8*'Rents and Income'!$F$39</f>
        <v>0</v>
      </c>
      <c r="Q77" s="441">
        <f>Q8*'Rents and Income'!$F$39</f>
        <v>0</v>
      </c>
      <c r="R77" s="441">
        <f>R8*'Rents and Income'!$F$39</f>
        <v>0</v>
      </c>
      <c r="S77" s="441">
        <f>S8*'Rents and Income'!$F$39</f>
        <v>0</v>
      </c>
      <c r="T77" s="441">
        <f>T8*'Rents and Income'!$F$39</f>
        <v>0</v>
      </c>
      <c r="U77" s="441">
        <f>U8*'Rents and Income'!$F$39</f>
        <v>0</v>
      </c>
      <c r="V77" s="441">
        <f>V8*'Rents and Income'!$F$39</f>
        <v>0</v>
      </c>
      <c r="W77" s="441">
        <f>W8*'Rents and Income'!$F$39</f>
        <v>0</v>
      </c>
      <c r="X77" s="441">
        <f>X8*'Rents and Income'!$F$39</f>
        <v>0</v>
      </c>
      <c r="Y77" s="441">
        <f>Y8*'Rents and Income'!$F$39</f>
        <v>0</v>
      </c>
      <c r="Z77" s="441">
        <f>Z8*'Rents and Income'!$F$39</f>
        <v>0</v>
      </c>
      <c r="AA77" s="441">
        <f>AA8*'Rents and Income'!$F$39</f>
        <v>0</v>
      </c>
      <c r="AB77" s="441">
        <f>AB8*'Rents and Income'!$F$39</f>
        <v>0</v>
      </c>
      <c r="AC77" s="441">
        <f>AC8*'Rents and Income'!$F$39</f>
        <v>0</v>
      </c>
      <c r="AD77" s="441">
        <f>AD8*'Rents and Income'!$F$39</f>
        <v>0</v>
      </c>
      <c r="AE77" s="441">
        <f>AE8*'Rents and Income'!$F$39</f>
        <v>0</v>
      </c>
      <c r="AF77" s="441">
        <f>AF8*'Rents and Income'!$F$39</f>
        <v>0</v>
      </c>
      <c r="AG77" s="441">
        <f>AG8*'Rents and Income'!$F$39</f>
        <v>0</v>
      </c>
    </row>
    <row r="78" spans="3:33" s="177" customFormat="1" ht="15" hidden="1" customHeight="1" x14ac:dyDescent="0.2">
      <c r="C78" s="210" t="s">
        <v>405</v>
      </c>
      <c r="D78" s="441">
        <f>D9*'Rents and Income'!G38</f>
        <v>0</v>
      </c>
      <c r="E78" s="441">
        <f>E9*'Rents and Income'!$G$39</f>
        <v>0</v>
      </c>
      <c r="F78" s="441">
        <f>F9*'Rents and Income'!$G$39</f>
        <v>0</v>
      </c>
      <c r="G78" s="441">
        <f>G9*'Rents and Income'!$G$39</f>
        <v>0</v>
      </c>
      <c r="H78" s="441">
        <f>H9*'Rents and Income'!$G$39</f>
        <v>0</v>
      </c>
      <c r="I78" s="441">
        <f>I9*'Rents and Income'!$G$39</f>
        <v>0</v>
      </c>
      <c r="J78" s="441">
        <f>J9*'Rents and Income'!$G$39</f>
        <v>0</v>
      </c>
      <c r="K78" s="441">
        <f>K9*'Rents and Income'!$G$39</f>
        <v>0</v>
      </c>
      <c r="L78" s="441">
        <f>L9*'Rents and Income'!$G$39</f>
        <v>0</v>
      </c>
      <c r="M78" s="441">
        <f>M9*'Rents and Income'!$G$39</f>
        <v>0</v>
      </c>
      <c r="N78" s="441">
        <f>N9*'Rents and Income'!$G$39</f>
        <v>0</v>
      </c>
      <c r="O78" s="441">
        <f>O9*'Rents and Income'!$G$39</f>
        <v>0</v>
      </c>
      <c r="P78" s="441">
        <f>P9*'Rents and Income'!$G$39</f>
        <v>0</v>
      </c>
      <c r="Q78" s="441">
        <f>Q9*'Rents and Income'!$G$39</f>
        <v>0</v>
      </c>
      <c r="R78" s="441">
        <f>R9*'Rents and Income'!$G$39</f>
        <v>0</v>
      </c>
      <c r="S78" s="441">
        <f>S9*'Rents and Income'!$G$39</f>
        <v>0</v>
      </c>
      <c r="T78" s="441">
        <f>T9*'Rents and Income'!$G$39</f>
        <v>0</v>
      </c>
      <c r="U78" s="441">
        <f>U9*'Rents and Income'!$G$39</f>
        <v>0</v>
      </c>
      <c r="V78" s="441">
        <f>V9*'Rents and Income'!$G$39</f>
        <v>0</v>
      </c>
      <c r="W78" s="441">
        <f>W9*'Rents and Income'!$G$39</f>
        <v>0</v>
      </c>
      <c r="X78" s="441">
        <f>X9*'Rents and Income'!$G$39</f>
        <v>0</v>
      </c>
      <c r="Y78" s="441">
        <f>Y9*'Rents and Income'!$G$39</f>
        <v>0</v>
      </c>
      <c r="Z78" s="441">
        <f>Z9*'Rents and Income'!$G$39</f>
        <v>0</v>
      </c>
      <c r="AA78" s="441">
        <f>AA9*'Rents and Income'!$G$39</f>
        <v>0</v>
      </c>
      <c r="AB78" s="441">
        <f>AB9*'Rents and Income'!$G$39</f>
        <v>0</v>
      </c>
      <c r="AC78" s="441">
        <f>AC9*'Rents and Income'!$G$39</f>
        <v>0</v>
      </c>
      <c r="AD78" s="441">
        <f>AD9*'Rents and Income'!$G$39</f>
        <v>0</v>
      </c>
      <c r="AE78" s="441">
        <f>AE9*'Rents and Income'!$G$39</f>
        <v>0</v>
      </c>
      <c r="AF78" s="441">
        <f>AF9*'Rents and Income'!$G$39</f>
        <v>0</v>
      </c>
      <c r="AG78" s="441">
        <f>AG9*'Rents and Income'!$G$39</f>
        <v>0</v>
      </c>
    </row>
    <row r="79" spans="3:33" s="177" customFormat="1" ht="15" hidden="1" customHeight="1" x14ac:dyDescent="0.2">
      <c r="C79" s="210" t="s">
        <v>404</v>
      </c>
      <c r="D79" s="441">
        <f>SUM(D76:D78)</f>
        <v>30172.800000000003</v>
      </c>
      <c r="E79" s="441">
        <f t="shared" ref="E79:AG79" si="6">SUM(E76:E78)</f>
        <v>10771.670000000002</v>
      </c>
      <c r="F79" s="441">
        <f t="shared" si="6"/>
        <v>10987.130000000001</v>
      </c>
      <c r="G79" s="441">
        <f t="shared" si="6"/>
        <v>11206.86</v>
      </c>
      <c r="H79" s="441">
        <f t="shared" si="6"/>
        <v>11431.000000000002</v>
      </c>
      <c r="I79" s="441">
        <f t="shared" si="6"/>
        <v>11659.62</v>
      </c>
      <c r="J79" s="441">
        <f t="shared" si="6"/>
        <v>11892.79</v>
      </c>
      <c r="K79" s="441">
        <f t="shared" si="6"/>
        <v>12130.650000000001</v>
      </c>
      <c r="L79" s="441">
        <f t="shared" si="6"/>
        <v>12373.27</v>
      </c>
      <c r="M79" s="441">
        <f t="shared" si="6"/>
        <v>12620.720000000001</v>
      </c>
      <c r="N79" s="441">
        <f t="shared" si="6"/>
        <v>12873.140000000001</v>
      </c>
      <c r="O79" s="441">
        <f t="shared" si="6"/>
        <v>13130.6</v>
      </c>
      <c r="P79" s="441">
        <f t="shared" si="6"/>
        <v>13393.240000000002</v>
      </c>
      <c r="Q79" s="441">
        <f t="shared" si="6"/>
        <v>13661.130000000001</v>
      </c>
      <c r="R79" s="441">
        <f t="shared" si="6"/>
        <v>13934.340000000002</v>
      </c>
      <c r="S79" s="441">
        <f t="shared" si="6"/>
        <v>20349.560000000001</v>
      </c>
      <c r="T79" s="441">
        <f t="shared" si="6"/>
        <v>20756.54</v>
      </c>
      <c r="U79" s="441">
        <f t="shared" si="6"/>
        <v>21171.640000000003</v>
      </c>
      <c r="V79" s="441">
        <f t="shared" si="6"/>
        <v>21595.070000000003</v>
      </c>
      <c r="W79" s="441">
        <f t="shared" si="6"/>
        <v>22026.97</v>
      </c>
      <c r="X79" s="441">
        <f t="shared" si="6"/>
        <v>22467.550000000003</v>
      </c>
      <c r="Y79" s="441">
        <f t="shared" si="6"/>
        <v>22916.880000000001</v>
      </c>
      <c r="Z79" s="441">
        <f t="shared" si="6"/>
        <v>23375.24</v>
      </c>
      <c r="AA79" s="441">
        <f t="shared" si="6"/>
        <v>23842.7</v>
      </c>
      <c r="AB79" s="441">
        <f t="shared" si="6"/>
        <v>24319.54</v>
      </c>
      <c r="AC79" s="441">
        <f t="shared" si="6"/>
        <v>24805.97</v>
      </c>
      <c r="AD79" s="441">
        <f t="shared" si="6"/>
        <v>25302.06</v>
      </c>
      <c r="AE79" s="441">
        <f t="shared" si="6"/>
        <v>25808.090000000004</v>
      </c>
      <c r="AF79" s="441">
        <f t="shared" si="6"/>
        <v>26324.270000000004</v>
      </c>
      <c r="AG79" s="441">
        <f t="shared" si="6"/>
        <v>26850.74</v>
      </c>
    </row>
    <row r="80" spans="3:33" s="21" customFormat="1" ht="15" hidden="1" customHeight="1" x14ac:dyDescent="0.2">
      <c r="C80" s="5"/>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row>
    <row r="81" spans="3:258" s="21" customFormat="1" ht="15" hidden="1" customHeight="1" x14ac:dyDescent="0.2">
      <c r="C81" s="23" t="s">
        <v>190</v>
      </c>
      <c r="D81" s="6" t="str">
        <f>"Year "&amp;D$5</f>
        <v>Year 1</v>
      </c>
      <c r="E81" s="6" t="str">
        <f t="shared" ref="E81:AG81" si="7">"Year "&amp;E$5</f>
        <v>Year 2</v>
      </c>
      <c r="F81" s="6" t="str">
        <f t="shared" si="7"/>
        <v>Year 3</v>
      </c>
      <c r="G81" s="6" t="str">
        <f t="shared" si="7"/>
        <v>Year 4</v>
      </c>
      <c r="H81" s="6" t="str">
        <f t="shared" si="7"/>
        <v>Year 5</v>
      </c>
      <c r="I81" s="6" t="str">
        <f t="shared" si="7"/>
        <v>Year 6</v>
      </c>
      <c r="J81" s="6" t="str">
        <f t="shared" si="7"/>
        <v>Year 7</v>
      </c>
      <c r="K81" s="6" t="str">
        <f t="shared" si="7"/>
        <v>Year 8</v>
      </c>
      <c r="L81" s="6" t="str">
        <f t="shared" si="7"/>
        <v>Year 9</v>
      </c>
      <c r="M81" s="6" t="str">
        <f t="shared" si="7"/>
        <v>Year 10</v>
      </c>
      <c r="N81" s="6" t="str">
        <f t="shared" si="7"/>
        <v>Year 11</v>
      </c>
      <c r="O81" s="6" t="str">
        <f t="shared" si="7"/>
        <v>Year 12</v>
      </c>
      <c r="P81" s="6" t="str">
        <f t="shared" si="7"/>
        <v>Year 13</v>
      </c>
      <c r="Q81" s="6" t="str">
        <f t="shared" si="7"/>
        <v>Year 14</v>
      </c>
      <c r="R81" s="6" t="str">
        <f t="shared" si="7"/>
        <v>Year 15</v>
      </c>
      <c r="S81" s="6" t="str">
        <f t="shared" si="7"/>
        <v>Year 16</v>
      </c>
      <c r="T81" s="6" t="str">
        <f t="shared" si="7"/>
        <v>Year 17</v>
      </c>
      <c r="U81" s="6" t="str">
        <f t="shared" si="7"/>
        <v>Year 18</v>
      </c>
      <c r="V81" s="6" t="str">
        <f t="shared" si="7"/>
        <v>Year 19</v>
      </c>
      <c r="W81" s="6" t="str">
        <f t="shared" si="7"/>
        <v>Year 20</v>
      </c>
      <c r="X81" s="6" t="str">
        <f t="shared" si="7"/>
        <v>Year 21</v>
      </c>
      <c r="Y81" s="6" t="str">
        <f t="shared" si="7"/>
        <v>Year 22</v>
      </c>
      <c r="Z81" s="6" t="str">
        <f t="shared" si="7"/>
        <v>Year 23</v>
      </c>
      <c r="AA81" s="6" t="str">
        <f t="shared" si="7"/>
        <v>Year 24</v>
      </c>
      <c r="AB81" s="6" t="str">
        <f t="shared" si="7"/>
        <v>Year 25</v>
      </c>
      <c r="AC81" s="6" t="str">
        <f t="shared" si="7"/>
        <v>Year 26</v>
      </c>
      <c r="AD81" s="6" t="str">
        <f t="shared" si="7"/>
        <v>Year 27</v>
      </c>
      <c r="AE81" s="6" t="str">
        <f t="shared" si="7"/>
        <v>Year 28</v>
      </c>
      <c r="AF81" s="6" t="str">
        <f t="shared" si="7"/>
        <v>Year 29</v>
      </c>
      <c r="AG81" s="6" t="str">
        <f t="shared" si="7"/>
        <v>Year 30</v>
      </c>
    </row>
    <row r="82" spans="3:258" s="21" customFormat="1" ht="15" hidden="1" customHeight="1" x14ac:dyDescent="0.2">
      <c r="C82" s="5"/>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row>
    <row r="83" spans="3:258" s="177" customFormat="1" ht="15" hidden="1" customHeight="1" x14ac:dyDescent="0.2">
      <c r="C83" s="212" t="s">
        <v>3</v>
      </c>
      <c r="D83" s="179"/>
      <c r="E83" s="179"/>
      <c r="F83" s="179"/>
      <c r="G83" s="179"/>
      <c r="H83" s="179"/>
      <c r="I83" s="179"/>
      <c r="J83" s="179"/>
      <c r="K83" s="179"/>
      <c r="L83" s="179"/>
      <c r="M83" s="179"/>
      <c r="N83" s="179"/>
      <c r="O83" s="179"/>
      <c r="P83" s="179"/>
      <c r="Q83" s="179"/>
      <c r="R83" s="179"/>
      <c r="S83" s="179"/>
      <c r="T83" s="179"/>
      <c r="U83" s="179"/>
      <c r="V83" s="179"/>
      <c r="W83" s="179"/>
      <c r="X83" s="179"/>
      <c r="Y83" s="179"/>
      <c r="Z83" s="179"/>
      <c r="AA83" s="179"/>
      <c r="AB83" s="179"/>
      <c r="AC83" s="179"/>
      <c r="AD83" s="179"/>
      <c r="AE83" s="179"/>
      <c r="AF83" s="179"/>
      <c r="AG83" s="179"/>
    </row>
    <row r="84" spans="3:258" s="177" customFormat="1" ht="15" hidden="1" customHeight="1" x14ac:dyDescent="0.2">
      <c r="C84" s="178" t="s">
        <v>196</v>
      </c>
      <c r="D84" s="179">
        <f>IF('First Mortgage Sizing'!$D$33&gt;='Operating Pro Forma'!D5,1,0)</f>
        <v>1</v>
      </c>
      <c r="E84" s="179">
        <f>IF('First Mortgage Sizing'!$D$33&gt;='Operating Pro Forma'!E5,1,0)</f>
        <v>1</v>
      </c>
      <c r="F84" s="179">
        <f>IF('First Mortgage Sizing'!$D$33&gt;='Operating Pro Forma'!F5,1,0)</f>
        <v>1</v>
      </c>
      <c r="G84" s="179">
        <f>IF('First Mortgage Sizing'!$D$33&gt;='Operating Pro Forma'!G5,1,0)</f>
        <v>1</v>
      </c>
      <c r="H84" s="179">
        <f>IF('First Mortgage Sizing'!$D$33&gt;='Operating Pro Forma'!H5,1,0)</f>
        <v>1</v>
      </c>
      <c r="I84" s="179">
        <f>IF('First Mortgage Sizing'!$D$33&gt;='Operating Pro Forma'!I5,1,0)</f>
        <v>1</v>
      </c>
      <c r="J84" s="179">
        <f>IF('First Mortgage Sizing'!$D$33&gt;='Operating Pro Forma'!J5,1,0)</f>
        <v>1</v>
      </c>
      <c r="K84" s="179">
        <f>IF('First Mortgage Sizing'!$D$33&gt;='Operating Pro Forma'!K5,1,0)</f>
        <v>1</v>
      </c>
      <c r="L84" s="179">
        <f>IF('First Mortgage Sizing'!$D$33&gt;='Operating Pro Forma'!L5,1,0)</f>
        <v>1</v>
      </c>
      <c r="M84" s="179">
        <f>IF('First Mortgage Sizing'!$D$33&gt;='Operating Pro Forma'!M5,1,0)</f>
        <v>1</v>
      </c>
      <c r="N84" s="179">
        <f>IF('First Mortgage Sizing'!$D$33&gt;='Operating Pro Forma'!N5,1,0)</f>
        <v>1</v>
      </c>
      <c r="O84" s="179">
        <f>IF('First Mortgage Sizing'!$D$33&gt;='Operating Pro Forma'!O5,1,0)</f>
        <v>1</v>
      </c>
      <c r="P84" s="179">
        <f>IF('First Mortgage Sizing'!$D$33&gt;='Operating Pro Forma'!P5,1,0)</f>
        <v>1</v>
      </c>
      <c r="Q84" s="179">
        <f>IF('First Mortgage Sizing'!$D$33&gt;='Operating Pro Forma'!Q5,1,0)</f>
        <v>1</v>
      </c>
      <c r="R84" s="179">
        <f>IF('First Mortgage Sizing'!$D$33&gt;='Operating Pro Forma'!R5,1,0)</f>
        <v>1</v>
      </c>
      <c r="S84" s="179">
        <f>IF('First Mortgage Sizing'!$D$33&gt;='Operating Pro Forma'!S5,1,0)</f>
        <v>0</v>
      </c>
      <c r="T84" s="179">
        <f>IF('First Mortgage Sizing'!$D$33&gt;='Operating Pro Forma'!T5,1,0)</f>
        <v>0</v>
      </c>
      <c r="U84" s="179">
        <f>IF('First Mortgage Sizing'!$D$33&gt;='Operating Pro Forma'!U5,1,0)</f>
        <v>0</v>
      </c>
      <c r="V84" s="179">
        <f>IF('First Mortgage Sizing'!$D$33&gt;='Operating Pro Forma'!V5,1,0)</f>
        <v>0</v>
      </c>
      <c r="W84" s="179">
        <f>IF('First Mortgage Sizing'!$D$33&gt;='Operating Pro Forma'!W5,1,0)</f>
        <v>0</v>
      </c>
      <c r="X84" s="179">
        <f>IF('First Mortgage Sizing'!$D$33&gt;='Operating Pro Forma'!X5,1,0)</f>
        <v>0</v>
      </c>
      <c r="Y84" s="179">
        <f>IF('First Mortgage Sizing'!$D$33&gt;='Operating Pro Forma'!Y5,1,0)</f>
        <v>0</v>
      </c>
      <c r="Z84" s="179">
        <f>IF('First Mortgage Sizing'!$D$33&gt;='Operating Pro Forma'!Z5,1,0)</f>
        <v>0</v>
      </c>
      <c r="AA84" s="179">
        <f>IF('First Mortgage Sizing'!$D$33&gt;='Operating Pro Forma'!AA5,1,0)</f>
        <v>0</v>
      </c>
      <c r="AB84" s="179">
        <f>IF('First Mortgage Sizing'!$D$33&gt;='Operating Pro Forma'!AB5,1,0)</f>
        <v>0</v>
      </c>
      <c r="AC84" s="179">
        <f>IF('First Mortgage Sizing'!$D$33&gt;='Operating Pro Forma'!AC5,1,0)</f>
        <v>0</v>
      </c>
      <c r="AD84" s="179">
        <f>IF('First Mortgage Sizing'!$D$33&gt;='Operating Pro Forma'!AD5,1,0)</f>
        <v>0</v>
      </c>
      <c r="AE84" s="179">
        <f>IF('First Mortgage Sizing'!$D$33&gt;='Operating Pro Forma'!AE5,1,0)</f>
        <v>0</v>
      </c>
      <c r="AF84" s="179">
        <f>IF('First Mortgage Sizing'!$D$33&gt;='Operating Pro Forma'!AF5,1,0)</f>
        <v>0</v>
      </c>
      <c r="AG84" s="179">
        <f>IF('First Mortgage Sizing'!$D$33&gt;='Operating Pro Forma'!AG5,1,0)</f>
        <v>0</v>
      </c>
    </row>
    <row r="85" spans="3:258" s="177" customFormat="1" ht="15" hidden="1" customHeight="1" x14ac:dyDescent="0.2">
      <c r="C85" s="178" t="s">
        <v>197</v>
      </c>
      <c r="D85" s="179">
        <f>'First Mortgage Sizing'!D33*12-12</f>
        <v>168</v>
      </c>
      <c r="E85" s="179">
        <f>IF(E84=1,D85-12,0)</f>
        <v>156</v>
      </c>
      <c r="F85" s="179">
        <f t="shared" ref="F85:AG85" si="8">IF(F84=1,E85-12,0)</f>
        <v>144</v>
      </c>
      <c r="G85" s="179">
        <f t="shared" si="8"/>
        <v>132</v>
      </c>
      <c r="H85" s="179">
        <f t="shared" si="8"/>
        <v>120</v>
      </c>
      <c r="I85" s="179">
        <f t="shared" si="8"/>
        <v>108</v>
      </c>
      <c r="J85" s="179">
        <f t="shared" si="8"/>
        <v>96</v>
      </c>
      <c r="K85" s="179">
        <f t="shared" si="8"/>
        <v>84</v>
      </c>
      <c r="L85" s="179">
        <f t="shared" si="8"/>
        <v>72</v>
      </c>
      <c r="M85" s="179">
        <f t="shared" si="8"/>
        <v>60</v>
      </c>
      <c r="N85" s="179">
        <f t="shared" si="8"/>
        <v>48</v>
      </c>
      <c r="O85" s="179">
        <f t="shared" si="8"/>
        <v>36</v>
      </c>
      <c r="P85" s="179">
        <f t="shared" si="8"/>
        <v>24</v>
      </c>
      <c r="Q85" s="179">
        <f t="shared" si="8"/>
        <v>12</v>
      </c>
      <c r="R85" s="179">
        <f t="shared" si="8"/>
        <v>0</v>
      </c>
      <c r="S85" s="179">
        <f t="shared" si="8"/>
        <v>0</v>
      </c>
      <c r="T85" s="179">
        <f t="shared" si="8"/>
        <v>0</v>
      </c>
      <c r="U85" s="179">
        <f t="shared" si="8"/>
        <v>0</v>
      </c>
      <c r="V85" s="179">
        <f t="shared" si="8"/>
        <v>0</v>
      </c>
      <c r="W85" s="179">
        <f t="shared" si="8"/>
        <v>0</v>
      </c>
      <c r="X85" s="179">
        <f t="shared" si="8"/>
        <v>0</v>
      </c>
      <c r="Y85" s="179">
        <f t="shared" si="8"/>
        <v>0</v>
      </c>
      <c r="Z85" s="179">
        <f t="shared" si="8"/>
        <v>0</v>
      </c>
      <c r="AA85" s="179">
        <f t="shared" si="8"/>
        <v>0</v>
      </c>
      <c r="AB85" s="179">
        <f t="shared" si="8"/>
        <v>0</v>
      </c>
      <c r="AC85" s="179">
        <f t="shared" si="8"/>
        <v>0</v>
      </c>
      <c r="AD85" s="179">
        <f t="shared" si="8"/>
        <v>0</v>
      </c>
      <c r="AE85" s="179">
        <f t="shared" si="8"/>
        <v>0</v>
      </c>
      <c r="AF85" s="179">
        <f t="shared" si="8"/>
        <v>0</v>
      </c>
      <c r="AG85" s="179">
        <f t="shared" si="8"/>
        <v>0</v>
      </c>
    </row>
    <row r="86" spans="3:258" s="177" customFormat="1" ht="15" hidden="1" customHeight="1" x14ac:dyDescent="0.2">
      <c r="C86" s="178" t="s">
        <v>217</v>
      </c>
      <c r="D86" s="180">
        <f>IF(D85&lt;0,0,PV('First Mortgage Sizing'!$D$31/12,D85,D27/12))</f>
        <v>149776.88538833725</v>
      </c>
      <c r="E86" s="180">
        <f>IF(E85&lt;0,0,PV('First Mortgage Sizing'!$D$31/12,E85,E27/12))</f>
        <v>141626.42683158413</v>
      </c>
      <c r="F86" s="180">
        <f>IF(F85&lt;0,0,PV('First Mortgage Sizing'!$D$31/12,F85,F27/12))</f>
        <v>133148.16988129588</v>
      </c>
      <c r="G86" s="180">
        <f>IF(G85&lt;0,0,PV('First Mortgage Sizing'!$D$31/12,G85,G27/12))</f>
        <v>124324.49566158246</v>
      </c>
      <c r="H86" s="180">
        <f>IF(H85&lt;0,0,PV('First Mortgage Sizing'!$D$31/12,H85,H27/12))</f>
        <v>115141.33133993635</v>
      </c>
      <c r="I86" s="180">
        <f>IF(I85&lt;0,0,PV('First Mortgage Sizing'!$D$31/12,I85,I27/12))</f>
        <v>105584.03073494036</v>
      </c>
      <c r="J86" s="180">
        <f>IF(J85&lt;0,0,PV('First Mortgage Sizing'!$D$31/12,J85,J27/12))</f>
        <v>95637.35095714865</v>
      </c>
      <c r="K86" s="180">
        <f>IF(K85&lt;0,0,PV('First Mortgage Sizing'!$D$31/12,K85,K27/12))</f>
        <v>85285.428098280623</v>
      </c>
      <c r="L86" s="180">
        <f>IF(L85&lt;0,0,PV('First Mortgage Sizing'!$D$31/12,L85,L27/12))</f>
        <v>74511.751929955601</v>
      </c>
      <c r="M86" s="180">
        <f>IF(M85&lt;0,0,PV('First Mortgage Sizing'!$D$31/12,M85,M27/12))</f>
        <v>63299.139571614884</v>
      </c>
      <c r="N86" s="180">
        <f>IF(N85&lt;0,0,PV('First Mortgage Sizing'!$D$31/12,N85,N27/12))</f>
        <v>51629.708085633843</v>
      </c>
      <c r="O86" s="180">
        <f>IF(O85&lt;0,0,PV('First Mortgage Sizing'!$D$31/12,O85,O27/12))</f>
        <v>39484.845955917095</v>
      </c>
      <c r="P86" s="180">
        <f>IF(P85&lt;0,0,PV('First Mortgage Sizing'!$D$31/12,P85,P27/12))</f>
        <v>26845.18340448762</v>
      </c>
      <c r="Q86" s="180">
        <f>IF(Q85&lt;0,0,PV('First Mortgage Sizing'!$D$31/12,Q85,Q27/12))</f>
        <v>13690.561498727406</v>
      </c>
      <c r="R86" s="180">
        <f>IF(R85&lt;0,0,PV('First Mortgage Sizing'!$D$31/12,R85,R27/12))</f>
        <v>0</v>
      </c>
      <c r="S86" s="180">
        <f>IF(S85&lt;0,0,PV('First Mortgage Sizing'!$D$31/12,S85,S27/12))</f>
        <v>0</v>
      </c>
      <c r="T86" s="180">
        <f>IF(T85&lt;0,0,PV('First Mortgage Sizing'!$D$31/12,T85,T27/12))</f>
        <v>0</v>
      </c>
      <c r="U86" s="180">
        <f>IF(U85&lt;0,0,PV('First Mortgage Sizing'!$D$31/12,U85,U27/12))</f>
        <v>0</v>
      </c>
      <c r="V86" s="180">
        <f>IF(V85&lt;0,0,PV('First Mortgage Sizing'!$D$31/12,V85,V27/12))</f>
        <v>0</v>
      </c>
      <c r="W86" s="180">
        <f>IF(W85&lt;0,0,PV('First Mortgage Sizing'!$D$31/12,W85,W27/12))</f>
        <v>0</v>
      </c>
      <c r="X86" s="180">
        <f>IF(X85&lt;0,0,PV('First Mortgage Sizing'!$D$31/12,X85,X27/12))</f>
        <v>0</v>
      </c>
      <c r="Y86" s="180">
        <f>IF(Y85&lt;0,0,PV('First Mortgage Sizing'!$D$31/12,Y85,Y27/12))</f>
        <v>0</v>
      </c>
      <c r="Z86" s="180">
        <f>IF(Z85&lt;0,0,PV('First Mortgage Sizing'!$D$31/12,Z85,Z27/12))</f>
        <v>0</v>
      </c>
      <c r="AA86" s="180">
        <f>IF(AA85&lt;0,0,PV('First Mortgage Sizing'!$D$31/12,AA85,AA27/12))</f>
        <v>0</v>
      </c>
      <c r="AB86" s="180">
        <f>IF(AB85&lt;0,0,PV('First Mortgage Sizing'!$D$31/12,AB85,AB27/12))</f>
        <v>0</v>
      </c>
      <c r="AC86" s="180">
        <f>IF(AC85&lt;0,0,PV('First Mortgage Sizing'!$D$31/12,AC85,AC27/12))</f>
        <v>0</v>
      </c>
      <c r="AD86" s="180">
        <f>IF(AD85&lt;0,0,PV('First Mortgage Sizing'!$D$31/12,AD85,AD27/12))</f>
        <v>0</v>
      </c>
      <c r="AE86" s="180">
        <f>IF(AE85&lt;0,0,PV('First Mortgage Sizing'!$D$31/12,AE85,AE27/12))</f>
        <v>0</v>
      </c>
      <c r="AF86" s="180">
        <f>IF(AF85&lt;0,0,PV('First Mortgage Sizing'!$D$31/12,AF85,AF27/12))</f>
        <v>0</v>
      </c>
      <c r="AG86" s="180">
        <f>IF(AG85&lt;0,0,PV('First Mortgage Sizing'!$D$31/12,AG85,AG27/12))</f>
        <v>0</v>
      </c>
    </row>
    <row r="87" spans="3:258" s="177" customFormat="1" ht="15" hidden="1" customHeight="1" x14ac:dyDescent="0.2">
      <c r="C87" s="178"/>
      <c r="D87" s="179"/>
      <c r="E87" s="179"/>
      <c r="F87" s="179"/>
      <c r="G87" s="179"/>
      <c r="H87" s="179"/>
      <c r="I87" s="179"/>
      <c r="J87" s="179"/>
      <c r="K87" s="179"/>
      <c r="L87" s="179"/>
      <c r="M87" s="179"/>
      <c r="N87" s="179"/>
      <c r="O87" s="179"/>
      <c r="P87" s="179"/>
      <c r="Q87" s="179"/>
      <c r="R87" s="179"/>
      <c r="S87" s="179"/>
      <c r="T87" s="179"/>
      <c r="U87" s="179"/>
      <c r="V87" s="179"/>
      <c r="W87" s="179"/>
      <c r="X87" s="179"/>
      <c r="Y87" s="179"/>
      <c r="Z87" s="179"/>
      <c r="AA87" s="179"/>
      <c r="AB87" s="179"/>
      <c r="AC87" s="179"/>
      <c r="AD87" s="179"/>
      <c r="AE87" s="179"/>
      <c r="AF87" s="179"/>
      <c r="AG87" s="179"/>
    </row>
    <row r="88" spans="3:258" s="177" customFormat="1" ht="15" hidden="1" customHeight="1" x14ac:dyDescent="0.2">
      <c r="C88" s="212" t="s">
        <v>194</v>
      </c>
      <c r="D88" s="179"/>
      <c r="E88" s="179"/>
      <c r="F88" s="179"/>
      <c r="G88" s="179"/>
      <c r="H88" s="179"/>
      <c r="I88" s="179"/>
      <c r="J88" s="179"/>
      <c r="K88" s="179"/>
      <c r="L88" s="179"/>
      <c r="M88" s="179"/>
      <c r="N88" s="179"/>
      <c r="O88" s="179"/>
      <c r="P88" s="179"/>
      <c r="Q88" s="179"/>
      <c r="R88" s="179"/>
      <c r="S88" s="179"/>
      <c r="T88" s="179"/>
      <c r="U88" s="179"/>
      <c r="V88" s="179"/>
      <c r="W88" s="179"/>
      <c r="X88" s="179"/>
      <c r="Y88" s="179"/>
      <c r="Z88" s="179"/>
      <c r="AA88" s="179"/>
      <c r="AB88" s="179"/>
      <c r="AC88" s="179"/>
      <c r="AD88" s="179"/>
      <c r="AE88" s="179"/>
      <c r="AF88" s="179"/>
      <c r="AG88" s="179"/>
    </row>
    <row r="89" spans="3:258" s="177" customFormat="1" ht="15" hidden="1" customHeight="1" x14ac:dyDescent="0.2">
      <c r="C89" s="178" t="s">
        <v>196</v>
      </c>
      <c r="D89" s="179">
        <f>IF('First Mortgage Sizing'!$D$62&gt;='Operating Pro Forma'!D5,1,0)</f>
        <v>0</v>
      </c>
      <c r="E89" s="179">
        <f>IF('First Mortgage Sizing'!$D$62&gt;='Operating Pro Forma'!E5,1,0)</f>
        <v>0</v>
      </c>
      <c r="F89" s="179">
        <f>IF('First Mortgage Sizing'!$D$62&gt;='Operating Pro Forma'!F5,1,0)</f>
        <v>0</v>
      </c>
      <c r="G89" s="179">
        <f>IF('First Mortgage Sizing'!$D$62&gt;='Operating Pro Forma'!G5,1,0)</f>
        <v>0</v>
      </c>
      <c r="H89" s="179">
        <f>IF('First Mortgage Sizing'!$D$62&gt;='Operating Pro Forma'!H5,1,0)</f>
        <v>0</v>
      </c>
      <c r="I89" s="179">
        <f>IF('First Mortgage Sizing'!$D$62&gt;='Operating Pro Forma'!I5,1,0)</f>
        <v>0</v>
      </c>
      <c r="J89" s="179">
        <f>IF('First Mortgage Sizing'!$D$62&gt;='Operating Pro Forma'!J5,1,0)</f>
        <v>0</v>
      </c>
      <c r="K89" s="179">
        <f>IF('First Mortgage Sizing'!$D$62&gt;='Operating Pro Forma'!K5,1,0)</f>
        <v>0</v>
      </c>
      <c r="L89" s="179">
        <f>IF('First Mortgage Sizing'!$D$62&gt;='Operating Pro Forma'!L5,1,0)</f>
        <v>0</v>
      </c>
      <c r="M89" s="179">
        <f>IF('First Mortgage Sizing'!$D$62&gt;='Operating Pro Forma'!M5,1,0)</f>
        <v>0</v>
      </c>
      <c r="N89" s="179">
        <f>IF('First Mortgage Sizing'!$D$62&gt;='Operating Pro Forma'!N5,1,0)</f>
        <v>0</v>
      </c>
      <c r="O89" s="179">
        <f>IF('First Mortgage Sizing'!$D$62&gt;='Operating Pro Forma'!O5,1,0)</f>
        <v>0</v>
      </c>
      <c r="P89" s="179">
        <f>IF('First Mortgage Sizing'!$D$62&gt;='Operating Pro Forma'!P5,1,0)</f>
        <v>0</v>
      </c>
      <c r="Q89" s="179">
        <f>IF('First Mortgage Sizing'!$D$62&gt;='Operating Pro Forma'!Q5,1,0)</f>
        <v>0</v>
      </c>
      <c r="R89" s="179">
        <f>IF('First Mortgage Sizing'!$D$62&gt;='Operating Pro Forma'!R5,1,0)</f>
        <v>0</v>
      </c>
      <c r="S89" s="179">
        <f>IF('First Mortgage Sizing'!$D$62&gt;='Operating Pro Forma'!S5,1,0)</f>
        <v>0</v>
      </c>
      <c r="T89" s="179">
        <f>IF('First Mortgage Sizing'!$D$62&gt;='Operating Pro Forma'!T5,1,0)</f>
        <v>0</v>
      </c>
      <c r="U89" s="179">
        <f>IF('First Mortgage Sizing'!$D$62&gt;='Operating Pro Forma'!U5,1,0)</f>
        <v>0</v>
      </c>
      <c r="V89" s="179">
        <f>IF('First Mortgage Sizing'!$D$62&gt;='Operating Pro Forma'!V5,1,0)</f>
        <v>0</v>
      </c>
      <c r="W89" s="179">
        <f>IF('First Mortgage Sizing'!$D$62&gt;='Operating Pro Forma'!W5,1,0)</f>
        <v>0</v>
      </c>
      <c r="X89" s="179">
        <f>IF('First Mortgage Sizing'!$D$62&gt;='Operating Pro Forma'!X5,1,0)</f>
        <v>0</v>
      </c>
      <c r="Y89" s="179">
        <f>IF('First Mortgage Sizing'!$D$62&gt;='Operating Pro Forma'!Y5,1,0)</f>
        <v>0</v>
      </c>
      <c r="Z89" s="179">
        <f>IF('First Mortgage Sizing'!$D$62&gt;='Operating Pro Forma'!Z5,1,0)</f>
        <v>0</v>
      </c>
      <c r="AA89" s="179">
        <f>IF('First Mortgage Sizing'!$D$62&gt;='Operating Pro Forma'!AA5,1,0)</f>
        <v>0</v>
      </c>
      <c r="AB89" s="179">
        <f>IF('First Mortgage Sizing'!$D$62&gt;='Operating Pro Forma'!AB5,1,0)</f>
        <v>0</v>
      </c>
      <c r="AC89" s="179">
        <f>IF('First Mortgage Sizing'!$D$62&gt;='Operating Pro Forma'!AC5,1,0)</f>
        <v>0</v>
      </c>
      <c r="AD89" s="179">
        <f>IF('First Mortgage Sizing'!$D$62&gt;='Operating Pro Forma'!AD5,1,0)</f>
        <v>0</v>
      </c>
      <c r="AE89" s="179">
        <f>IF('First Mortgage Sizing'!$D$62&gt;='Operating Pro Forma'!AE5,1,0)</f>
        <v>0</v>
      </c>
      <c r="AF89" s="179">
        <f>IF('First Mortgage Sizing'!$D$62&gt;='Operating Pro Forma'!AF5,1,0)</f>
        <v>0</v>
      </c>
      <c r="AG89" s="179">
        <f>IF('First Mortgage Sizing'!$D$62&gt;='Operating Pro Forma'!AG5,1,0)</f>
        <v>0</v>
      </c>
    </row>
    <row r="90" spans="3:258" s="177" customFormat="1" ht="15" hidden="1" customHeight="1" x14ac:dyDescent="0.2">
      <c r="C90" s="178" t="s">
        <v>197</v>
      </c>
      <c r="D90" s="179">
        <f>'First Mortgage Sizing'!D62*12-12</f>
        <v>-12</v>
      </c>
      <c r="E90" s="179">
        <f>IF(E89=1,D90-12,0)</f>
        <v>0</v>
      </c>
      <c r="F90" s="179">
        <f t="shared" ref="F90:AG90" si="9">IF(F89=1,E90-12,0)</f>
        <v>0</v>
      </c>
      <c r="G90" s="179">
        <f t="shared" si="9"/>
        <v>0</v>
      </c>
      <c r="H90" s="179">
        <f t="shared" si="9"/>
        <v>0</v>
      </c>
      <c r="I90" s="179">
        <f t="shared" si="9"/>
        <v>0</v>
      </c>
      <c r="J90" s="179">
        <f t="shared" si="9"/>
        <v>0</v>
      </c>
      <c r="K90" s="179">
        <f t="shared" si="9"/>
        <v>0</v>
      </c>
      <c r="L90" s="179">
        <f t="shared" si="9"/>
        <v>0</v>
      </c>
      <c r="M90" s="179">
        <f t="shared" si="9"/>
        <v>0</v>
      </c>
      <c r="N90" s="179">
        <f t="shared" si="9"/>
        <v>0</v>
      </c>
      <c r="O90" s="179">
        <f t="shared" si="9"/>
        <v>0</v>
      </c>
      <c r="P90" s="179">
        <f t="shared" si="9"/>
        <v>0</v>
      </c>
      <c r="Q90" s="179">
        <f t="shared" si="9"/>
        <v>0</v>
      </c>
      <c r="R90" s="179">
        <f t="shared" si="9"/>
        <v>0</v>
      </c>
      <c r="S90" s="179">
        <f t="shared" si="9"/>
        <v>0</v>
      </c>
      <c r="T90" s="179">
        <f t="shared" si="9"/>
        <v>0</v>
      </c>
      <c r="U90" s="179">
        <f t="shared" si="9"/>
        <v>0</v>
      </c>
      <c r="V90" s="179">
        <f t="shared" si="9"/>
        <v>0</v>
      </c>
      <c r="W90" s="179">
        <f t="shared" si="9"/>
        <v>0</v>
      </c>
      <c r="X90" s="179">
        <f t="shared" si="9"/>
        <v>0</v>
      </c>
      <c r="Y90" s="179">
        <f t="shared" si="9"/>
        <v>0</v>
      </c>
      <c r="Z90" s="179">
        <f t="shared" si="9"/>
        <v>0</v>
      </c>
      <c r="AA90" s="179">
        <f t="shared" si="9"/>
        <v>0</v>
      </c>
      <c r="AB90" s="179">
        <f t="shared" si="9"/>
        <v>0</v>
      </c>
      <c r="AC90" s="179">
        <f t="shared" si="9"/>
        <v>0</v>
      </c>
      <c r="AD90" s="179">
        <f t="shared" si="9"/>
        <v>0</v>
      </c>
      <c r="AE90" s="179">
        <f t="shared" si="9"/>
        <v>0</v>
      </c>
      <c r="AF90" s="179">
        <f t="shared" si="9"/>
        <v>0</v>
      </c>
      <c r="AG90" s="179">
        <f t="shared" si="9"/>
        <v>0</v>
      </c>
    </row>
    <row r="91" spans="3:258" s="344" customFormat="1" ht="15" hidden="1" customHeight="1" x14ac:dyDescent="0.2">
      <c r="C91" s="178" t="s">
        <v>217</v>
      </c>
      <c r="D91" s="180">
        <f>IF(D90&lt;0,0,PV('First Mortgage Sizing'!$D$61/12,D90,D28/12))</f>
        <v>0</v>
      </c>
      <c r="E91" s="180">
        <f>IF(E90&lt;0,0,PV('First Mortgage Sizing'!$D$61/12,E90,E28/12))</f>
        <v>0</v>
      </c>
      <c r="F91" s="180">
        <f>IF(F90&lt;0,0,PV('First Mortgage Sizing'!$D$61/12,F90,F28/12))</f>
        <v>0</v>
      </c>
      <c r="G91" s="180">
        <f>IF(G90&lt;0,0,PV('First Mortgage Sizing'!$D$61/12,G90,G28/12))</f>
        <v>0</v>
      </c>
      <c r="H91" s="180">
        <f>IF(H90&lt;0,0,PV('First Mortgage Sizing'!$D$61/12,H90,H28/12))</f>
        <v>0</v>
      </c>
      <c r="I91" s="180">
        <f>IF(I90&lt;0,0,PV('First Mortgage Sizing'!$D$61/12,I90,I28/12))</f>
        <v>0</v>
      </c>
      <c r="J91" s="180">
        <f>IF(J90&lt;0,0,PV('First Mortgage Sizing'!$D$61/12,J90,J28/12))</f>
        <v>0</v>
      </c>
      <c r="K91" s="180">
        <f>IF(K90&lt;0,0,PV('First Mortgage Sizing'!$D$61/12,K90,K28/12))</f>
        <v>0</v>
      </c>
      <c r="L91" s="180">
        <f>IF(L90&lt;0,0,PV('First Mortgage Sizing'!$D$61/12,L90,L28/12))</f>
        <v>0</v>
      </c>
      <c r="M91" s="180">
        <f>IF(M90&lt;0,0,PV('First Mortgage Sizing'!$D$61/12,M90,M28/12))</f>
        <v>0</v>
      </c>
      <c r="N91" s="180">
        <f>IF(N90&lt;0,0,PV('First Mortgage Sizing'!$D$61/12,N90,N28/12))</f>
        <v>0</v>
      </c>
      <c r="O91" s="180">
        <f>IF(O90&lt;0,0,PV('First Mortgage Sizing'!$D$61/12,O90,O28/12))</f>
        <v>0</v>
      </c>
      <c r="P91" s="180">
        <f>IF(P90&lt;0,0,PV('First Mortgage Sizing'!$D$61/12,P90,P28/12))</f>
        <v>0</v>
      </c>
      <c r="Q91" s="180">
        <f>IF(Q90&lt;0,0,PV('First Mortgage Sizing'!$D$61/12,Q90,Q28/12))</f>
        <v>0</v>
      </c>
      <c r="R91" s="180">
        <f>IF(R90&lt;0,0,PV('First Mortgage Sizing'!$D$61/12,R90,R28/12))</f>
        <v>0</v>
      </c>
      <c r="S91" s="180">
        <f>IF(S90&lt;0,0,PV('First Mortgage Sizing'!$D$61/12,S90,S28/12))</f>
        <v>0</v>
      </c>
      <c r="T91" s="180">
        <f>IF(T90&lt;0,0,PV('First Mortgage Sizing'!$D$61/12,T90,T28/12))</f>
        <v>0</v>
      </c>
      <c r="U91" s="180">
        <f>IF(U90&lt;0,0,PV('First Mortgage Sizing'!$D$61/12,U90,U28/12))</f>
        <v>0</v>
      </c>
      <c r="V91" s="180">
        <f>IF(V90&lt;0,0,PV('First Mortgage Sizing'!$D$61/12,V90,V28/12))</f>
        <v>0</v>
      </c>
      <c r="W91" s="180">
        <f>IF(W90&lt;0,0,PV('First Mortgage Sizing'!$D$61/12,W90,W28/12))</f>
        <v>0</v>
      </c>
      <c r="X91" s="180">
        <f>IF(X90&lt;0,0,PV('First Mortgage Sizing'!$D$61/12,X90,X28/12))</f>
        <v>0</v>
      </c>
      <c r="Y91" s="180">
        <f>IF(Y90&lt;0,0,PV('First Mortgage Sizing'!$D$61/12,Y90,Y28/12))</f>
        <v>0</v>
      </c>
      <c r="Z91" s="180">
        <f>IF(Z90&lt;0,0,PV('First Mortgage Sizing'!$D$61/12,Z90,Z28/12))</f>
        <v>0</v>
      </c>
      <c r="AA91" s="180">
        <f>IF(AA90&lt;0,0,PV('First Mortgage Sizing'!$D$61/12,AA90,AA28/12))</f>
        <v>0</v>
      </c>
      <c r="AB91" s="180">
        <f>IF(AB90&lt;0,0,PV('First Mortgage Sizing'!$D$61/12,AB90,AB28/12))</f>
        <v>0</v>
      </c>
      <c r="AC91" s="180">
        <f>IF(AC90&lt;0,0,PV('First Mortgage Sizing'!$D$61/12,AC90,AC28/12))</f>
        <v>0</v>
      </c>
      <c r="AD91" s="180">
        <f>IF(AD90&lt;0,0,PV('First Mortgage Sizing'!$D$61/12,AD90,AD28/12))</f>
        <v>0</v>
      </c>
      <c r="AE91" s="180">
        <f>IF(AE90&lt;0,0,PV('First Mortgage Sizing'!$D$61/12,AE90,AE28/12))</f>
        <v>0</v>
      </c>
      <c r="AF91" s="180">
        <f>IF(AF90&lt;0,0,PV('First Mortgage Sizing'!$D$61/12,AF90,AF28/12))</f>
        <v>0</v>
      </c>
      <c r="AG91" s="180">
        <f>IF(AG90&lt;0,0,PV('First Mortgage Sizing'!$D$61/12,AG90,AG28/12))</f>
        <v>0</v>
      </c>
    </row>
    <row r="92" spans="3:258" s="177" customFormat="1" ht="15" hidden="1" customHeight="1" x14ac:dyDescent="0.2">
      <c r="C92" s="178"/>
      <c r="D92" s="179"/>
      <c r="E92" s="179"/>
      <c r="F92" s="179"/>
      <c r="G92" s="179"/>
      <c r="H92" s="179"/>
      <c r="I92" s="179"/>
      <c r="J92" s="179"/>
      <c r="K92" s="179"/>
      <c r="L92" s="179"/>
      <c r="M92" s="179"/>
      <c r="N92" s="179"/>
      <c r="O92" s="179"/>
      <c r="P92" s="179"/>
      <c r="Q92" s="179"/>
      <c r="R92" s="179"/>
      <c r="S92" s="179"/>
      <c r="T92" s="179"/>
      <c r="U92" s="179"/>
      <c r="V92" s="179"/>
      <c r="W92" s="179"/>
      <c r="X92" s="179"/>
      <c r="Y92" s="179"/>
      <c r="Z92" s="179"/>
      <c r="AA92" s="179"/>
      <c r="AB92" s="179"/>
      <c r="AC92" s="179"/>
      <c r="AD92" s="179"/>
      <c r="AE92" s="179"/>
      <c r="AF92" s="179"/>
      <c r="AG92" s="179"/>
    </row>
    <row r="93" spans="3:258" s="177" customFormat="1" ht="15" hidden="1" customHeight="1" x14ac:dyDescent="0.2">
      <c r="C93" s="210" t="s">
        <v>215</v>
      </c>
      <c r="D93" s="180">
        <f>FV('First Mortgage Sizing'!$D$72,D5,0,'First Mortgage Sizing'!$D$69)</f>
        <v>-1400000</v>
      </c>
      <c r="E93" s="180">
        <f>FV('First Mortgage Sizing'!$D$72,E5,0,'First Mortgage Sizing'!$D$69)</f>
        <v>-1400000</v>
      </c>
      <c r="F93" s="180">
        <f>FV('First Mortgage Sizing'!$D$72,F5,0,'First Mortgage Sizing'!$D$69)</f>
        <v>-1400000</v>
      </c>
      <c r="G93" s="180">
        <f>FV('First Mortgage Sizing'!$D$72,G5,0,'First Mortgage Sizing'!$D$69)</f>
        <v>-1400000</v>
      </c>
      <c r="H93" s="180">
        <f>FV('First Mortgage Sizing'!$D$72,H5,0,'First Mortgage Sizing'!$D$69)</f>
        <v>-1400000</v>
      </c>
      <c r="I93" s="180">
        <f>FV('First Mortgage Sizing'!$D$72,I5,0,'First Mortgage Sizing'!$D$69)</f>
        <v>-1400000</v>
      </c>
      <c r="J93" s="180">
        <f>FV('First Mortgage Sizing'!$D$72,J5,0,'First Mortgage Sizing'!$D$69)</f>
        <v>-1400000</v>
      </c>
      <c r="K93" s="180">
        <f>FV('First Mortgage Sizing'!$D$72,K5,0,'First Mortgage Sizing'!$D$69)</f>
        <v>-1400000</v>
      </c>
      <c r="L93" s="180">
        <f>FV('First Mortgage Sizing'!$D$72,L5,0,'First Mortgage Sizing'!$D$69)</f>
        <v>-1400000</v>
      </c>
      <c r="M93" s="180">
        <f>FV('First Mortgage Sizing'!$D$72,M5,0,'First Mortgage Sizing'!$D$69)</f>
        <v>-1400000</v>
      </c>
      <c r="N93" s="180">
        <f>FV('First Mortgage Sizing'!$D$72,N5,0,'First Mortgage Sizing'!$D$69)</f>
        <v>-1400000</v>
      </c>
      <c r="O93" s="180">
        <f>FV('First Mortgage Sizing'!$D$72,O5,0,'First Mortgage Sizing'!$D$69)</f>
        <v>-1400000</v>
      </c>
      <c r="P93" s="180">
        <f>FV('First Mortgage Sizing'!$D$72,P5,0,'First Mortgage Sizing'!$D$69)</f>
        <v>-1400000</v>
      </c>
      <c r="Q93" s="180">
        <f>FV('First Mortgage Sizing'!$D$72,Q5,0,'First Mortgage Sizing'!$D$69)</f>
        <v>-1400000</v>
      </c>
      <c r="R93" s="180">
        <f>FV('First Mortgage Sizing'!$D$72,R5,0,'First Mortgage Sizing'!$D$69)</f>
        <v>-1400000</v>
      </c>
      <c r="S93" s="180">
        <f>FV('First Mortgage Sizing'!$D$72,S5,0,'First Mortgage Sizing'!$D$69)</f>
        <v>-1400000</v>
      </c>
      <c r="T93" s="180">
        <f>FV('First Mortgage Sizing'!$D$72,T5,0,'First Mortgage Sizing'!$D$69)</f>
        <v>-1400000</v>
      </c>
      <c r="U93" s="180">
        <f>FV('First Mortgage Sizing'!$D$72,U5,0,'First Mortgage Sizing'!$D$69)</f>
        <v>-1400000</v>
      </c>
      <c r="V93" s="180">
        <f>FV('First Mortgage Sizing'!$D$72,V5,0,'First Mortgage Sizing'!$D$69)</f>
        <v>-1400000</v>
      </c>
      <c r="W93" s="180">
        <f>FV('First Mortgage Sizing'!$D$72,W5,0,'First Mortgage Sizing'!$D$69)</f>
        <v>-1400000</v>
      </c>
      <c r="X93" s="180">
        <f>FV('First Mortgage Sizing'!$D$72,X5,0,'First Mortgage Sizing'!$D$69)</f>
        <v>-1400000</v>
      </c>
      <c r="Y93" s="180">
        <f>FV('First Mortgage Sizing'!$D$72,Y5,0,'First Mortgage Sizing'!$D$69)</f>
        <v>-1400000</v>
      </c>
      <c r="Z93" s="180">
        <f>FV('First Mortgage Sizing'!$D$72,Z5,0,'First Mortgage Sizing'!$D$69)</f>
        <v>-1400000</v>
      </c>
      <c r="AA93" s="180">
        <f>FV('First Mortgage Sizing'!$D$72,AA5,0,'First Mortgage Sizing'!$D$69)</f>
        <v>-1400000</v>
      </c>
      <c r="AB93" s="180">
        <f>FV('First Mortgage Sizing'!$D$72,AB5,0,'First Mortgage Sizing'!$D$69)</f>
        <v>-1400000</v>
      </c>
      <c r="AC93" s="180">
        <f>FV('First Mortgage Sizing'!$D$72,AC5,0,'First Mortgage Sizing'!$D$69)</f>
        <v>-1400000</v>
      </c>
      <c r="AD93" s="180">
        <f>FV('First Mortgage Sizing'!$D$72,AD5,0,'First Mortgage Sizing'!$D$69)</f>
        <v>-1400000</v>
      </c>
      <c r="AE93" s="180">
        <f>FV('First Mortgage Sizing'!$D$72,AE5,0,'First Mortgage Sizing'!$D$69)</f>
        <v>-1400000</v>
      </c>
      <c r="AF93" s="180">
        <f>FV('First Mortgage Sizing'!$D$72,AF5,0,'First Mortgage Sizing'!$D$69)</f>
        <v>-1400000</v>
      </c>
      <c r="AG93" s="180">
        <f>FV('First Mortgage Sizing'!$D$72,AG5,0,'First Mortgage Sizing'!$D$69)</f>
        <v>-1400000</v>
      </c>
      <c r="AH93" s="213"/>
      <c r="AI93" s="213"/>
      <c r="AJ93" s="213"/>
      <c r="AK93" s="213"/>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c r="BY93" s="213"/>
      <c r="BZ93" s="213"/>
      <c r="CA93" s="213"/>
      <c r="CB93" s="213"/>
      <c r="CC93" s="213"/>
      <c r="CD93" s="213"/>
      <c r="CE93" s="213"/>
      <c r="CF93" s="213"/>
      <c r="CG93" s="213"/>
      <c r="CH93" s="213"/>
      <c r="CI93" s="213"/>
      <c r="CJ93" s="213"/>
      <c r="CK93" s="213"/>
      <c r="CL93" s="213"/>
      <c r="CM93" s="213"/>
      <c r="CN93" s="213"/>
      <c r="CO93" s="213"/>
      <c r="CP93" s="213"/>
      <c r="CQ93" s="213"/>
      <c r="CR93" s="213"/>
      <c r="CS93" s="213"/>
      <c r="CT93" s="213"/>
      <c r="CU93" s="213"/>
      <c r="CV93" s="213"/>
      <c r="CW93" s="213"/>
      <c r="CX93" s="213"/>
      <c r="CY93" s="213"/>
      <c r="CZ93" s="213"/>
      <c r="DA93" s="213"/>
      <c r="DB93" s="213"/>
      <c r="DC93" s="213"/>
      <c r="DD93" s="213"/>
      <c r="DE93" s="213"/>
      <c r="DF93" s="213"/>
      <c r="DG93" s="213"/>
      <c r="DH93" s="213"/>
      <c r="DI93" s="213"/>
      <c r="DJ93" s="213"/>
      <c r="DK93" s="213"/>
      <c r="DL93" s="213"/>
      <c r="DM93" s="213"/>
      <c r="DN93" s="213"/>
      <c r="DO93" s="213"/>
      <c r="DP93" s="213"/>
      <c r="DQ93" s="213"/>
      <c r="DR93" s="213"/>
      <c r="DS93" s="213"/>
      <c r="DT93" s="213"/>
      <c r="DU93" s="213"/>
      <c r="DV93" s="213"/>
      <c r="DW93" s="213"/>
      <c r="DX93" s="213"/>
      <c r="DY93" s="213"/>
      <c r="DZ93" s="213"/>
      <c r="EA93" s="213"/>
      <c r="EB93" s="213"/>
      <c r="EC93" s="213"/>
      <c r="ED93" s="213"/>
      <c r="EE93" s="213"/>
      <c r="EF93" s="213"/>
      <c r="EG93" s="213"/>
      <c r="EH93" s="213"/>
      <c r="EI93" s="213"/>
      <c r="EJ93" s="213"/>
      <c r="EK93" s="213"/>
      <c r="EL93" s="213"/>
      <c r="EM93" s="213"/>
      <c r="EN93" s="213"/>
      <c r="EO93" s="213"/>
      <c r="EP93" s="213"/>
      <c r="EQ93" s="213"/>
      <c r="ER93" s="213"/>
      <c r="ES93" s="213"/>
      <c r="ET93" s="213"/>
      <c r="EU93" s="213"/>
      <c r="EV93" s="213"/>
      <c r="EW93" s="213"/>
      <c r="EX93" s="213"/>
      <c r="EY93" s="213"/>
      <c r="EZ93" s="213"/>
      <c r="FA93" s="213"/>
      <c r="FB93" s="213"/>
      <c r="FC93" s="213"/>
      <c r="FD93" s="213"/>
      <c r="FE93" s="213"/>
      <c r="FF93" s="213"/>
      <c r="FG93" s="213"/>
      <c r="FH93" s="213"/>
      <c r="FI93" s="213"/>
      <c r="FJ93" s="213"/>
      <c r="FK93" s="213"/>
      <c r="FL93" s="213"/>
      <c r="FM93" s="213"/>
      <c r="FN93" s="213"/>
      <c r="FO93" s="213"/>
      <c r="FP93" s="213"/>
      <c r="FQ93" s="213"/>
      <c r="FR93" s="213"/>
      <c r="FS93" s="213"/>
      <c r="FT93" s="213"/>
      <c r="FU93" s="213"/>
      <c r="FV93" s="213"/>
      <c r="FW93" s="213"/>
      <c r="FX93" s="213"/>
      <c r="FY93" s="213"/>
      <c r="FZ93" s="213"/>
      <c r="GA93" s="213"/>
      <c r="GB93" s="213"/>
      <c r="GC93" s="213"/>
      <c r="GD93" s="213"/>
      <c r="GE93" s="213"/>
      <c r="GF93" s="213"/>
      <c r="GG93" s="213"/>
      <c r="GH93" s="213"/>
      <c r="GI93" s="213"/>
      <c r="GJ93" s="213"/>
      <c r="GK93" s="213"/>
      <c r="GL93" s="213"/>
      <c r="GM93" s="213"/>
      <c r="GN93" s="213"/>
      <c r="GO93" s="213"/>
      <c r="GP93" s="213"/>
      <c r="GQ93" s="213"/>
      <c r="GR93" s="213"/>
      <c r="GS93" s="213"/>
      <c r="GT93" s="213"/>
      <c r="GU93" s="213"/>
      <c r="GV93" s="213"/>
      <c r="GW93" s="213"/>
      <c r="GX93" s="213"/>
      <c r="GY93" s="213"/>
      <c r="GZ93" s="213"/>
      <c r="HA93" s="213"/>
      <c r="HB93" s="213"/>
      <c r="HC93" s="213"/>
      <c r="HD93" s="213"/>
      <c r="HE93" s="213"/>
      <c r="HF93" s="213"/>
      <c r="HG93" s="213"/>
      <c r="HH93" s="213"/>
      <c r="HI93" s="213"/>
      <c r="HJ93" s="213"/>
      <c r="HK93" s="213"/>
      <c r="HL93" s="213"/>
      <c r="HM93" s="213"/>
      <c r="HN93" s="213"/>
      <c r="HO93" s="213"/>
      <c r="HP93" s="213"/>
      <c r="HQ93" s="213"/>
      <c r="HR93" s="213"/>
      <c r="HS93" s="213"/>
      <c r="HT93" s="213"/>
      <c r="HU93" s="213"/>
      <c r="HV93" s="213"/>
      <c r="HW93" s="213"/>
      <c r="HX93" s="213"/>
      <c r="HY93" s="213"/>
      <c r="HZ93" s="213"/>
      <c r="IA93" s="213"/>
      <c r="IB93" s="213"/>
      <c r="IC93" s="213"/>
      <c r="ID93" s="213"/>
      <c r="IE93" s="213"/>
      <c r="IF93" s="213"/>
      <c r="IG93" s="213"/>
      <c r="IH93" s="213"/>
      <c r="II93" s="213"/>
      <c r="IJ93" s="213"/>
      <c r="IK93" s="213"/>
      <c r="IL93" s="213"/>
      <c r="IM93" s="213"/>
      <c r="IN93" s="213"/>
      <c r="IO93" s="213"/>
      <c r="IP93" s="213"/>
      <c r="IQ93" s="213"/>
      <c r="IR93" s="213"/>
      <c r="IS93" s="213"/>
      <c r="IT93" s="213"/>
      <c r="IU93" s="213"/>
      <c r="IV93" s="213"/>
      <c r="IW93" s="213"/>
      <c r="IX93" s="213"/>
    </row>
    <row r="94" spans="3:258" s="177" customFormat="1" ht="15" hidden="1" customHeight="1" x14ac:dyDescent="0.2">
      <c r="C94" s="210" t="s">
        <v>216</v>
      </c>
      <c r="D94" s="186">
        <f>FV('First Mortgage Sizing'!$D$82,D5,0,'First Mortgage Sizing'!$D$79)</f>
        <v>0</v>
      </c>
      <c r="E94" s="186">
        <f>FV('First Mortgage Sizing'!$D$82,E5,0,'First Mortgage Sizing'!$D$79)</f>
        <v>0</v>
      </c>
      <c r="F94" s="186">
        <f>FV('First Mortgage Sizing'!$D$82,F5,0,'First Mortgage Sizing'!$D$79)</f>
        <v>0</v>
      </c>
      <c r="G94" s="186">
        <f>FV('First Mortgage Sizing'!$D$82,G5,0,'First Mortgage Sizing'!$D$79)</f>
        <v>0</v>
      </c>
      <c r="H94" s="186">
        <f>FV('First Mortgage Sizing'!$D$82,H5,0,'First Mortgage Sizing'!$D$79)</f>
        <v>0</v>
      </c>
      <c r="I94" s="186">
        <f>FV('First Mortgage Sizing'!$D$82,I5,0,'First Mortgage Sizing'!$D$79)</f>
        <v>0</v>
      </c>
      <c r="J94" s="186">
        <f>FV('First Mortgage Sizing'!$D$82,J5,0,'First Mortgage Sizing'!$D$79)</f>
        <v>0</v>
      </c>
      <c r="K94" s="186">
        <f>FV('First Mortgage Sizing'!$D$82,K5,0,'First Mortgage Sizing'!$D$79)</f>
        <v>0</v>
      </c>
      <c r="L94" s="186">
        <f>FV('First Mortgage Sizing'!$D$82,L5,0,'First Mortgage Sizing'!$D$79)</f>
        <v>0</v>
      </c>
      <c r="M94" s="186">
        <f>FV('First Mortgage Sizing'!$D$82,M5,0,'First Mortgage Sizing'!$D$79)</f>
        <v>0</v>
      </c>
      <c r="N94" s="186">
        <f>FV('First Mortgage Sizing'!$D$82,N5,0,'First Mortgage Sizing'!$D$79)</f>
        <v>0</v>
      </c>
      <c r="O94" s="186">
        <f>FV('First Mortgage Sizing'!$D$82,O5,0,'First Mortgage Sizing'!$D$79)</f>
        <v>0</v>
      </c>
      <c r="P94" s="186">
        <f>FV('First Mortgage Sizing'!$D$82,P5,0,'First Mortgage Sizing'!$D$79)</f>
        <v>0</v>
      </c>
      <c r="Q94" s="186">
        <f>FV('First Mortgage Sizing'!$D$82,Q5,0,'First Mortgage Sizing'!$D$79)</f>
        <v>0</v>
      </c>
      <c r="R94" s="186">
        <f>FV('First Mortgage Sizing'!$D$82,R5,0,'First Mortgage Sizing'!$D$79)</f>
        <v>0</v>
      </c>
      <c r="S94" s="186">
        <f>FV('First Mortgage Sizing'!$D$82,S5,0,'First Mortgage Sizing'!$D$79)</f>
        <v>0</v>
      </c>
      <c r="T94" s="186">
        <f>FV('First Mortgage Sizing'!$D$82,T5,0,'First Mortgage Sizing'!$D$79)</f>
        <v>0</v>
      </c>
      <c r="U94" s="186">
        <f>FV('First Mortgage Sizing'!$D$82,U5,0,'First Mortgage Sizing'!$D$79)</f>
        <v>0</v>
      </c>
      <c r="V94" s="186">
        <f>FV('First Mortgage Sizing'!$D$82,V5,0,'First Mortgage Sizing'!$D$79)</f>
        <v>0</v>
      </c>
      <c r="W94" s="186">
        <f>FV('First Mortgage Sizing'!$D$82,W5,0,'First Mortgage Sizing'!$D$79)</f>
        <v>0</v>
      </c>
      <c r="X94" s="186">
        <f>FV('First Mortgage Sizing'!$D$82,X5,0,'First Mortgage Sizing'!$D$79)</f>
        <v>0</v>
      </c>
      <c r="Y94" s="186">
        <f>FV('First Mortgage Sizing'!$D$82,Y5,0,'First Mortgage Sizing'!$D$79)</f>
        <v>0</v>
      </c>
      <c r="Z94" s="186">
        <f>FV('First Mortgage Sizing'!$D$82,Z5,0,'First Mortgage Sizing'!$D$79)</f>
        <v>0</v>
      </c>
      <c r="AA94" s="186">
        <f>FV('First Mortgage Sizing'!$D$82,AA5,0,'First Mortgage Sizing'!$D$79)</f>
        <v>0</v>
      </c>
      <c r="AB94" s="186">
        <f>FV('First Mortgage Sizing'!$D$82,AB5,0,'First Mortgage Sizing'!$D$79)</f>
        <v>0</v>
      </c>
      <c r="AC94" s="186">
        <f>FV('First Mortgage Sizing'!$D$82,AC5,0,'First Mortgage Sizing'!$D$79)</f>
        <v>0</v>
      </c>
      <c r="AD94" s="186">
        <f>FV('First Mortgage Sizing'!$D$82,AD5,0,'First Mortgage Sizing'!$D$79)</f>
        <v>0</v>
      </c>
      <c r="AE94" s="186">
        <f>FV('First Mortgage Sizing'!$D$82,AE5,0,'First Mortgage Sizing'!$D$79)</f>
        <v>0</v>
      </c>
      <c r="AF94" s="186">
        <f>FV('First Mortgage Sizing'!$D$82,AF5,0,'First Mortgage Sizing'!$D$79)</f>
        <v>0</v>
      </c>
      <c r="AG94" s="186">
        <f>FV('First Mortgage Sizing'!$D$82,AG5,0,'First Mortgage Sizing'!$D$79)</f>
        <v>0</v>
      </c>
      <c r="AH94" s="213"/>
      <c r="AI94" s="213"/>
      <c r="AJ94" s="213"/>
      <c r="AK94" s="213"/>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c r="BY94" s="213"/>
      <c r="BZ94" s="213"/>
      <c r="CA94" s="213"/>
      <c r="CB94" s="213"/>
      <c r="CC94" s="213"/>
      <c r="CD94" s="213"/>
      <c r="CE94" s="213"/>
      <c r="CF94" s="213"/>
      <c r="CG94" s="213"/>
      <c r="CH94" s="213"/>
      <c r="CI94" s="213"/>
      <c r="CJ94" s="213"/>
      <c r="CK94" s="213"/>
      <c r="CL94" s="213"/>
      <c r="CM94" s="213"/>
      <c r="CN94" s="213"/>
      <c r="CO94" s="213"/>
      <c r="CP94" s="213"/>
      <c r="CQ94" s="213"/>
      <c r="CR94" s="213"/>
      <c r="CS94" s="213"/>
      <c r="CT94" s="213"/>
      <c r="CU94" s="213"/>
      <c r="CV94" s="213"/>
      <c r="CW94" s="213"/>
      <c r="CX94" s="213"/>
      <c r="CY94" s="213"/>
      <c r="CZ94" s="213"/>
      <c r="DA94" s="213"/>
      <c r="DB94" s="213"/>
      <c r="DC94" s="213"/>
      <c r="DD94" s="213"/>
      <c r="DE94" s="213"/>
      <c r="DF94" s="213"/>
      <c r="DG94" s="213"/>
      <c r="DH94" s="213"/>
      <c r="DI94" s="213"/>
      <c r="DJ94" s="213"/>
      <c r="DK94" s="213"/>
      <c r="DL94" s="213"/>
      <c r="DM94" s="213"/>
      <c r="DN94" s="213"/>
      <c r="DO94" s="213"/>
      <c r="DP94" s="213"/>
      <c r="DQ94" s="213"/>
      <c r="DR94" s="213"/>
      <c r="DS94" s="213"/>
      <c r="DT94" s="213"/>
      <c r="DU94" s="213"/>
      <c r="DV94" s="213"/>
      <c r="DW94" s="213"/>
      <c r="DX94" s="213"/>
      <c r="DY94" s="213"/>
      <c r="DZ94" s="213"/>
      <c r="EA94" s="213"/>
      <c r="EB94" s="213"/>
      <c r="EC94" s="213"/>
      <c r="ED94" s="213"/>
      <c r="EE94" s="213"/>
      <c r="EF94" s="213"/>
      <c r="EG94" s="213"/>
      <c r="EH94" s="213"/>
      <c r="EI94" s="213"/>
      <c r="EJ94" s="213"/>
      <c r="EK94" s="213"/>
      <c r="EL94" s="213"/>
      <c r="EM94" s="213"/>
      <c r="EN94" s="213"/>
      <c r="EO94" s="213"/>
      <c r="EP94" s="213"/>
      <c r="EQ94" s="213"/>
      <c r="ER94" s="213"/>
      <c r="ES94" s="213"/>
      <c r="ET94" s="213"/>
      <c r="EU94" s="213"/>
      <c r="EV94" s="213"/>
      <c r="EW94" s="213"/>
      <c r="EX94" s="213"/>
      <c r="EY94" s="213"/>
      <c r="EZ94" s="213"/>
      <c r="FA94" s="213"/>
      <c r="FB94" s="213"/>
      <c r="FC94" s="213"/>
      <c r="FD94" s="213"/>
      <c r="FE94" s="213"/>
      <c r="FF94" s="213"/>
      <c r="FG94" s="213"/>
      <c r="FH94" s="213"/>
      <c r="FI94" s="213"/>
      <c r="FJ94" s="213"/>
      <c r="FK94" s="213"/>
      <c r="FL94" s="213"/>
      <c r="FM94" s="213"/>
      <c r="FN94" s="213"/>
      <c r="FO94" s="213"/>
      <c r="FP94" s="213"/>
      <c r="FQ94" s="213"/>
      <c r="FR94" s="213"/>
      <c r="FS94" s="213"/>
      <c r="FT94" s="213"/>
      <c r="FU94" s="213"/>
      <c r="FV94" s="213"/>
      <c r="FW94" s="213"/>
      <c r="FX94" s="213"/>
      <c r="FY94" s="213"/>
      <c r="FZ94" s="213"/>
      <c r="GA94" s="213"/>
      <c r="GB94" s="213"/>
      <c r="GC94" s="213"/>
      <c r="GD94" s="213"/>
      <c r="GE94" s="213"/>
      <c r="GF94" s="213"/>
      <c r="GG94" s="213"/>
      <c r="GH94" s="213"/>
      <c r="GI94" s="213"/>
      <c r="GJ94" s="213"/>
      <c r="GK94" s="213"/>
      <c r="GL94" s="213"/>
      <c r="GM94" s="213"/>
      <c r="GN94" s="213"/>
      <c r="GO94" s="213"/>
      <c r="GP94" s="213"/>
      <c r="GQ94" s="213"/>
      <c r="GR94" s="213"/>
      <c r="GS94" s="213"/>
      <c r="GT94" s="213"/>
      <c r="GU94" s="213"/>
      <c r="GV94" s="213"/>
      <c r="GW94" s="213"/>
      <c r="GX94" s="213"/>
      <c r="GY94" s="213"/>
      <c r="GZ94" s="213"/>
      <c r="HA94" s="213"/>
      <c r="HB94" s="213"/>
      <c r="HC94" s="213"/>
      <c r="HD94" s="213"/>
      <c r="HE94" s="213"/>
      <c r="HF94" s="213"/>
      <c r="HG94" s="213"/>
      <c r="HH94" s="213"/>
      <c r="HI94" s="213"/>
      <c r="HJ94" s="213"/>
      <c r="HK94" s="213"/>
      <c r="HL94" s="213"/>
      <c r="HM94" s="213"/>
      <c r="HN94" s="213"/>
      <c r="HO94" s="213"/>
      <c r="HP94" s="213"/>
      <c r="HQ94" s="213"/>
      <c r="HR94" s="213"/>
      <c r="HS94" s="213"/>
      <c r="HT94" s="213"/>
      <c r="HU94" s="213"/>
      <c r="HV94" s="213"/>
      <c r="HW94" s="213"/>
      <c r="HX94" s="213"/>
      <c r="HY94" s="213"/>
      <c r="HZ94" s="213"/>
      <c r="IA94" s="213"/>
      <c r="IB94" s="213"/>
      <c r="IC94" s="213"/>
      <c r="ID94" s="213"/>
      <c r="IE94" s="213"/>
      <c r="IF94" s="213"/>
      <c r="IG94" s="213"/>
      <c r="IH94" s="213"/>
      <c r="II94" s="213"/>
      <c r="IJ94" s="213"/>
      <c r="IK94" s="213"/>
      <c r="IL94" s="213"/>
      <c r="IM94" s="213"/>
      <c r="IN94" s="213"/>
      <c r="IO94" s="213"/>
      <c r="IP94" s="213"/>
      <c r="IQ94" s="213"/>
      <c r="IR94" s="213"/>
      <c r="IS94" s="213"/>
      <c r="IT94" s="213"/>
      <c r="IU94" s="213"/>
      <c r="IV94" s="213"/>
      <c r="IW94" s="213"/>
      <c r="IX94" s="213"/>
    </row>
    <row r="95" spans="3:258" s="21" customFormat="1" ht="15" hidden="1" customHeight="1" x14ac:dyDescent="0.2">
      <c r="C95" s="5"/>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row>
    <row r="96" spans="3:258" s="21" customFormat="1" ht="15" hidden="1" customHeight="1" x14ac:dyDescent="0.2">
      <c r="C96" s="23" t="s">
        <v>187</v>
      </c>
      <c r="D96" s="6" t="str">
        <f>"Year "&amp;D$5</f>
        <v>Year 1</v>
      </c>
      <c r="E96" s="6" t="str">
        <f t="shared" ref="E96:AG96" si="10">"Year "&amp;E$5</f>
        <v>Year 2</v>
      </c>
      <c r="F96" s="6" t="str">
        <f t="shared" si="10"/>
        <v>Year 3</v>
      </c>
      <c r="G96" s="6" t="str">
        <f t="shared" si="10"/>
        <v>Year 4</v>
      </c>
      <c r="H96" s="6" t="str">
        <f t="shared" si="10"/>
        <v>Year 5</v>
      </c>
      <c r="I96" s="6" t="str">
        <f t="shared" si="10"/>
        <v>Year 6</v>
      </c>
      <c r="J96" s="6" t="str">
        <f t="shared" si="10"/>
        <v>Year 7</v>
      </c>
      <c r="K96" s="6" t="str">
        <f t="shared" si="10"/>
        <v>Year 8</v>
      </c>
      <c r="L96" s="6" t="str">
        <f t="shared" si="10"/>
        <v>Year 9</v>
      </c>
      <c r="M96" s="6" t="str">
        <f t="shared" si="10"/>
        <v>Year 10</v>
      </c>
      <c r="N96" s="6" t="str">
        <f t="shared" si="10"/>
        <v>Year 11</v>
      </c>
      <c r="O96" s="6" t="str">
        <f t="shared" si="10"/>
        <v>Year 12</v>
      </c>
      <c r="P96" s="6" t="str">
        <f t="shared" si="10"/>
        <v>Year 13</v>
      </c>
      <c r="Q96" s="6" t="str">
        <f t="shared" si="10"/>
        <v>Year 14</v>
      </c>
      <c r="R96" s="6" t="str">
        <f t="shared" si="10"/>
        <v>Year 15</v>
      </c>
      <c r="S96" s="6" t="str">
        <f t="shared" si="10"/>
        <v>Year 16</v>
      </c>
      <c r="T96" s="6" t="str">
        <f t="shared" si="10"/>
        <v>Year 17</v>
      </c>
      <c r="U96" s="6" t="str">
        <f t="shared" si="10"/>
        <v>Year 18</v>
      </c>
      <c r="V96" s="6" t="str">
        <f t="shared" si="10"/>
        <v>Year 19</v>
      </c>
      <c r="W96" s="6" t="str">
        <f t="shared" si="10"/>
        <v>Year 20</v>
      </c>
      <c r="X96" s="6" t="str">
        <f t="shared" si="10"/>
        <v>Year 21</v>
      </c>
      <c r="Y96" s="6" t="str">
        <f t="shared" si="10"/>
        <v>Year 22</v>
      </c>
      <c r="Z96" s="6" t="str">
        <f t="shared" si="10"/>
        <v>Year 23</v>
      </c>
      <c r="AA96" s="6" t="str">
        <f t="shared" si="10"/>
        <v>Year 24</v>
      </c>
      <c r="AB96" s="6" t="str">
        <f t="shared" si="10"/>
        <v>Year 25</v>
      </c>
      <c r="AC96" s="6" t="str">
        <f t="shared" si="10"/>
        <v>Year 26</v>
      </c>
      <c r="AD96" s="6" t="str">
        <f t="shared" si="10"/>
        <v>Year 27</v>
      </c>
      <c r="AE96" s="6" t="str">
        <f t="shared" si="10"/>
        <v>Year 28</v>
      </c>
      <c r="AF96" s="6" t="str">
        <f t="shared" si="10"/>
        <v>Year 29</v>
      </c>
      <c r="AG96" s="6" t="str">
        <f t="shared" si="10"/>
        <v>Year 30</v>
      </c>
    </row>
    <row r="97" spans="3:33" s="21" customFormat="1" ht="15" hidden="1" customHeight="1" x14ac:dyDescent="0.2">
      <c r="C97" s="23"/>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row>
    <row r="98" spans="3:33" s="177" customFormat="1" ht="15" hidden="1" customHeight="1" x14ac:dyDescent="0.2">
      <c r="C98" s="178" t="s">
        <v>15</v>
      </c>
      <c r="D98" s="182" t="s">
        <v>198</v>
      </c>
      <c r="E98" s="182"/>
      <c r="F98" s="182"/>
      <c r="G98" s="182"/>
      <c r="H98" s="182"/>
      <c r="I98" s="182"/>
      <c r="J98" s="182"/>
      <c r="K98" s="182"/>
      <c r="L98" s="182"/>
      <c r="M98" s="182"/>
      <c r="N98" s="182"/>
      <c r="O98" s="182"/>
      <c r="P98" s="182"/>
      <c r="Q98" s="182"/>
      <c r="R98" s="182"/>
      <c r="S98" s="182"/>
      <c r="T98" s="182"/>
      <c r="U98" s="182"/>
      <c r="V98" s="182"/>
      <c r="W98" s="182"/>
      <c r="X98" s="182"/>
      <c r="Y98" s="182"/>
      <c r="Z98" s="182"/>
      <c r="AA98" s="182"/>
      <c r="AB98" s="182"/>
      <c r="AC98" s="182"/>
      <c r="AD98" s="182"/>
      <c r="AE98" s="182"/>
      <c r="AF98" s="182"/>
      <c r="AG98" s="182"/>
    </row>
    <row r="99" spans="3:33" s="177" customFormat="1" ht="15" hidden="1" customHeight="1" x14ac:dyDescent="0.2">
      <c r="C99" s="180">
        <f>-'Sources and Uses'!D26</f>
        <v>-39000</v>
      </c>
      <c r="D99" s="182">
        <f t="shared" ref="D99:AG99" si="11">D37</f>
        <v>-11398.382660966865</v>
      </c>
      <c r="E99" s="182">
        <f t="shared" si="11"/>
        <v>8054</v>
      </c>
      <c r="F99" s="182">
        <f t="shared" si="11"/>
        <v>7878</v>
      </c>
      <c r="G99" s="182">
        <f t="shared" si="11"/>
        <v>7682</v>
      </c>
      <c r="H99" s="182">
        <f t="shared" si="11"/>
        <v>7467</v>
      </c>
      <c r="I99" s="182">
        <f t="shared" si="11"/>
        <v>7231</v>
      </c>
      <c r="J99" s="182">
        <f t="shared" si="11"/>
        <v>6974</v>
      </c>
      <c r="K99" s="182">
        <f t="shared" si="11"/>
        <v>6695</v>
      </c>
      <c r="L99" s="182">
        <f t="shared" si="11"/>
        <v>6392</v>
      </c>
      <c r="M99" s="182">
        <f t="shared" si="11"/>
        <v>6064</v>
      </c>
      <c r="N99" s="182">
        <f t="shared" si="11"/>
        <v>5713</v>
      </c>
      <c r="O99" s="182">
        <f t="shared" si="11"/>
        <v>5335</v>
      </c>
      <c r="P99" s="182">
        <f t="shared" si="11"/>
        <v>4932</v>
      </c>
      <c r="Q99" s="182">
        <f t="shared" si="11"/>
        <v>4500</v>
      </c>
      <c r="R99" s="182">
        <f t="shared" si="11"/>
        <v>4039</v>
      </c>
      <c r="S99" s="182">
        <f t="shared" si="11"/>
        <v>99065</v>
      </c>
      <c r="T99" s="182">
        <f t="shared" si="11"/>
        <v>100173</v>
      </c>
      <c r="U99" s="182">
        <f t="shared" si="11"/>
        <v>101282</v>
      </c>
      <c r="V99" s="182">
        <f t="shared" si="11"/>
        <v>102389</v>
      </c>
      <c r="W99" s="182">
        <f t="shared" si="11"/>
        <v>103497</v>
      </c>
      <c r="X99" s="182">
        <f t="shared" si="11"/>
        <v>104603</v>
      </c>
      <c r="Y99" s="182">
        <f t="shared" si="11"/>
        <v>105708</v>
      </c>
      <c r="Z99" s="182">
        <f t="shared" si="11"/>
        <v>106809</v>
      </c>
      <c r="AA99" s="182">
        <f t="shared" si="11"/>
        <v>107907</v>
      </c>
      <c r="AB99" s="182">
        <f t="shared" si="11"/>
        <v>109001</v>
      </c>
      <c r="AC99" s="182">
        <f t="shared" si="11"/>
        <v>110091</v>
      </c>
      <c r="AD99" s="182">
        <f t="shared" si="11"/>
        <v>111176</v>
      </c>
      <c r="AE99" s="182">
        <f t="shared" si="11"/>
        <v>112255</v>
      </c>
      <c r="AF99" s="182">
        <f t="shared" si="11"/>
        <v>113327</v>
      </c>
      <c r="AG99" s="182">
        <f t="shared" si="11"/>
        <v>348533</v>
      </c>
    </row>
    <row r="100" spans="3:33" s="21" customFormat="1" ht="15" hidden="1" customHeight="1" x14ac:dyDescent="0.2">
      <c r="C100" s="605">
        <f>IRR(C99:AG99)</f>
        <v>0.21993871437253398</v>
      </c>
      <c r="D100" s="579" t="s">
        <v>23</v>
      </c>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row>
    <row r="101" spans="3:33" s="21" customFormat="1" ht="15" hidden="1" customHeight="1" x14ac:dyDescent="0.2">
      <c r="C101" s="5"/>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row>
    <row r="102" spans="3:33" s="21" customFormat="1" ht="15" hidden="1" customHeight="1" x14ac:dyDescent="0.2">
      <c r="C102" s="403" t="s">
        <v>498</v>
      </c>
      <c r="D102" s="503">
        <f>IF(D27=0,100,-D24/D27)</f>
        <v>0.18521188981622475</v>
      </c>
      <c r="E102" s="503">
        <f t="shared" ref="E102:AG102" si="12">IF(E27=0,100,-E24/E27)</f>
        <v>1.5757380799199372</v>
      </c>
      <c r="F102" s="503">
        <f t="shared" si="12"/>
        <v>1.5631567660304524</v>
      </c>
      <c r="G102" s="503">
        <f t="shared" si="12"/>
        <v>1.5491457573807992</v>
      </c>
      <c r="H102" s="503">
        <f t="shared" si="12"/>
        <v>1.5337765387089857</v>
      </c>
      <c r="I102" s="503">
        <f t="shared" si="12"/>
        <v>1.516906140538995</v>
      </c>
      <c r="J102" s="503">
        <f t="shared" si="12"/>
        <v>1.4985345628708271</v>
      </c>
      <c r="K102" s="503">
        <f t="shared" si="12"/>
        <v>1.4785903209664737</v>
      </c>
      <c r="L102" s="503">
        <f t="shared" si="12"/>
        <v>1.4569304453499179</v>
      </c>
      <c r="M102" s="503">
        <f t="shared" si="12"/>
        <v>1.4334834512831511</v>
      </c>
      <c r="N102" s="503">
        <f t="shared" si="12"/>
        <v>1.4083923082421903</v>
      </c>
      <c r="O102" s="503">
        <f t="shared" si="12"/>
        <v>1.3813710772750019</v>
      </c>
      <c r="P102" s="503">
        <f t="shared" si="12"/>
        <v>1.3525627278576025</v>
      </c>
      <c r="Q102" s="503">
        <f t="shared" si="12"/>
        <v>1.3216813210379583</v>
      </c>
      <c r="R102" s="503">
        <f t="shared" si="12"/>
        <v>1.2887268568160697</v>
      </c>
      <c r="S102" s="503">
        <f t="shared" si="12"/>
        <v>100</v>
      </c>
      <c r="T102" s="503">
        <f t="shared" si="12"/>
        <v>100</v>
      </c>
      <c r="U102" s="503">
        <f t="shared" si="12"/>
        <v>100</v>
      </c>
      <c r="V102" s="503">
        <f t="shared" si="12"/>
        <v>100</v>
      </c>
      <c r="W102" s="503">
        <f t="shared" si="12"/>
        <v>100</v>
      </c>
      <c r="X102" s="503">
        <f t="shared" si="12"/>
        <v>100</v>
      </c>
      <c r="Y102" s="503">
        <f t="shared" si="12"/>
        <v>100</v>
      </c>
      <c r="Z102" s="503">
        <f t="shared" si="12"/>
        <v>100</v>
      </c>
      <c r="AA102" s="503">
        <f t="shared" si="12"/>
        <v>100</v>
      </c>
      <c r="AB102" s="503">
        <f t="shared" si="12"/>
        <v>100</v>
      </c>
      <c r="AC102" s="503">
        <f t="shared" si="12"/>
        <v>100</v>
      </c>
      <c r="AD102" s="503">
        <f t="shared" si="12"/>
        <v>100</v>
      </c>
      <c r="AE102" s="503">
        <f t="shared" si="12"/>
        <v>100</v>
      </c>
      <c r="AF102" s="503">
        <f t="shared" si="12"/>
        <v>100</v>
      </c>
      <c r="AG102" s="503">
        <f t="shared" si="12"/>
        <v>100</v>
      </c>
    </row>
    <row r="103" spans="3:33" s="21" customFormat="1" ht="15" customHeight="1" x14ac:dyDescent="0.2">
      <c r="C103" s="5"/>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row>
    <row r="104" spans="3:33" s="21" customFormat="1" ht="15" customHeight="1" x14ac:dyDescent="0.2">
      <c r="C104" s="606" t="s">
        <v>696</v>
      </c>
      <c r="D104" s="6" t="str">
        <f>"Year "&amp;D$5</f>
        <v>Year 1</v>
      </c>
      <c r="E104" s="6" t="str">
        <f t="shared" ref="E104:AG104" si="13">"Year "&amp;E$5</f>
        <v>Year 2</v>
      </c>
      <c r="F104" s="6" t="str">
        <f t="shared" si="13"/>
        <v>Year 3</v>
      </c>
      <c r="G104" s="6" t="str">
        <f t="shared" si="13"/>
        <v>Year 4</v>
      </c>
      <c r="H104" s="6" t="str">
        <f t="shared" si="13"/>
        <v>Year 5</v>
      </c>
      <c r="I104" s="6" t="str">
        <f t="shared" si="13"/>
        <v>Year 6</v>
      </c>
      <c r="J104" s="6" t="str">
        <f t="shared" si="13"/>
        <v>Year 7</v>
      </c>
      <c r="K104" s="6" t="str">
        <f t="shared" si="13"/>
        <v>Year 8</v>
      </c>
      <c r="L104" s="6" t="str">
        <f t="shared" si="13"/>
        <v>Year 9</v>
      </c>
      <c r="M104" s="6" t="str">
        <f t="shared" si="13"/>
        <v>Year 10</v>
      </c>
      <c r="N104" s="6" t="str">
        <f t="shared" si="13"/>
        <v>Year 11</v>
      </c>
      <c r="O104" s="6" t="str">
        <f t="shared" si="13"/>
        <v>Year 12</v>
      </c>
      <c r="P104" s="6" t="str">
        <f t="shared" si="13"/>
        <v>Year 13</v>
      </c>
      <c r="Q104" s="6" t="str">
        <f t="shared" si="13"/>
        <v>Year 14</v>
      </c>
      <c r="R104" s="6" t="str">
        <f t="shared" si="13"/>
        <v>Year 15</v>
      </c>
      <c r="S104" s="6" t="str">
        <f t="shared" si="13"/>
        <v>Year 16</v>
      </c>
      <c r="T104" s="6" t="str">
        <f t="shared" si="13"/>
        <v>Year 17</v>
      </c>
      <c r="U104" s="6" t="str">
        <f t="shared" si="13"/>
        <v>Year 18</v>
      </c>
      <c r="V104" s="6" t="str">
        <f t="shared" si="13"/>
        <v>Year 19</v>
      </c>
      <c r="W104" s="6" t="str">
        <f t="shared" si="13"/>
        <v>Year 20</v>
      </c>
      <c r="X104" s="6" t="str">
        <f t="shared" si="13"/>
        <v>Year 21</v>
      </c>
      <c r="Y104" s="6" t="str">
        <f t="shared" si="13"/>
        <v>Year 22</v>
      </c>
      <c r="Z104" s="6" t="str">
        <f t="shared" si="13"/>
        <v>Year 23</v>
      </c>
      <c r="AA104" s="6" t="str">
        <f t="shared" si="13"/>
        <v>Year 24</v>
      </c>
      <c r="AB104" s="6" t="str">
        <f t="shared" si="13"/>
        <v>Year 25</v>
      </c>
      <c r="AC104" s="6" t="str">
        <f t="shared" si="13"/>
        <v>Year 26</v>
      </c>
      <c r="AD104" s="6" t="str">
        <f t="shared" si="13"/>
        <v>Year 27</v>
      </c>
      <c r="AE104" s="6" t="str">
        <f t="shared" si="13"/>
        <v>Year 28</v>
      </c>
      <c r="AF104" s="6" t="str">
        <f t="shared" si="13"/>
        <v>Year 29</v>
      </c>
      <c r="AG104" s="6" t="str">
        <f t="shared" si="13"/>
        <v>Year 30</v>
      </c>
    </row>
    <row r="105" spans="3:33" s="21" customFormat="1" ht="15" customHeight="1" x14ac:dyDescent="0.2">
      <c r="C105" s="5"/>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row>
    <row r="106" spans="3:33" s="21" customFormat="1" ht="15" customHeight="1" x14ac:dyDescent="0.2">
      <c r="C106" s="403" t="s">
        <v>698</v>
      </c>
      <c r="D106" s="6">
        <f>IF(D35&lt;0,D5,"")</f>
        <v>1</v>
      </c>
      <c r="E106" s="6" t="str">
        <f t="shared" ref="E106:AG106" si="14">IF(E35&lt;0,E5,"")</f>
        <v/>
      </c>
      <c r="F106" s="6" t="str">
        <f t="shared" si="14"/>
        <v/>
      </c>
      <c r="G106" s="6" t="str">
        <f t="shared" si="14"/>
        <v/>
      </c>
      <c r="H106" s="6" t="str">
        <f t="shared" si="14"/>
        <v/>
      </c>
      <c r="I106" s="6" t="str">
        <f t="shared" si="14"/>
        <v/>
      </c>
      <c r="J106" s="6" t="str">
        <f t="shared" si="14"/>
        <v/>
      </c>
      <c r="K106" s="6" t="str">
        <f t="shared" si="14"/>
        <v/>
      </c>
      <c r="L106" s="6" t="str">
        <f t="shared" si="14"/>
        <v/>
      </c>
      <c r="M106" s="6" t="str">
        <f t="shared" si="14"/>
        <v/>
      </c>
      <c r="N106" s="6" t="str">
        <f t="shared" si="14"/>
        <v/>
      </c>
      <c r="O106" s="6" t="str">
        <f t="shared" si="14"/>
        <v/>
      </c>
      <c r="P106" s="6" t="str">
        <f t="shared" si="14"/>
        <v/>
      </c>
      <c r="Q106" s="6" t="str">
        <f t="shared" si="14"/>
        <v/>
      </c>
      <c r="R106" s="6" t="str">
        <f t="shared" si="14"/>
        <v/>
      </c>
      <c r="S106" s="6" t="str">
        <f t="shared" si="14"/>
        <v/>
      </c>
      <c r="T106" s="6" t="str">
        <f t="shared" si="14"/>
        <v/>
      </c>
      <c r="U106" s="6" t="str">
        <f t="shared" si="14"/>
        <v/>
      </c>
      <c r="V106" s="6" t="str">
        <f t="shared" si="14"/>
        <v/>
      </c>
      <c r="W106" s="6" t="str">
        <f t="shared" si="14"/>
        <v/>
      </c>
      <c r="X106" s="6" t="str">
        <f t="shared" si="14"/>
        <v/>
      </c>
      <c r="Y106" s="6" t="str">
        <f t="shared" si="14"/>
        <v/>
      </c>
      <c r="Z106" s="6" t="str">
        <f t="shared" si="14"/>
        <v/>
      </c>
      <c r="AA106" s="6" t="str">
        <f t="shared" si="14"/>
        <v/>
      </c>
      <c r="AB106" s="6" t="str">
        <f t="shared" si="14"/>
        <v/>
      </c>
      <c r="AC106" s="6" t="str">
        <f t="shared" si="14"/>
        <v/>
      </c>
      <c r="AD106" s="6" t="str">
        <f t="shared" si="14"/>
        <v/>
      </c>
      <c r="AE106" s="6" t="str">
        <f t="shared" si="14"/>
        <v/>
      </c>
      <c r="AF106" s="6" t="str">
        <f t="shared" si="14"/>
        <v/>
      </c>
      <c r="AG106" s="6">
        <f t="shared" si="14"/>
        <v>30</v>
      </c>
    </row>
    <row r="107" spans="3:33" s="21" customFormat="1" ht="15" customHeight="1" x14ac:dyDescent="0.2">
      <c r="C107" s="403" t="s">
        <v>699</v>
      </c>
      <c r="D107" s="6"/>
      <c r="E107" s="6" t="str">
        <f>IF(SUM($D106:D106)=0,"No","Yes")</f>
        <v>Yes</v>
      </c>
      <c r="F107" s="6" t="str">
        <f>IF(SUM($D106:E106)=0,"No","Yes")</f>
        <v>Yes</v>
      </c>
      <c r="G107" s="6" t="str">
        <f>IF(SUM($D106:F106)=0,"No","Yes")</f>
        <v>Yes</v>
      </c>
      <c r="H107" s="6" t="str">
        <f>IF(SUM($D106:G106)=0,"No","Yes")</f>
        <v>Yes</v>
      </c>
      <c r="I107" s="6" t="str">
        <f>IF(SUM($D106:H106)=0,"No","Yes")</f>
        <v>Yes</v>
      </c>
      <c r="J107" s="6" t="str">
        <f>IF(SUM($D106:I106)=0,"No","Yes")</f>
        <v>Yes</v>
      </c>
      <c r="K107" s="6" t="str">
        <f>IF(SUM($D106:J106)=0,"No","Yes")</f>
        <v>Yes</v>
      </c>
      <c r="L107" s="6" t="str">
        <f>IF(SUM($D106:K106)=0,"No","Yes")</f>
        <v>Yes</v>
      </c>
      <c r="M107" s="6" t="str">
        <f>IF(SUM($D106:L106)=0,"No","Yes")</f>
        <v>Yes</v>
      </c>
      <c r="N107" s="6" t="str">
        <f>IF(SUM($D106:M106)=0,"No","Yes")</f>
        <v>Yes</v>
      </c>
      <c r="O107" s="6" t="str">
        <f>IF(SUM($D106:N106)=0,"No","Yes")</f>
        <v>Yes</v>
      </c>
      <c r="P107" s="6" t="str">
        <f>IF(SUM($D106:O106)=0,"No","Yes")</f>
        <v>Yes</v>
      </c>
      <c r="Q107" s="6" t="str">
        <f>IF(SUM($D106:P106)=0,"No","Yes")</f>
        <v>Yes</v>
      </c>
      <c r="R107" s="6" t="str">
        <f>IF(SUM($D106:Q106)=0,"No","Yes")</f>
        <v>Yes</v>
      </c>
      <c r="S107" s="6" t="str">
        <f>IF(SUM($D106:R106)=0,"No","Yes")</f>
        <v>Yes</v>
      </c>
      <c r="T107" s="6" t="str">
        <f>IF(SUM($D106:S106)=0,"No","Yes")</f>
        <v>Yes</v>
      </c>
      <c r="U107" s="6" t="str">
        <f>IF(SUM($D106:T106)=0,"No","Yes")</f>
        <v>Yes</v>
      </c>
      <c r="V107" s="6" t="str">
        <f>IF(SUM($D106:U106)=0,"No","Yes")</f>
        <v>Yes</v>
      </c>
      <c r="W107" s="6" t="str">
        <f>IF(SUM($D106:V106)=0,"No","Yes")</f>
        <v>Yes</v>
      </c>
      <c r="X107" s="6" t="str">
        <f>IF(SUM($D106:W106)=0,"No","Yes")</f>
        <v>Yes</v>
      </c>
      <c r="Y107" s="6" t="str">
        <f>IF(SUM($D106:X106)=0,"No","Yes")</f>
        <v>Yes</v>
      </c>
      <c r="Z107" s="6" t="str">
        <f>IF(SUM($D106:Y106)=0,"No","Yes")</f>
        <v>Yes</v>
      </c>
      <c r="AA107" s="6" t="str">
        <f>IF(SUM($D106:Z106)=0,"No","Yes")</f>
        <v>Yes</v>
      </c>
      <c r="AB107" s="6" t="str">
        <f>IF(SUM($D106:AA106)=0,"No","Yes")</f>
        <v>Yes</v>
      </c>
      <c r="AC107" s="6" t="str">
        <f>IF(SUM($D106:AB106)=0,"No","Yes")</f>
        <v>Yes</v>
      </c>
      <c r="AD107" s="6" t="str">
        <f>IF(SUM($D106:AC106)=0,"No","Yes")</f>
        <v>Yes</v>
      </c>
      <c r="AE107" s="6" t="str">
        <f>IF(SUM($D106:AD106)=0,"No","Yes")</f>
        <v>Yes</v>
      </c>
      <c r="AF107" s="6" t="str">
        <f>IF(SUM($D106:AE106)=0,"No","Yes")</f>
        <v>Yes</v>
      </c>
      <c r="AG107" s="6" t="str">
        <f>IF(SUM($D106:AF106)=0,"No","Yes")</f>
        <v>Yes</v>
      </c>
    </row>
    <row r="108" spans="3:33" s="21" customFormat="1" ht="15" customHeight="1" x14ac:dyDescent="0.2">
      <c r="C108" s="403" t="s">
        <v>700</v>
      </c>
      <c r="D108" s="6">
        <f>+D106</f>
        <v>1</v>
      </c>
      <c r="E108" s="6" t="str">
        <f>IF(E106="","",IF(E107="Yes",", ","")&amp;E106)</f>
        <v/>
      </c>
      <c r="F108" s="6" t="str">
        <f t="shared" ref="F108:AG108" si="15">IF(F106="","",IF(F107="Yes",", ","")&amp;F106)</f>
        <v/>
      </c>
      <c r="G108" s="6" t="str">
        <f t="shared" si="15"/>
        <v/>
      </c>
      <c r="H108" s="6" t="str">
        <f t="shared" si="15"/>
        <v/>
      </c>
      <c r="I108" s="6" t="str">
        <f t="shared" si="15"/>
        <v/>
      </c>
      <c r="J108" s="6" t="str">
        <f t="shared" si="15"/>
        <v/>
      </c>
      <c r="K108" s="6" t="str">
        <f t="shared" si="15"/>
        <v/>
      </c>
      <c r="L108" s="6" t="str">
        <f t="shared" si="15"/>
        <v/>
      </c>
      <c r="M108" s="6" t="str">
        <f t="shared" si="15"/>
        <v/>
      </c>
      <c r="N108" s="6" t="str">
        <f t="shared" si="15"/>
        <v/>
      </c>
      <c r="O108" s="6" t="str">
        <f t="shared" si="15"/>
        <v/>
      </c>
      <c r="P108" s="6" t="str">
        <f t="shared" si="15"/>
        <v/>
      </c>
      <c r="Q108" s="6" t="str">
        <f t="shared" si="15"/>
        <v/>
      </c>
      <c r="R108" s="6" t="str">
        <f t="shared" si="15"/>
        <v/>
      </c>
      <c r="S108" s="6" t="str">
        <f t="shared" si="15"/>
        <v/>
      </c>
      <c r="T108" s="6" t="str">
        <f t="shared" si="15"/>
        <v/>
      </c>
      <c r="U108" s="6" t="str">
        <f t="shared" si="15"/>
        <v/>
      </c>
      <c r="V108" s="6" t="str">
        <f t="shared" si="15"/>
        <v/>
      </c>
      <c r="W108" s="6" t="str">
        <f t="shared" si="15"/>
        <v/>
      </c>
      <c r="X108" s="6" t="str">
        <f t="shared" si="15"/>
        <v/>
      </c>
      <c r="Y108" s="6" t="str">
        <f t="shared" si="15"/>
        <v/>
      </c>
      <c r="Z108" s="6" t="str">
        <f t="shared" si="15"/>
        <v/>
      </c>
      <c r="AA108" s="6" t="str">
        <f t="shared" si="15"/>
        <v/>
      </c>
      <c r="AB108" s="6" t="str">
        <f t="shared" si="15"/>
        <v/>
      </c>
      <c r="AC108" s="6" t="str">
        <f t="shared" si="15"/>
        <v/>
      </c>
      <c r="AD108" s="6" t="str">
        <f t="shared" si="15"/>
        <v/>
      </c>
      <c r="AE108" s="6" t="str">
        <f t="shared" si="15"/>
        <v/>
      </c>
      <c r="AF108" s="6" t="str">
        <f t="shared" si="15"/>
        <v/>
      </c>
      <c r="AG108" s="6" t="str">
        <f t="shared" si="15"/>
        <v>, 30</v>
      </c>
    </row>
    <row r="109" spans="3:33" s="21" customFormat="1" ht="15" customHeight="1" x14ac:dyDescent="0.2">
      <c r="C109" s="5"/>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row>
    <row r="110" spans="3:33" s="21" customFormat="1" ht="15" customHeight="1" x14ac:dyDescent="0.2">
      <c r="C110" s="403" t="s">
        <v>697</v>
      </c>
      <c r="D110" s="6" t="str">
        <f>CONCATENATE(D108,E108,F108,G108,H108,I108,J108,K108,L108,M108,N108,O108,P108,Q108,R108,S108,T108,U108,V108,W108,X108,Y108,Z108,AA108,AB108,AC108,AD108,AE108,AF108,AG108)</f>
        <v>1, 30</v>
      </c>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row>
    <row r="111" spans="3:33" s="21" customFormat="1" ht="15" customHeight="1" x14ac:dyDescent="0.2">
      <c r="C111" s="5"/>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row>
    <row r="112" spans="3:33" s="21" customFormat="1" ht="15" customHeight="1" x14ac:dyDescent="0.2">
      <c r="C112" s="5"/>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row>
    <row r="113" spans="3:33" s="21" customFormat="1" ht="15" customHeight="1" x14ac:dyDescent="0.2">
      <c r="C113" s="5"/>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row>
    <row r="114" spans="3:33" s="21" customFormat="1" ht="15" customHeight="1" x14ac:dyDescent="0.2">
      <c r="C114" s="5"/>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row>
    <row r="115" spans="3:33" s="21" customFormat="1" ht="15" customHeight="1" x14ac:dyDescent="0.2">
      <c r="C115" s="5"/>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row>
    <row r="116" spans="3:33" s="21" customFormat="1" ht="15" customHeight="1" x14ac:dyDescent="0.2">
      <c r="C116" s="5"/>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row>
    <row r="117" spans="3:33" s="21" customFormat="1" ht="15" customHeight="1" x14ac:dyDescent="0.2">
      <c r="C117" s="5"/>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row>
    <row r="118" spans="3:33" s="21" customFormat="1" ht="15" customHeight="1" x14ac:dyDescent="0.2">
      <c r="C118" s="5"/>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row>
    <row r="119" spans="3:33" s="21" customFormat="1" ht="15" customHeight="1" x14ac:dyDescent="0.2">
      <c r="C119" s="5"/>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row>
    <row r="120" spans="3:33" s="21" customFormat="1" ht="15" customHeight="1" x14ac:dyDescent="0.2">
      <c r="C120" s="5"/>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row>
    <row r="121" spans="3:33" s="21" customFormat="1" ht="15" customHeight="1" x14ac:dyDescent="0.2">
      <c r="C121" s="5"/>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row>
    <row r="122" spans="3:33" s="21" customFormat="1" ht="15" customHeight="1" x14ac:dyDescent="0.2">
      <c r="C122" s="5"/>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row>
    <row r="123" spans="3:33" s="21" customFormat="1" ht="15" customHeight="1" x14ac:dyDescent="0.2">
      <c r="C123" s="5"/>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row>
    <row r="124" spans="3:33" s="21" customFormat="1" ht="15" customHeight="1" x14ac:dyDescent="0.2">
      <c r="C124" s="5"/>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row>
    <row r="125" spans="3:33" s="21" customFormat="1" ht="15" customHeight="1" x14ac:dyDescent="0.2">
      <c r="C125" s="5"/>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row>
    <row r="126" spans="3:33" s="21" customFormat="1" ht="15" customHeight="1" x14ac:dyDescent="0.2">
      <c r="C126" s="5"/>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row>
    <row r="127" spans="3:33" s="21" customFormat="1" ht="15" customHeight="1" x14ac:dyDescent="0.2">
      <c r="C127" s="5"/>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row>
    <row r="128" spans="3:33" s="21" customFormat="1" ht="15" customHeight="1" x14ac:dyDescent="0.2">
      <c r="C128" s="5"/>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row>
    <row r="129" spans="3:33" s="21" customFormat="1" ht="15" customHeight="1" x14ac:dyDescent="0.2">
      <c r="C129" s="5"/>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row>
    <row r="130" spans="3:33" s="21" customFormat="1" ht="15" customHeight="1" x14ac:dyDescent="0.2">
      <c r="C130" s="5"/>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row>
    <row r="131" spans="3:33" s="21" customFormat="1" ht="15" customHeight="1" x14ac:dyDescent="0.2">
      <c r="C131" s="5"/>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row>
    <row r="132" spans="3:33" s="21" customFormat="1" ht="15" customHeight="1" x14ac:dyDescent="0.2">
      <c r="C132" s="5"/>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row>
    <row r="133" spans="3:33" s="21" customFormat="1" ht="15" customHeight="1" x14ac:dyDescent="0.2">
      <c r="C133" s="5"/>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row>
    <row r="134" spans="3:33" s="21" customFormat="1" ht="15" customHeight="1" x14ac:dyDescent="0.2">
      <c r="C134" s="5"/>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row>
    <row r="135" spans="3:33" s="21" customFormat="1" ht="15" customHeight="1" x14ac:dyDescent="0.2">
      <c r="C135" s="5"/>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row>
    <row r="136" spans="3:33" s="21" customFormat="1" ht="15" customHeight="1" x14ac:dyDescent="0.2">
      <c r="C136" s="5"/>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row>
    <row r="137" spans="3:33" s="21" customFormat="1" ht="15" customHeight="1" x14ac:dyDescent="0.2">
      <c r="C137" s="5"/>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row>
    <row r="138" spans="3:33" s="21" customFormat="1" ht="15" customHeight="1" x14ac:dyDescent="0.2">
      <c r="C138" s="5"/>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row>
    <row r="139" spans="3:33" s="21" customFormat="1" ht="15" customHeight="1" x14ac:dyDescent="0.2">
      <c r="C139" s="5"/>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row>
    <row r="140" spans="3:33" s="21" customFormat="1" ht="15" customHeight="1" x14ac:dyDescent="0.2">
      <c r="C140" s="5"/>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row>
    <row r="141" spans="3:33" s="21" customFormat="1" ht="15" customHeight="1" x14ac:dyDescent="0.2">
      <c r="C141" s="5"/>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row>
    <row r="142" spans="3:33" s="21" customFormat="1" ht="15" customHeight="1" x14ac:dyDescent="0.2">
      <c r="C142" s="5"/>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row>
    <row r="143" spans="3:33" s="21" customFormat="1" ht="15" customHeight="1" x14ac:dyDescent="0.2">
      <c r="C143" s="5"/>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row>
    <row r="144" spans="3:33" s="21" customFormat="1" ht="15" customHeight="1" x14ac:dyDescent="0.2">
      <c r="C144" s="5"/>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row>
    <row r="145" spans="3:33" s="21" customFormat="1" ht="15" customHeight="1" x14ac:dyDescent="0.2">
      <c r="C145" s="5"/>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row>
    <row r="146" spans="3:33" s="21" customFormat="1" ht="15" customHeight="1" x14ac:dyDescent="0.2">
      <c r="C146" s="5"/>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row>
    <row r="147" spans="3:33" s="21" customFormat="1" ht="15" customHeight="1" x14ac:dyDescent="0.2">
      <c r="C147" s="5"/>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row>
    <row r="148" spans="3:33" s="21" customFormat="1" ht="15" customHeight="1" x14ac:dyDescent="0.2">
      <c r="C148" s="5"/>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row>
    <row r="149" spans="3:33" s="21" customFormat="1" ht="15" customHeight="1" x14ac:dyDescent="0.2">
      <c r="C149" s="5"/>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row>
    <row r="150" spans="3:33" s="21" customFormat="1" ht="15" customHeight="1" x14ac:dyDescent="0.2">
      <c r="C150" s="5"/>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row>
    <row r="151" spans="3:33" s="21" customFormat="1" ht="15" customHeight="1" x14ac:dyDescent="0.2">
      <c r="C151" s="5"/>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row>
    <row r="152" spans="3:33" s="21" customFormat="1" ht="15" customHeight="1" x14ac:dyDescent="0.2">
      <c r="C152" s="5"/>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row>
    <row r="153" spans="3:33" s="21" customFormat="1" ht="15" customHeight="1" x14ac:dyDescent="0.2">
      <c r="C153" s="5"/>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row>
    <row r="154" spans="3:33" s="21" customFormat="1" ht="15" customHeight="1" x14ac:dyDescent="0.2">
      <c r="C154" s="5"/>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row>
    <row r="155" spans="3:33" s="21" customFormat="1" ht="15" customHeight="1" x14ac:dyDescent="0.2">
      <c r="C155" s="5"/>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row>
    <row r="156" spans="3:33" s="21" customFormat="1" ht="15" customHeight="1" x14ac:dyDescent="0.2">
      <c r="C156" s="5"/>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row>
    <row r="157" spans="3:33" s="21" customFormat="1" ht="15" customHeight="1" x14ac:dyDescent="0.2">
      <c r="C157" s="5"/>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row>
    <row r="158" spans="3:33" s="21" customFormat="1" ht="15" customHeight="1" x14ac:dyDescent="0.2">
      <c r="C158" s="5"/>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row>
    <row r="159" spans="3:33" s="21" customFormat="1" ht="15" customHeight="1" x14ac:dyDescent="0.2">
      <c r="C159" s="5"/>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row>
    <row r="160" spans="3:33" s="21" customFormat="1" ht="15" customHeight="1" x14ac:dyDescent="0.2">
      <c r="C160" s="5"/>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row>
    <row r="161" spans="3:33" s="21" customFormat="1" ht="15" customHeight="1" x14ac:dyDescent="0.2">
      <c r="C161" s="5"/>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row>
    <row r="162" spans="3:33" s="21" customFormat="1" ht="15" customHeight="1" x14ac:dyDescent="0.2">
      <c r="C162" s="5"/>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row>
    <row r="163" spans="3:33" s="21" customFormat="1" ht="15" customHeight="1" x14ac:dyDescent="0.2">
      <c r="C163" s="5"/>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row>
    <row r="164" spans="3:33" s="21" customFormat="1" ht="15" customHeight="1" x14ac:dyDescent="0.2">
      <c r="C164" s="5"/>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row>
    <row r="165" spans="3:33" s="21" customFormat="1" ht="15" customHeight="1" x14ac:dyDescent="0.2">
      <c r="C165" s="5"/>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row>
    <row r="166" spans="3:33" s="21" customFormat="1" ht="15" customHeight="1" x14ac:dyDescent="0.2">
      <c r="C166" s="5"/>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row>
    <row r="167" spans="3:33" s="21" customFormat="1" ht="15" customHeight="1" x14ac:dyDescent="0.2">
      <c r="C167" s="5"/>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row>
    <row r="168" spans="3:33" s="21" customFormat="1" ht="15" customHeight="1" x14ac:dyDescent="0.2">
      <c r="C168" s="5"/>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row>
    <row r="169" spans="3:33" s="21" customFormat="1" ht="15" customHeight="1" x14ac:dyDescent="0.2">
      <c r="C169" s="5"/>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row>
    <row r="170" spans="3:33" s="21" customFormat="1" ht="15" customHeight="1" x14ac:dyDescent="0.2">
      <c r="C170" s="5"/>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row>
    <row r="171" spans="3:33" s="21" customFormat="1" ht="15" customHeight="1" x14ac:dyDescent="0.2">
      <c r="C171" s="5"/>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row>
    <row r="172" spans="3:33" s="21" customFormat="1" ht="15" customHeight="1" x14ac:dyDescent="0.2">
      <c r="C172" s="5"/>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row>
    <row r="173" spans="3:33" s="21" customFormat="1" ht="15" customHeight="1" x14ac:dyDescent="0.2">
      <c r="C173" s="5"/>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row>
    <row r="174" spans="3:33" s="21" customFormat="1" ht="15" customHeight="1" x14ac:dyDescent="0.2">
      <c r="C174" s="5"/>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row>
    <row r="175" spans="3:33" s="21" customFormat="1" ht="15" customHeight="1" x14ac:dyDescent="0.2">
      <c r="C175" s="5"/>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row>
    <row r="176" spans="3:33" s="21" customFormat="1" ht="15" customHeight="1" x14ac:dyDescent="0.2">
      <c r="C176" s="5"/>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row>
    <row r="177" spans="3:33" s="21" customFormat="1" ht="15" customHeight="1" x14ac:dyDescent="0.2">
      <c r="C177" s="5"/>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row>
    <row r="178" spans="3:33" s="21" customFormat="1" ht="15" customHeight="1" x14ac:dyDescent="0.2">
      <c r="C178" s="5"/>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row>
    <row r="179" spans="3:33" s="21" customFormat="1" ht="15" customHeight="1" x14ac:dyDescent="0.2">
      <c r="C179" s="5"/>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row>
    <row r="180" spans="3:33" s="21" customFormat="1" ht="15" customHeight="1" x14ac:dyDescent="0.2">
      <c r="C180" s="5"/>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row>
    <row r="181" spans="3:33" s="21" customFormat="1" ht="15" customHeight="1" x14ac:dyDescent="0.2">
      <c r="C181" s="5"/>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row>
    <row r="182" spans="3:33" s="21" customFormat="1" ht="15" customHeight="1" x14ac:dyDescent="0.2">
      <c r="C182" s="5"/>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row>
    <row r="183" spans="3:33" s="21" customFormat="1" ht="15" customHeight="1" x14ac:dyDescent="0.2">
      <c r="C183" s="5"/>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row>
    <row r="184" spans="3:33" s="21" customFormat="1" ht="15" customHeight="1" x14ac:dyDescent="0.2">
      <c r="C184" s="5"/>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row>
    <row r="185" spans="3:33" s="21" customFormat="1" ht="15" customHeight="1" x14ac:dyDescent="0.2">
      <c r="C185" s="5"/>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row>
    <row r="186" spans="3:33" s="21" customFormat="1" ht="15" customHeight="1" x14ac:dyDescent="0.2">
      <c r="C186" s="5"/>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row>
    <row r="187" spans="3:33" s="21" customFormat="1" ht="15" customHeight="1" x14ac:dyDescent="0.2">
      <c r="C187" s="5"/>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row>
    <row r="188" spans="3:33" s="21" customFormat="1" ht="15" customHeight="1" x14ac:dyDescent="0.2">
      <c r="C188" s="5"/>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row>
    <row r="189" spans="3:33" s="21" customFormat="1" ht="15" customHeight="1" x14ac:dyDescent="0.2">
      <c r="C189" s="5"/>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row>
    <row r="190" spans="3:33" s="21" customFormat="1" ht="15" customHeight="1" x14ac:dyDescent="0.2">
      <c r="C190" s="5"/>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row>
    <row r="191" spans="3:33" s="21" customFormat="1" ht="15" customHeight="1" x14ac:dyDescent="0.2">
      <c r="C191" s="5"/>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row>
    <row r="192" spans="3:33" s="21" customFormat="1" ht="15" customHeight="1" x14ac:dyDescent="0.2">
      <c r="C192" s="5"/>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row>
    <row r="193" spans="3:33" s="21" customFormat="1" ht="15" customHeight="1" x14ac:dyDescent="0.2">
      <c r="C193" s="5"/>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row>
    <row r="194" spans="3:33" s="21" customFormat="1" ht="15" customHeight="1" x14ac:dyDescent="0.2">
      <c r="C194" s="5"/>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row>
    <row r="195" spans="3:33" s="21" customFormat="1" ht="15" customHeight="1" x14ac:dyDescent="0.2">
      <c r="C195" s="5"/>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row>
    <row r="196" spans="3:33" s="21" customFormat="1" ht="15" customHeight="1" x14ac:dyDescent="0.2">
      <c r="C196" s="5"/>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row>
    <row r="197" spans="3:33" s="21" customFormat="1" ht="15" customHeight="1" x14ac:dyDescent="0.2">
      <c r="C197" s="5"/>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row>
    <row r="198" spans="3:33" s="21" customFormat="1" ht="15" customHeight="1" x14ac:dyDescent="0.2">
      <c r="C198" s="5"/>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row>
    <row r="199" spans="3:33" s="21" customFormat="1" ht="15" customHeight="1" x14ac:dyDescent="0.2">
      <c r="C199" s="5"/>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row>
    <row r="200" spans="3:33" s="21" customFormat="1" ht="15" customHeight="1" x14ac:dyDescent="0.2">
      <c r="C200" s="5"/>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row>
    <row r="201" spans="3:33" s="21" customFormat="1" ht="15" customHeight="1" x14ac:dyDescent="0.2">
      <c r="C201" s="5"/>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row>
    <row r="202" spans="3:33" s="21" customFormat="1" ht="15" customHeight="1" x14ac:dyDescent="0.2">
      <c r="C202" s="5"/>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row>
    <row r="203" spans="3:33" s="21" customFormat="1" ht="15" customHeight="1" x14ac:dyDescent="0.2">
      <c r="C203" s="5"/>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row>
    <row r="204" spans="3:33" s="21" customFormat="1" ht="15" customHeight="1" x14ac:dyDescent="0.2">
      <c r="C204" s="5"/>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row>
    <row r="205" spans="3:33" s="21" customFormat="1" ht="15" customHeight="1" x14ac:dyDescent="0.2">
      <c r="C205" s="5"/>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row>
    <row r="206" spans="3:33" s="21" customFormat="1" ht="15" customHeight="1" x14ac:dyDescent="0.2">
      <c r="C206" s="5"/>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row>
    <row r="207" spans="3:33" s="21" customFormat="1" ht="15" customHeight="1" x14ac:dyDescent="0.2">
      <c r="C207" s="5"/>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row>
    <row r="208" spans="3:33" s="21" customFormat="1" ht="15" customHeight="1" x14ac:dyDescent="0.2">
      <c r="C208" s="5"/>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row>
    <row r="209" spans="3:33" s="21" customFormat="1" ht="15" customHeight="1" x14ac:dyDescent="0.2">
      <c r="C209" s="5"/>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row>
    <row r="210" spans="3:33" s="21" customFormat="1" ht="15" customHeight="1" x14ac:dyDescent="0.2">
      <c r="C210" s="5"/>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row>
    <row r="211" spans="3:33" s="21" customFormat="1" ht="15" customHeight="1" x14ac:dyDescent="0.2">
      <c r="C211" s="5"/>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row>
    <row r="212" spans="3:33" s="21" customFormat="1" ht="15" customHeight="1" x14ac:dyDescent="0.2">
      <c r="C212" s="5"/>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row>
    <row r="213" spans="3:33" s="21" customFormat="1" ht="15" customHeight="1" x14ac:dyDescent="0.2">
      <c r="C213" s="5"/>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row>
    <row r="214" spans="3:33" s="21" customFormat="1" ht="15" customHeight="1" x14ac:dyDescent="0.2">
      <c r="C214" s="5"/>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row>
    <row r="215" spans="3:33" s="21" customFormat="1" ht="15" customHeight="1" x14ac:dyDescent="0.2">
      <c r="C215" s="5"/>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row>
    <row r="216" spans="3:33" s="21" customFormat="1" ht="15" customHeight="1" x14ac:dyDescent="0.2">
      <c r="C216" s="5"/>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row>
    <row r="217" spans="3:33" s="21" customFormat="1" ht="15" customHeight="1" x14ac:dyDescent="0.2">
      <c r="C217" s="5"/>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row>
    <row r="218" spans="3:33" s="21" customFormat="1" ht="15" customHeight="1" x14ac:dyDescent="0.2">
      <c r="C218" s="5"/>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row>
    <row r="219" spans="3:33" s="21" customFormat="1" ht="15" customHeight="1" x14ac:dyDescent="0.2">
      <c r="C219" s="5"/>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row>
    <row r="220" spans="3:33" s="21" customFormat="1" ht="15" customHeight="1" x14ac:dyDescent="0.2">
      <c r="C220" s="5"/>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row>
    <row r="221" spans="3:33" s="21" customFormat="1" ht="15" customHeight="1" x14ac:dyDescent="0.2">
      <c r="C221" s="5"/>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row>
    <row r="222" spans="3:33" s="21" customFormat="1" ht="15" customHeight="1" x14ac:dyDescent="0.2">
      <c r="C222" s="5"/>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row>
    <row r="223" spans="3:33" s="21" customFormat="1" ht="15" customHeight="1" x14ac:dyDescent="0.2">
      <c r="C223" s="5"/>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row>
    <row r="224" spans="3:33" s="21" customFormat="1" ht="15" customHeight="1" x14ac:dyDescent="0.2">
      <c r="C224" s="5"/>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row>
    <row r="225" spans="3:33" s="21" customFormat="1" ht="15" customHeight="1" x14ac:dyDescent="0.2">
      <c r="C225" s="5"/>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row>
    <row r="226" spans="3:33" s="21" customFormat="1" ht="15" customHeight="1" x14ac:dyDescent="0.2">
      <c r="C226" s="5"/>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row>
    <row r="227" spans="3:33" s="21" customFormat="1" ht="15" customHeight="1" x14ac:dyDescent="0.2">
      <c r="C227" s="5"/>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row>
    <row r="228" spans="3:33" s="21" customFormat="1" ht="15" customHeight="1" x14ac:dyDescent="0.2">
      <c r="C228" s="5"/>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row>
    <row r="229" spans="3:33" s="21" customFormat="1" ht="15" customHeight="1" x14ac:dyDescent="0.2">
      <c r="C229" s="5"/>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row>
    <row r="230" spans="3:33" s="21" customFormat="1" ht="15" customHeight="1" x14ac:dyDescent="0.2">
      <c r="C230" s="5"/>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row>
    <row r="231" spans="3:33" s="21" customFormat="1" ht="15" customHeight="1" x14ac:dyDescent="0.2">
      <c r="C231" s="5"/>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row>
    <row r="232" spans="3:33" s="21" customFormat="1" ht="15" customHeight="1" x14ac:dyDescent="0.2">
      <c r="C232" s="5"/>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row>
    <row r="233" spans="3:33" s="21" customFormat="1" ht="15" customHeight="1" x14ac:dyDescent="0.2">
      <c r="C233" s="5"/>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row>
    <row r="234" spans="3:33" s="21" customFormat="1" ht="15" customHeight="1" x14ac:dyDescent="0.2">
      <c r="C234" s="5"/>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row>
    <row r="235" spans="3:33" s="21" customFormat="1" ht="15" customHeight="1" x14ac:dyDescent="0.2">
      <c r="C235" s="5"/>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row>
    <row r="236" spans="3:33" s="21" customFormat="1" ht="15" customHeight="1" x14ac:dyDescent="0.2">
      <c r="C236" s="5"/>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row>
    <row r="237" spans="3:33" s="21" customFormat="1" ht="15" customHeight="1" x14ac:dyDescent="0.2">
      <c r="C237" s="5"/>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row>
    <row r="238" spans="3:33" s="21" customFormat="1" ht="15" customHeight="1" x14ac:dyDescent="0.2">
      <c r="C238" s="5"/>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row>
    <row r="239" spans="3:33" s="21" customFormat="1" ht="15" customHeight="1" x14ac:dyDescent="0.2">
      <c r="C239" s="5"/>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row>
    <row r="240" spans="3:33" s="21" customFormat="1" ht="15" customHeight="1" x14ac:dyDescent="0.2">
      <c r="C240" s="5"/>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row>
    <row r="241" spans="3:33" s="21" customFormat="1" ht="15" customHeight="1" x14ac:dyDescent="0.2">
      <c r="C241" s="5"/>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row>
    <row r="242" spans="3:33" s="21" customFormat="1" ht="15" customHeight="1" x14ac:dyDescent="0.2">
      <c r="C242" s="5"/>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row>
    <row r="243" spans="3:33" s="21" customFormat="1" ht="15" customHeight="1" x14ac:dyDescent="0.2">
      <c r="C243" s="5"/>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row>
    <row r="244" spans="3:33" s="21" customFormat="1" ht="15" customHeight="1" x14ac:dyDescent="0.2">
      <c r="C244" s="5"/>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row>
    <row r="245" spans="3:33" s="21" customFormat="1" ht="15" customHeight="1" x14ac:dyDescent="0.2">
      <c r="C245" s="5"/>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row>
    <row r="246" spans="3:33" s="21" customFormat="1" ht="15" customHeight="1" x14ac:dyDescent="0.2">
      <c r="C246" s="5"/>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row>
    <row r="247" spans="3:33" s="21" customFormat="1" ht="15" customHeight="1" x14ac:dyDescent="0.2">
      <c r="C247" s="5"/>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row>
    <row r="248" spans="3:33" s="21" customFormat="1" ht="15" customHeight="1" x14ac:dyDescent="0.2">
      <c r="C248" s="5"/>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row>
    <row r="249" spans="3:33" s="21" customFormat="1" ht="15" customHeight="1" x14ac:dyDescent="0.2">
      <c r="C249" s="5"/>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row>
    <row r="250" spans="3:33" s="21" customFormat="1" ht="15" customHeight="1" x14ac:dyDescent="0.2">
      <c r="C250" s="5"/>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row>
    <row r="251" spans="3:33" s="21" customFormat="1" ht="15" customHeight="1" x14ac:dyDescent="0.2">
      <c r="C251" s="5"/>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row>
    <row r="252" spans="3:33" s="21" customFormat="1" ht="15" customHeight="1" x14ac:dyDescent="0.2">
      <c r="C252" s="5"/>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row>
    <row r="253" spans="3:33" s="21" customFormat="1" ht="15" customHeight="1" x14ac:dyDescent="0.2">
      <c r="C253" s="5"/>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row>
    <row r="254" spans="3:33" s="21" customFormat="1" ht="15" customHeight="1" x14ac:dyDescent="0.2">
      <c r="C254" s="5"/>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row>
    <row r="255" spans="3:33" s="21" customFormat="1" ht="15" customHeight="1" x14ac:dyDescent="0.2">
      <c r="C255" s="5"/>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row>
    <row r="256" spans="3:33" s="21" customFormat="1" ht="15" customHeight="1" x14ac:dyDescent="0.2">
      <c r="C256" s="5"/>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row>
    <row r="257" spans="3:33" s="21" customFormat="1" ht="15" customHeight="1" x14ac:dyDescent="0.2">
      <c r="C257" s="5"/>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row>
    <row r="258" spans="3:33" s="21" customFormat="1" ht="15" customHeight="1" x14ac:dyDescent="0.2">
      <c r="C258" s="5"/>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row>
    <row r="259" spans="3:33" s="21" customFormat="1" ht="15" customHeight="1" x14ac:dyDescent="0.2">
      <c r="C259" s="5"/>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row>
    <row r="260" spans="3:33" s="21" customFormat="1" ht="15" customHeight="1" x14ac:dyDescent="0.2">
      <c r="C260" s="5"/>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row>
    <row r="261" spans="3:33" s="21" customFormat="1" ht="15" customHeight="1" x14ac:dyDescent="0.2">
      <c r="C261" s="5"/>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row>
    <row r="262" spans="3:33" s="21" customFormat="1" ht="15" customHeight="1" x14ac:dyDescent="0.2">
      <c r="C262" s="5"/>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row>
    <row r="263" spans="3:33" s="21" customFormat="1" ht="15" customHeight="1" x14ac:dyDescent="0.2">
      <c r="C263" s="5"/>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row>
    <row r="264" spans="3:33" s="21" customFormat="1" ht="15" customHeight="1" x14ac:dyDescent="0.2">
      <c r="C264" s="5"/>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row>
    <row r="265" spans="3:33" s="21" customFormat="1" ht="15" customHeight="1" x14ac:dyDescent="0.2">
      <c r="C265" s="5"/>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row>
    <row r="266" spans="3:33" s="21" customFormat="1" ht="15" customHeight="1" x14ac:dyDescent="0.2">
      <c r="C266" s="5"/>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row>
    <row r="267" spans="3:33" s="21" customFormat="1" ht="15" customHeight="1" x14ac:dyDescent="0.2">
      <c r="C267" s="5"/>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row>
    <row r="268" spans="3:33" s="21" customFormat="1" ht="15" customHeight="1" x14ac:dyDescent="0.2">
      <c r="C268" s="5"/>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row>
    <row r="269" spans="3:33" s="21" customFormat="1" ht="15" customHeight="1" x14ac:dyDescent="0.2">
      <c r="C269" s="5"/>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row>
    <row r="270" spans="3:33" s="21" customFormat="1" ht="15" customHeight="1" x14ac:dyDescent="0.2">
      <c r="C270" s="5"/>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row>
    <row r="271" spans="3:33" s="21" customFormat="1" ht="15" customHeight="1" x14ac:dyDescent="0.2">
      <c r="C271" s="5"/>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row>
    <row r="272" spans="3:33" s="21" customFormat="1" ht="15" customHeight="1" x14ac:dyDescent="0.2">
      <c r="C272" s="5"/>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row>
    <row r="273" spans="3:33" s="21" customFormat="1" ht="15" customHeight="1" x14ac:dyDescent="0.2">
      <c r="C273" s="5"/>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row>
    <row r="274" spans="3:33" s="21" customFormat="1" ht="15" customHeight="1" x14ac:dyDescent="0.2">
      <c r="C274" s="5"/>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row>
    <row r="275" spans="3:33" s="21" customFormat="1" ht="15" customHeight="1" x14ac:dyDescent="0.2">
      <c r="C275" s="5"/>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row>
    <row r="276" spans="3:33" s="21" customFormat="1" ht="15" customHeight="1" x14ac:dyDescent="0.2">
      <c r="C276" s="5"/>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row>
    <row r="277" spans="3:33" s="21" customFormat="1" ht="15" customHeight="1" x14ac:dyDescent="0.2">
      <c r="C277" s="5"/>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row>
    <row r="278" spans="3:33" s="21" customFormat="1" ht="15" customHeight="1" x14ac:dyDescent="0.2">
      <c r="C278" s="5"/>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row>
    <row r="279" spans="3:33" s="21" customFormat="1" ht="15" customHeight="1" x14ac:dyDescent="0.2">
      <c r="C279" s="5"/>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row>
    <row r="280" spans="3:33" s="21" customFormat="1" ht="15" customHeight="1" x14ac:dyDescent="0.2">
      <c r="C280" s="5"/>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row>
    <row r="281" spans="3:33" s="21" customFormat="1" ht="15" customHeight="1" x14ac:dyDescent="0.2">
      <c r="C281" s="5"/>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row>
    <row r="282" spans="3:33" s="21" customFormat="1" ht="15" customHeight="1" x14ac:dyDescent="0.2">
      <c r="C282" s="5"/>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row>
    <row r="283" spans="3:33" s="21" customFormat="1" ht="15" customHeight="1" x14ac:dyDescent="0.2">
      <c r="C283" s="5"/>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row>
    <row r="284" spans="3:33" s="21" customFormat="1" ht="15" customHeight="1" x14ac:dyDescent="0.2">
      <c r="C284" s="5"/>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row>
    <row r="285" spans="3:33" s="21" customFormat="1" ht="15" customHeight="1" x14ac:dyDescent="0.2">
      <c r="C285" s="5"/>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row>
    <row r="286" spans="3:33" s="21" customFormat="1" ht="15" customHeight="1" x14ac:dyDescent="0.2">
      <c r="C286" s="5"/>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row>
    <row r="287" spans="3:33" s="21" customFormat="1" ht="15" customHeight="1" x14ac:dyDescent="0.2">
      <c r="C287" s="5"/>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row>
    <row r="288" spans="3:33" s="21" customFormat="1" ht="15" customHeight="1" x14ac:dyDescent="0.2">
      <c r="C288" s="5"/>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row>
    <row r="289" spans="3:33" s="21" customFormat="1" ht="15" customHeight="1" x14ac:dyDescent="0.2">
      <c r="C289" s="5"/>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row>
    <row r="290" spans="3:33" s="21" customFormat="1" ht="15" customHeight="1" x14ac:dyDescent="0.2">
      <c r="C290" s="5"/>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row>
    <row r="291" spans="3:33" s="21" customFormat="1" ht="15" customHeight="1" x14ac:dyDescent="0.2">
      <c r="C291" s="5"/>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row>
    <row r="292" spans="3:33" s="21" customFormat="1" ht="15" customHeight="1" x14ac:dyDescent="0.2">
      <c r="C292" s="5"/>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row>
    <row r="293" spans="3:33" s="21" customFormat="1" ht="15" customHeight="1" x14ac:dyDescent="0.2">
      <c r="C293" s="5"/>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row>
    <row r="294" spans="3:33" s="21" customFormat="1" ht="15" customHeight="1" x14ac:dyDescent="0.2">
      <c r="C294" s="5"/>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row>
    <row r="295" spans="3:33" s="21" customFormat="1" ht="15" customHeight="1" x14ac:dyDescent="0.2">
      <c r="C295" s="5"/>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row>
    <row r="296" spans="3:33" s="21" customFormat="1" ht="15" customHeight="1" x14ac:dyDescent="0.2">
      <c r="C296" s="5"/>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row>
    <row r="297" spans="3:33" s="21" customFormat="1" ht="15" customHeight="1" x14ac:dyDescent="0.2">
      <c r="C297" s="5"/>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row>
    <row r="298" spans="3:33" s="21" customFormat="1" ht="15" customHeight="1" x14ac:dyDescent="0.2">
      <c r="C298" s="5"/>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row>
    <row r="299" spans="3:33" s="21" customFormat="1" ht="15" customHeight="1" x14ac:dyDescent="0.2">
      <c r="C299" s="5"/>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row>
    <row r="300" spans="3:33" s="21" customFormat="1" ht="15" customHeight="1" x14ac:dyDescent="0.2">
      <c r="C300" s="5"/>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row>
    <row r="301" spans="3:33" s="21" customFormat="1" ht="15" customHeight="1" x14ac:dyDescent="0.2">
      <c r="C301" s="5"/>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row>
    <row r="302" spans="3:33" s="21" customFormat="1" ht="15" customHeight="1" x14ac:dyDescent="0.2">
      <c r="C302" s="5"/>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row>
    <row r="303" spans="3:33" s="21" customFormat="1" ht="15" customHeight="1" x14ac:dyDescent="0.2">
      <c r="C303" s="5"/>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row>
    <row r="304" spans="3:33" s="21" customFormat="1" ht="15" customHeight="1" x14ac:dyDescent="0.2">
      <c r="C304" s="5"/>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row>
    <row r="305" spans="3:33" s="21" customFormat="1" ht="15" customHeight="1" x14ac:dyDescent="0.2">
      <c r="C305" s="5"/>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row>
    <row r="306" spans="3:33" s="21" customFormat="1" ht="15" customHeight="1" x14ac:dyDescent="0.2">
      <c r="C306" s="5"/>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row>
    <row r="307" spans="3:33" s="21" customFormat="1" ht="15" customHeight="1" x14ac:dyDescent="0.2">
      <c r="C307" s="5"/>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row>
    <row r="308" spans="3:33" s="21" customFormat="1" ht="15" customHeight="1" x14ac:dyDescent="0.2">
      <c r="C308" s="5"/>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row>
    <row r="309" spans="3:33" s="21" customFormat="1" ht="15" customHeight="1" x14ac:dyDescent="0.2">
      <c r="C309" s="5"/>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row>
    <row r="310" spans="3:33" s="21" customFormat="1" ht="15" customHeight="1" x14ac:dyDescent="0.2">
      <c r="C310" s="5"/>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row>
    <row r="311" spans="3:33" s="21" customFormat="1" ht="15" customHeight="1" x14ac:dyDescent="0.2">
      <c r="C311" s="5"/>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row>
    <row r="312" spans="3:33" s="21" customFormat="1" ht="15" customHeight="1" x14ac:dyDescent="0.2">
      <c r="C312" s="5"/>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row>
    <row r="313" spans="3:33" s="21" customFormat="1" ht="15" customHeight="1" x14ac:dyDescent="0.2">
      <c r="C313" s="5"/>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row>
    <row r="314" spans="3:33" s="21" customFormat="1" ht="15" customHeight="1" x14ac:dyDescent="0.2">
      <c r="C314" s="5"/>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row>
    <row r="315" spans="3:33" s="21" customFormat="1" ht="15" customHeight="1" x14ac:dyDescent="0.2">
      <c r="C315" s="5"/>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row>
    <row r="316" spans="3:33" s="21" customFormat="1" ht="15" customHeight="1" x14ac:dyDescent="0.2">
      <c r="C316" s="5"/>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row>
    <row r="317" spans="3:33" s="21" customFormat="1" ht="15" customHeight="1" x14ac:dyDescent="0.2">
      <c r="C317" s="5"/>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row>
    <row r="318" spans="3:33" s="21" customFormat="1" ht="15" customHeight="1" x14ac:dyDescent="0.2">
      <c r="C318" s="5"/>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row>
    <row r="319" spans="3:33" s="21" customFormat="1" ht="15" customHeight="1" x14ac:dyDescent="0.2">
      <c r="C319" s="5"/>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row>
    <row r="320" spans="3:33" s="21" customFormat="1" ht="15" customHeight="1" x14ac:dyDescent="0.2">
      <c r="C320" s="5"/>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row>
    <row r="321" spans="3:33" s="21" customFormat="1" ht="15" customHeight="1" x14ac:dyDescent="0.2">
      <c r="C321" s="5"/>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row>
    <row r="322" spans="3:33" s="21" customFormat="1" ht="15" customHeight="1" x14ac:dyDescent="0.2">
      <c r="C322" s="5"/>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row>
    <row r="323" spans="3:33" s="21" customFormat="1" ht="15" customHeight="1" x14ac:dyDescent="0.2">
      <c r="C323" s="5"/>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row>
    <row r="324" spans="3:33" s="21" customFormat="1" ht="15" customHeight="1" x14ac:dyDescent="0.2">
      <c r="C324" s="5"/>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row>
    <row r="325" spans="3:33" s="21" customFormat="1" ht="15" customHeight="1" x14ac:dyDescent="0.2">
      <c r="C325" s="5"/>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row>
    <row r="326" spans="3:33" s="21" customFormat="1" ht="15" customHeight="1" x14ac:dyDescent="0.2">
      <c r="C326" s="5"/>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row>
    <row r="327" spans="3:33" s="21" customFormat="1" ht="15" customHeight="1" x14ac:dyDescent="0.2">
      <c r="C327" s="5"/>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row>
    <row r="328" spans="3:33" s="21" customFormat="1" ht="15" customHeight="1" x14ac:dyDescent="0.2">
      <c r="C328" s="5"/>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row>
    <row r="329" spans="3:33" s="21" customFormat="1" ht="15" customHeight="1" x14ac:dyDescent="0.2">
      <c r="C329" s="5"/>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row>
    <row r="330" spans="3:33" s="21" customFormat="1" ht="15" customHeight="1" x14ac:dyDescent="0.2">
      <c r="C330" s="5"/>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row>
    <row r="331" spans="3:33" s="21" customFormat="1" ht="15" customHeight="1" x14ac:dyDescent="0.2">
      <c r="C331" s="5"/>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row>
    <row r="332" spans="3:33" s="21" customFormat="1" ht="15" customHeight="1" x14ac:dyDescent="0.2">
      <c r="C332" s="5"/>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row>
    <row r="333" spans="3:33" s="21" customFormat="1" ht="15" customHeight="1" x14ac:dyDescent="0.2">
      <c r="C333" s="5"/>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row>
    <row r="334" spans="3:33" s="21" customFormat="1" ht="15" customHeight="1" x14ac:dyDescent="0.2">
      <c r="C334" s="5"/>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row>
    <row r="335" spans="3:33" s="21" customFormat="1" ht="15" customHeight="1" x14ac:dyDescent="0.2">
      <c r="C335" s="5"/>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row>
    <row r="336" spans="3:33" s="21" customFormat="1" ht="15" customHeight="1" x14ac:dyDescent="0.2">
      <c r="C336" s="5"/>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row>
    <row r="337" spans="3:33" s="21" customFormat="1" ht="15" customHeight="1" x14ac:dyDescent="0.2">
      <c r="C337" s="5"/>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row>
    <row r="338" spans="3:33" s="21" customFormat="1" ht="15" customHeight="1" x14ac:dyDescent="0.2">
      <c r="C338" s="5"/>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row>
    <row r="339" spans="3:33" s="21" customFormat="1" ht="15" customHeight="1" x14ac:dyDescent="0.2">
      <c r="C339" s="5"/>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row>
    <row r="340" spans="3:33" s="21" customFormat="1" ht="15" customHeight="1" x14ac:dyDescent="0.2">
      <c r="C340" s="5"/>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row>
    <row r="341" spans="3:33" s="21" customFormat="1" ht="15" customHeight="1" x14ac:dyDescent="0.2">
      <c r="C341" s="5"/>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row>
    <row r="342" spans="3:33" s="21" customFormat="1" ht="15" customHeight="1" x14ac:dyDescent="0.2">
      <c r="C342" s="5"/>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row>
    <row r="343" spans="3:33" s="21" customFormat="1" ht="15" customHeight="1" x14ac:dyDescent="0.2">
      <c r="C343" s="5"/>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row>
    <row r="344" spans="3:33" s="21" customFormat="1" ht="15" customHeight="1" x14ac:dyDescent="0.2">
      <c r="C344" s="5"/>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row>
    <row r="345" spans="3:33" s="21" customFormat="1" ht="15" customHeight="1" x14ac:dyDescent="0.2">
      <c r="C345" s="5"/>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row>
    <row r="346" spans="3:33" s="21" customFormat="1" ht="15" customHeight="1" x14ac:dyDescent="0.2">
      <c r="C346" s="5"/>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row>
    <row r="347" spans="3:33" s="21" customFormat="1" ht="15" customHeight="1" x14ac:dyDescent="0.2">
      <c r="C347" s="5"/>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row>
    <row r="348" spans="3:33" s="21" customFormat="1" ht="15" customHeight="1" x14ac:dyDescent="0.2">
      <c r="C348" s="5"/>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row>
    <row r="349" spans="3:33" s="21" customFormat="1" ht="15" customHeight="1" x14ac:dyDescent="0.2">
      <c r="C349" s="5"/>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row>
    <row r="350" spans="3:33" s="21" customFormat="1" ht="15" customHeight="1" x14ac:dyDescent="0.2">
      <c r="C350" s="5"/>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row>
    <row r="351" spans="3:33" s="21" customFormat="1" ht="15" customHeight="1" x14ac:dyDescent="0.2">
      <c r="C351" s="5"/>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row>
    <row r="352" spans="3:33" s="21" customFormat="1" ht="15" customHeight="1" x14ac:dyDescent="0.2">
      <c r="C352" s="5"/>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row>
    <row r="353" spans="3:33" s="21" customFormat="1" ht="15" customHeight="1" x14ac:dyDescent="0.2">
      <c r="C353" s="5"/>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row>
    <row r="354" spans="3:33" s="21" customFormat="1" ht="15" customHeight="1" x14ac:dyDescent="0.2">
      <c r="C354" s="5"/>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row>
    <row r="355" spans="3:33" s="21" customFormat="1" ht="15" customHeight="1" x14ac:dyDescent="0.2">
      <c r="C355" s="5"/>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row>
    <row r="356" spans="3:33" s="21" customFormat="1" ht="15" customHeight="1" x14ac:dyDescent="0.2">
      <c r="C356" s="5"/>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row>
    <row r="357" spans="3:33" s="21" customFormat="1" ht="15" customHeight="1" x14ac:dyDescent="0.2">
      <c r="C357" s="5"/>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row>
    <row r="358" spans="3:33" s="21" customFormat="1" ht="15" customHeight="1" x14ac:dyDescent="0.2">
      <c r="C358" s="5"/>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row>
    <row r="359" spans="3:33" s="21" customFormat="1" ht="15" customHeight="1" x14ac:dyDescent="0.2">
      <c r="C359" s="5"/>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row>
    <row r="360" spans="3:33" s="21" customFormat="1" ht="15" customHeight="1" x14ac:dyDescent="0.2">
      <c r="C360" s="5"/>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row>
    <row r="361" spans="3:33" s="21" customFormat="1" ht="15" customHeight="1" x14ac:dyDescent="0.2">
      <c r="C361" s="5"/>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row>
    <row r="362" spans="3:33" s="21" customFormat="1" ht="15" customHeight="1" x14ac:dyDescent="0.2">
      <c r="C362" s="5"/>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row>
    <row r="363" spans="3:33" s="21" customFormat="1" ht="15" customHeight="1" x14ac:dyDescent="0.2">
      <c r="C363" s="5"/>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row>
    <row r="364" spans="3:33" s="21" customFormat="1" ht="15" customHeight="1" x14ac:dyDescent="0.2">
      <c r="C364" s="5"/>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row>
    <row r="365" spans="3:33" s="21" customFormat="1" ht="15" customHeight="1" x14ac:dyDescent="0.2">
      <c r="C365" s="5"/>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row>
    <row r="366" spans="3:33" s="21" customFormat="1" ht="15" customHeight="1" x14ac:dyDescent="0.2">
      <c r="C366" s="5"/>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row>
    <row r="367" spans="3:33" s="21" customFormat="1" ht="15" customHeight="1" x14ac:dyDescent="0.2">
      <c r="C367" s="5"/>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row>
    <row r="368" spans="3:33" s="21" customFormat="1" ht="15" customHeight="1" x14ac:dyDescent="0.2">
      <c r="C368" s="5"/>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row>
    <row r="369" spans="3:33" s="21" customFormat="1" ht="15" customHeight="1" x14ac:dyDescent="0.2">
      <c r="C369" s="5"/>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row>
    <row r="370" spans="3:33" s="21" customFormat="1" ht="15" customHeight="1" x14ac:dyDescent="0.2">
      <c r="C370" s="5"/>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row>
    <row r="371" spans="3:33" s="21" customFormat="1" ht="15" customHeight="1" x14ac:dyDescent="0.2">
      <c r="C371" s="5"/>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row>
    <row r="372" spans="3:33" s="21" customFormat="1" ht="15" customHeight="1" x14ac:dyDescent="0.2">
      <c r="C372" s="5"/>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row>
    <row r="373" spans="3:33" s="21" customFormat="1" ht="15" customHeight="1" x14ac:dyDescent="0.2">
      <c r="C373" s="5"/>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row>
    <row r="374" spans="3:33" s="21" customFormat="1" ht="15" customHeight="1" x14ac:dyDescent="0.2">
      <c r="C374" s="5"/>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row>
    <row r="375" spans="3:33" s="21" customFormat="1" ht="15" customHeight="1" x14ac:dyDescent="0.2">
      <c r="C375" s="5"/>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row>
    <row r="376" spans="3:33" s="21" customFormat="1" ht="15" customHeight="1" x14ac:dyDescent="0.2">
      <c r="C376" s="5"/>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row>
    <row r="377" spans="3:33" s="21" customFormat="1" ht="15" customHeight="1" x14ac:dyDescent="0.2">
      <c r="C377" s="5"/>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row>
    <row r="378" spans="3:33" s="21" customFormat="1" ht="15" customHeight="1" x14ac:dyDescent="0.2">
      <c r="C378" s="5"/>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row>
    <row r="379" spans="3:33" s="21" customFormat="1" ht="15" customHeight="1" x14ac:dyDescent="0.2">
      <c r="C379" s="5"/>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row>
    <row r="380" spans="3:33" s="21" customFormat="1" ht="15" customHeight="1" x14ac:dyDescent="0.2">
      <c r="C380" s="5"/>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row>
    <row r="381" spans="3:33" s="21" customFormat="1" ht="15" customHeight="1" x14ac:dyDescent="0.2">
      <c r="C381" s="5"/>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row>
    <row r="382" spans="3:33" s="21" customFormat="1" ht="15" customHeight="1" x14ac:dyDescent="0.2">
      <c r="C382" s="5"/>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row>
    <row r="383" spans="3:33" s="21" customFormat="1" ht="15" customHeight="1" x14ac:dyDescent="0.2">
      <c r="C383" s="5"/>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row>
    <row r="384" spans="3:33" s="21" customFormat="1" ht="15" customHeight="1" x14ac:dyDescent="0.2">
      <c r="C384" s="5"/>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row>
    <row r="385" spans="3:33" s="21" customFormat="1" ht="15" customHeight="1" x14ac:dyDescent="0.2">
      <c r="C385" s="5"/>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row>
    <row r="386" spans="3:33" s="21" customFormat="1" ht="15" customHeight="1" x14ac:dyDescent="0.2">
      <c r="C386" s="5"/>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row>
    <row r="387" spans="3:33" s="21" customFormat="1" ht="15" customHeight="1" x14ac:dyDescent="0.2">
      <c r="C387" s="5"/>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row>
    <row r="388" spans="3:33" s="21" customFormat="1" ht="15" customHeight="1" x14ac:dyDescent="0.2">
      <c r="C388" s="5"/>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row>
    <row r="389" spans="3:33" s="21" customFormat="1" ht="15" customHeight="1" x14ac:dyDescent="0.2">
      <c r="C389" s="5"/>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row>
    <row r="390" spans="3:33" s="21" customFormat="1" ht="15" customHeight="1" x14ac:dyDescent="0.2">
      <c r="C390" s="5"/>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row>
    <row r="391" spans="3:33" s="21" customFormat="1" ht="15" customHeight="1" x14ac:dyDescent="0.2">
      <c r="C391" s="5"/>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row>
    <row r="392" spans="3:33" s="21" customFormat="1" ht="15" customHeight="1" x14ac:dyDescent="0.2">
      <c r="C392" s="5"/>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row>
    <row r="393" spans="3:33" s="21" customFormat="1" ht="15" customHeight="1" x14ac:dyDescent="0.2">
      <c r="C393" s="5"/>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row>
    <row r="394" spans="3:33" s="21" customFormat="1" ht="15" customHeight="1" x14ac:dyDescent="0.2">
      <c r="C394" s="5"/>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row>
    <row r="395" spans="3:33" s="21" customFormat="1" ht="15" customHeight="1" x14ac:dyDescent="0.2">
      <c r="C395" s="5"/>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row>
    <row r="396" spans="3:33" s="21" customFormat="1" ht="15" customHeight="1" x14ac:dyDescent="0.2">
      <c r="C396" s="5"/>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row>
    <row r="397" spans="3:33" s="21" customFormat="1" ht="15" customHeight="1" x14ac:dyDescent="0.2">
      <c r="C397" s="5"/>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row>
    <row r="398" spans="3:33" s="21" customFormat="1" ht="15" customHeight="1" x14ac:dyDescent="0.2">
      <c r="C398" s="5"/>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row>
    <row r="399" spans="3:33" s="21" customFormat="1" ht="15" customHeight="1" x14ac:dyDescent="0.2">
      <c r="C399" s="5"/>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row>
    <row r="400" spans="3:33" s="21" customFormat="1" ht="15" customHeight="1" x14ac:dyDescent="0.2">
      <c r="C400" s="5"/>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row>
    <row r="401" spans="3:33" s="21" customFormat="1" ht="15" customHeight="1" x14ac:dyDescent="0.2">
      <c r="C401" s="5"/>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row>
    <row r="402" spans="3:33" s="21" customFormat="1" ht="15" customHeight="1" x14ac:dyDescent="0.2">
      <c r="C402" s="5"/>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row>
    <row r="403" spans="3:33" s="21" customFormat="1" ht="15" customHeight="1" x14ac:dyDescent="0.2">
      <c r="C403" s="5"/>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row>
    <row r="404" spans="3:33" s="21" customFormat="1" ht="15" customHeight="1" x14ac:dyDescent="0.2">
      <c r="C404" s="5"/>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row>
    <row r="405" spans="3:33" s="21" customFormat="1" ht="15" customHeight="1" x14ac:dyDescent="0.2">
      <c r="C405" s="5"/>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row>
    <row r="406" spans="3:33" s="21" customFormat="1" ht="15" customHeight="1" x14ac:dyDescent="0.2">
      <c r="C406" s="5"/>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row>
    <row r="407" spans="3:33" s="21" customFormat="1" ht="15" customHeight="1" x14ac:dyDescent="0.2">
      <c r="C407" s="5"/>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row>
    <row r="408" spans="3:33" s="21" customFormat="1" ht="15" customHeight="1" x14ac:dyDescent="0.2">
      <c r="C408" s="5"/>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row>
    <row r="409" spans="3:33" s="21" customFormat="1" ht="15" customHeight="1" x14ac:dyDescent="0.2">
      <c r="C409" s="5"/>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row>
    <row r="410" spans="3:33" s="21" customFormat="1" ht="15" customHeight="1" x14ac:dyDescent="0.2">
      <c r="C410" s="5"/>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row>
    <row r="411" spans="3:33" s="21" customFormat="1" ht="15" customHeight="1" x14ac:dyDescent="0.2">
      <c r="C411" s="5"/>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row>
    <row r="412" spans="3:33" s="21" customFormat="1" ht="15" customHeight="1" x14ac:dyDescent="0.2">
      <c r="C412" s="5"/>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row>
    <row r="413" spans="3:33" s="21" customFormat="1" ht="15" customHeight="1" x14ac:dyDescent="0.2">
      <c r="C413" s="5"/>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row>
    <row r="414" spans="3:33" s="21" customFormat="1" ht="15" customHeight="1" x14ac:dyDescent="0.2">
      <c r="C414" s="5"/>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row>
    <row r="415" spans="3:33" s="21" customFormat="1" ht="15" customHeight="1" x14ac:dyDescent="0.2">
      <c r="C415" s="5"/>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row>
    <row r="416" spans="3:33" s="21" customFormat="1" ht="15" customHeight="1" x14ac:dyDescent="0.2">
      <c r="C416" s="5"/>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row>
    <row r="417" spans="3:33" s="21" customFormat="1" ht="15" customHeight="1" x14ac:dyDescent="0.2">
      <c r="C417" s="5"/>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row>
    <row r="418" spans="3:33" s="21" customFormat="1" ht="15" customHeight="1" x14ac:dyDescent="0.2">
      <c r="C418" s="5"/>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row>
    <row r="419" spans="3:33" s="21" customFormat="1" ht="15" customHeight="1" x14ac:dyDescent="0.2">
      <c r="C419" s="5"/>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row>
    <row r="420" spans="3:33" s="21" customFormat="1" ht="15" customHeight="1" x14ac:dyDescent="0.2">
      <c r="C420" s="5"/>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row>
    <row r="421" spans="3:33" s="21" customFormat="1" ht="15" customHeight="1" x14ac:dyDescent="0.2">
      <c r="C421" s="5"/>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row>
    <row r="422" spans="3:33" s="21" customFormat="1" ht="15" customHeight="1" x14ac:dyDescent="0.2">
      <c r="C422" s="5"/>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row>
    <row r="423" spans="3:33" s="21" customFormat="1" ht="15" customHeight="1" x14ac:dyDescent="0.2">
      <c r="C423" s="5"/>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row>
    <row r="424" spans="3:33" s="21" customFormat="1" ht="15" customHeight="1" x14ac:dyDescent="0.2">
      <c r="C424" s="5"/>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row>
    <row r="425" spans="3:33" s="21" customFormat="1" ht="15" customHeight="1" x14ac:dyDescent="0.2">
      <c r="C425" s="5"/>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row>
    <row r="426" spans="3:33" s="21" customFormat="1" ht="15" customHeight="1" x14ac:dyDescent="0.2">
      <c r="C426" s="5"/>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row>
    <row r="427" spans="3:33" s="21" customFormat="1" ht="15" customHeight="1" x14ac:dyDescent="0.2">
      <c r="C427" s="5"/>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row>
    <row r="428" spans="3:33" s="21" customFormat="1" ht="15" customHeight="1" x14ac:dyDescent="0.2">
      <c r="C428" s="5"/>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row>
    <row r="429" spans="3:33" s="21" customFormat="1" ht="15" customHeight="1" x14ac:dyDescent="0.2">
      <c r="C429" s="5"/>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row>
    <row r="430" spans="3:33" s="21" customFormat="1" ht="15" customHeight="1" x14ac:dyDescent="0.2">
      <c r="C430" s="5"/>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row>
    <row r="431" spans="3:33" s="21" customFormat="1" ht="15" customHeight="1" x14ac:dyDescent="0.2">
      <c r="C431" s="5"/>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row>
    <row r="432" spans="3:33" s="21" customFormat="1" ht="15" customHeight="1" x14ac:dyDescent="0.2">
      <c r="C432" s="5"/>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row>
    <row r="433" spans="3:33" s="21" customFormat="1" ht="15" customHeight="1" x14ac:dyDescent="0.2">
      <c r="C433" s="5"/>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row>
    <row r="434" spans="3:33" s="21" customFormat="1" ht="15" customHeight="1" x14ac:dyDescent="0.2">
      <c r="C434" s="5"/>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row>
    <row r="435" spans="3:33" s="21" customFormat="1" ht="15" customHeight="1" x14ac:dyDescent="0.2">
      <c r="C435" s="5"/>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row>
    <row r="436" spans="3:33" s="21" customFormat="1" ht="15" customHeight="1" x14ac:dyDescent="0.2">
      <c r="C436" s="5"/>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row>
    <row r="437" spans="3:33" s="21" customFormat="1" ht="15" customHeight="1" x14ac:dyDescent="0.2">
      <c r="C437" s="5"/>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row>
    <row r="438" spans="3:33" s="21" customFormat="1" ht="15" customHeight="1" x14ac:dyDescent="0.2">
      <c r="C438" s="5"/>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row>
    <row r="439" spans="3:33" s="21" customFormat="1" ht="15" customHeight="1" x14ac:dyDescent="0.2">
      <c r="C439" s="5"/>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row>
    <row r="440" spans="3:33" s="21" customFormat="1" ht="15" customHeight="1" x14ac:dyDescent="0.2">
      <c r="C440" s="5"/>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row>
    <row r="441" spans="3:33" s="21" customFormat="1" ht="15" customHeight="1" x14ac:dyDescent="0.2">
      <c r="C441" s="5"/>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row>
    <row r="442" spans="3:33" s="21" customFormat="1" ht="15" customHeight="1" x14ac:dyDescent="0.2">
      <c r="C442" s="5"/>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row>
    <row r="443" spans="3:33" s="21" customFormat="1" ht="15" customHeight="1" x14ac:dyDescent="0.2">
      <c r="C443" s="5"/>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row>
    <row r="444" spans="3:33" s="21" customFormat="1" ht="15" customHeight="1" x14ac:dyDescent="0.2">
      <c r="C444" s="5"/>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row>
    <row r="445" spans="3:33" s="21" customFormat="1" ht="15" customHeight="1" x14ac:dyDescent="0.2">
      <c r="C445" s="5"/>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row>
    <row r="446" spans="3:33" s="21" customFormat="1" ht="15" customHeight="1" x14ac:dyDescent="0.2">
      <c r="C446" s="5"/>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row>
    <row r="447" spans="3:33" s="21" customFormat="1" ht="15" customHeight="1" x14ac:dyDescent="0.2">
      <c r="C447" s="5"/>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row>
    <row r="448" spans="3:33" s="21" customFormat="1" ht="15" customHeight="1" x14ac:dyDescent="0.2">
      <c r="C448" s="5"/>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row>
    <row r="449" spans="3:33" s="21" customFormat="1" ht="15" customHeight="1" x14ac:dyDescent="0.2">
      <c r="C449" s="5"/>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row>
    <row r="450" spans="3:33" s="21" customFormat="1" ht="15" customHeight="1" x14ac:dyDescent="0.2">
      <c r="C450" s="5"/>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row>
    <row r="451" spans="3:33" s="21" customFormat="1" ht="15" customHeight="1" x14ac:dyDescent="0.2">
      <c r="C451" s="5"/>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row>
    <row r="452" spans="3:33" s="21" customFormat="1" ht="15" customHeight="1" x14ac:dyDescent="0.2">
      <c r="C452" s="5"/>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row>
    <row r="453" spans="3:33" s="21" customFormat="1" ht="15" customHeight="1" x14ac:dyDescent="0.2">
      <c r="C453" s="5"/>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row>
    <row r="454" spans="3:33" s="21" customFormat="1" ht="15" customHeight="1" x14ac:dyDescent="0.2">
      <c r="C454" s="5"/>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row>
    <row r="455" spans="3:33" s="21" customFormat="1" ht="15" customHeight="1" x14ac:dyDescent="0.2">
      <c r="C455" s="5"/>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row>
    <row r="456" spans="3:33" s="21" customFormat="1" ht="15" customHeight="1" x14ac:dyDescent="0.2">
      <c r="C456" s="5"/>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row>
    <row r="457" spans="3:33" s="21" customFormat="1" ht="15" customHeight="1" x14ac:dyDescent="0.2">
      <c r="C457" s="5"/>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row>
    <row r="458" spans="3:33" s="21" customFormat="1" ht="15" customHeight="1" x14ac:dyDescent="0.2">
      <c r="C458" s="5"/>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row>
    <row r="459" spans="3:33" s="21" customFormat="1" ht="15" customHeight="1" x14ac:dyDescent="0.2">
      <c r="C459" s="5"/>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row>
    <row r="460" spans="3:33" s="21" customFormat="1" ht="15" customHeight="1" x14ac:dyDescent="0.2">
      <c r="C460" s="5"/>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row>
    <row r="461" spans="3:33" s="21" customFormat="1" ht="15" customHeight="1" x14ac:dyDescent="0.2">
      <c r="C461" s="5"/>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row>
    <row r="462" spans="3:33" s="21" customFormat="1" ht="15" customHeight="1" x14ac:dyDescent="0.2">
      <c r="C462" s="5"/>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row>
    <row r="463" spans="3:33" s="21" customFormat="1" ht="15" customHeight="1" x14ac:dyDescent="0.2">
      <c r="C463" s="5"/>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row>
    <row r="464" spans="3:33" s="21" customFormat="1" ht="15" customHeight="1" x14ac:dyDescent="0.2">
      <c r="C464" s="5"/>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row>
    <row r="465" spans="3:33" s="21" customFormat="1" ht="15" customHeight="1" x14ac:dyDescent="0.2">
      <c r="C465" s="5"/>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row>
    <row r="466" spans="3:33" s="21" customFormat="1" ht="15" customHeight="1" x14ac:dyDescent="0.2">
      <c r="C466" s="5"/>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row>
    <row r="467" spans="3:33" s="21" customFormat="1" ht="15" customHeight="1" x14ac:dyDescent="0.2">
      <c r="C467" s="5"/>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row>
    <row r="468" spans="3:33" s="21" customFormat="1" ht="15" customHeight="1" x14ac:dyDescent="0.2">
      <c r="C468" s="5"/>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row>
    <row r="469" spans="3:33" s="21" customFormat="1" ht="15" customHeight="1" x14ac:dyDescent="0.2">
      <c r="C469" s="5"/>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row>
    <row r="470" spans="3:33" s="21" customFormat="1" ht="15" customHeight="1" x14ac:dyDescent="0.2">
      <c r="C470" s="5"/>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row>
    <row r="471" spans="3:33" s="21" customFormat="1" ht="15" customHeight="1" x14ac:dyDescent="0.2">
      <c r="C471" s="5"/>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row>
    <row r="472" spans="3:33" s="21" customFormat="1" ht="15" customHeight="1" x14ac:dyDescent="0.2">
      <c r="C472" s="5"/>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row>
    <row r="473" spans="3:33" s="21" customFormat="1" ht="15" customHeight="1" x14ac:dyDescent="0.2">
      <c r="C473" s="5"/>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row>
    <row r="474" spans="3:33" s="21" customFormat="1" ht="15" customHeight="1" x14ac:dyDescent="0.2">
      <c r="C474" s="5"/>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row>
    <row r="475" spans="3:33" s="21" customFormat="1" ht="15" customHeight="1" x14ac:dyDescent="0.2">
      <c r="C475" s="5"/>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row>
  </sheetData>
  <sheetProtection password="CE0A" sheet="1" objects="1" scenarios="1" formatColumns="0" formatRows="0"/>
  <mergeCells count="3">
    <mergeCell ref="D45:F45"/>
    <mergeCell ref="D46:F46"/>
    <mergeCell ref="E2:L2"/>
  </mergeCells>
  <phoneticPr fontId="0" type="noConversion"/>
  <dataValidations disablePrompts="1" count="1">
    <dataValidation type="decimal" operator="lessThanOrEqual" allowBlank="1" showInputMessage="1" showErrorMessage="1" errorTitle="Incorrect Entry" error="A negative dollar amount is required." promptTitle="Enter as Negative $ Amount" sqref="D31:AG32" xr:uid="{00000000-0002-0000-0D00-000000000000}">
      <formula1>0</formula1>
    </dataValidation>
  </dataValidations>
  <pageMargins left="0.5" right="0.5" top="1" bottom="1" header="0.5" footer="0.5"/>
  <pageSetup scale="60" fitToWidth="0" orientation="landscape" r:id="rId1"/>
  <headerFooter alignWithMargins="0">
    <oddHeader>&amp;L&amp;F&amp;R&amp;A</oddHeader>
    <oddFooter>&amp;LPage &amp;P of &amp;N&amp;RPrinted &amp;D</oddFooter>
  </headerFooter>
  <colBreaks count="1" manualBreakCount="1">
    <brk id="18" max="50" man="1"/>
  </colBreaks>
  <drawing r:id="rId2"/>
  <legacyDrawing r:id="rId3"/>
  <mc:AlternateContent xmlns:mc="http://schemas.openxmlformats.org/markup-compatibility/2006">
    <mc:Choice Requires="x14">
      <controls>
        <mc:AlternateContent xmlns:mc="http://schemas.openxmlformats.org/markup-compatibility/2006">
          <mc:Choice Requires="x14">
            <control shapeId="20616" r:id="rId4" name="Button 136">
              <controlPr defaultSize="0" print="0" autoFill="0" autoPict="0" macro="[0]!HideOPF">
                <anchor moveWithCells="1" sizeWithCells="1">
                  <from>
                    <xdr:col>2</xdr:col>
                    <xdr:colOff>9525</xdr:colOff>
                    <xdr:row>56</xdr:row>
                    <xdr:rowOff>47625</xdr:rowOff>
                  </from>
                  <to>
                    <xdr:col>2</xdr:col>
                    <xdr:colOff>1619250</xdr:colOff>
                    <xdr:row>58</xdr:row>
                    <xdr:rowOff>47625</xdr:rowOff>
                  </to>
                </anchor>
              </controlPr>
            </control>
          </mc:Choice>
        </mc:AlternateContent>
        <mc:AlternateContent xmlns:mc="http://schemas.openxmlformats.org/markup-compatibility/2006">
          <mc:Choice Requires="x14">
            <control shapeId="20618" r:id="rId5" name="Button 138">
              <controlPr defaultSize="0" print="0" autoFill="0" autoPict="0" macro="[0]!ShowOPF">
                <anchor moveWithCells="1" sizeWithCells="1">
                  <from>
                    <xdr:col>2</xdr:col>
                    <xdr:colOff>2124075</xdr:colOff>
                    <xdr:row>56</xdr:row>
                    <xdr:rowOff>57150</xdr:rowOff>
                  </from>
                  <to>
                    <xdr:col>5</xdr:col>
                    <xdr:colOff>123825</xdr:colOff>
                    <xdr:row>58</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C46"/>
  <sheetViews>
    <sheetView workbookViewId="0">
      <selection activeCell="O5" sqref="O5"/>
    </sheetView>
  </sheetViews>
  <sheetFormatPr defaultColWidth="9.140625" defaultRowHeight="12.75" x14ac:dyDescent="0.2"/>
  <cols>
    <col min="1" max="1" width="5.7109375" style="282" customWidth="1"/>
    <col min="2" max="2" width="1.42578125" style="282" customWidth="1"/>
    <col min="3" max="3" width="52.85546875" style="282" customWidth="1"/>
    <col min="4" max="6" width="13.42578125" style="282" customWidth="1"/>
    <col min="7" max="16384" width="9.140625" style="282"/>
  </cols>
  <sheetData>
    <row r="1" spans="1:29" s="581" customFormat="1" ht="22.5" customHeight="1" x14ac:dyDescent="0.2">
      <c r="A1" s="350"/>
      <c r="C1" s="582" t="s">
        <v>707</v>
      </c>
      <c r="D1" s="631"/>
      <c r="E1" s="723" t="s">
        <v>59</v>
      </c>
      <c r="F1" s="723"/>
      <c r="G1" s="723"/>
      <c r="H1" s="723"/>
      <c r="I1" s="631"/>
      <c r="J1" s="631"/>
      <c r="K1" s="282"/>
      <c r="L1" s="282"/>
      <c r="M1" s="282"/>
      <c r="N1" s="631"/>
      <c r="O1" s="631"/>
      <c r="P1" s="631"/>
      <c r="Q1" s="631"/>
      <c r="R1" s="631"/>
      <c r="S1" s="631"/>
      <c r="T1" s="631"/>
      <c r="U1" s="631"/>
      <c r="V1" s="631"/>
      <c r="W1" s="631"/>
      <c r="X1" s="631"/>
      <c r="Y1" s="631"/>
      <c r="Z1" s="631"/>
      <c r="AA1" s="631"/>
      <c r="AB1" s="631"/>
      <c r="AC1" s="631"/>
    </row>
    <row r="2" spans="1:29" s="350" customFormat="1" ht="17.25" customHeight="1" x14ac:dyDescent="0.25">
      <c r="C2" s="454" t="str">
        <f>Requirements!C4</f>
        <v>Project Name - Sample Project : 20 Units</v>
      </c>
      <c r="D2" s="632"/>
      <c r="E2" s="585"/>
      <c r="F2" s="585"/>
      <c r="G2" s="584"/>
      <c r="H2" s="584"/>
      <c r="I2" s="584"/>
      <c r="J2" s="584"/>
      <c r="K2" s="584"/>
      <c r="L2" s="584"/>
      <c r="M2" s="584"/>
      <c r="N2" s="584"/>
      <c r="O2" s="584"/>
      <c r="P2" s="584"/>
      <c r="Q2" s="584"/>
      <c r="R2" s="584"/>
      <c r="S2" s="584"/>
      <c r="T2" s="584"/>
      <c r="U2" s="584"/>
      <c r="V2" s="584"/>
      <c r="W2" s="584"/>
      <c r="X2" s="584"/>
      <c r="Y2" s="584"/>
      <c r="Z2" s="584"/>
      <c r="AA2" s="584"/>
      <c r="AB2" s="584"/>
      <c r="AC2" s="584"/>
    </row>
    <row r="4" spans="1:29" ht="30.75" customHeight="1" x14ac:dyDescent="0.2">
      <c r="C4" s="759" t="s">
        <v>708</v>
      </c>
      <c r="D4" s="760"/>
      <c r="E4" s="760"/>
      <c r="F4" s="760"/>
      <c r="G4" s="760"/>
      <c r="H4" s="760"/>
    </row>
    <row r="5" spans="1:29" ht="30.75" customHeight="1" x14ac:dyDescent="0.2">
      <c r="C5" s="642"/>
      <c r="D5" s="643"/>
      <c r="E5" s="643"/>
      <c r="F5" s="643"/>
      <c r="G5" s="643"/>
      <c r="H5" s="643"/>
    </row>
    <row r="6" spans="1:29" ht="82.9" customHeight="1" x14ac:dyDescent="0.2">
      <c r="C6" s="756" t="s">
        <v>757</v>
      </c>
      <c r="D6" s="757"/>
      <c r="E6" s="757"/>
      <c r="F6" s="757"/>
      <c r="G6" s="757"/>
      <c r="H6" s="758"/>
    </row>
    <row r="7" spans="1:29" s="586" customFormat="1" ht="30.75" customHeight="1" x14ac:dyDescent="0.2">
      <c r="C7" s="644"/>
      <c r="D7" s="645"/>
      <c r="E7" s="645"/>
      <c r="F7" s="645"/>
      <c r="G7" s="645"/>
    </row>
    <row r="8" spans="1:29" ht="12.6" customHeight="1" x14ac:dyDescent="0.2">
      <c r="C8" s="721" t="s">
        <v>754</v>
      </c>
      <c r="D8" s="721"/>
      <c r="E8" s="721"/>
      <c r="F8" s="721"/>
      <c r="G8" s="721"/>
      <c r="H8" s="721"/>
    </row>
    <row r="9" spans="1:29" ht="30.75" customHeight="1" x14ac:dyDescent="0.2">
      <c r="C9" s="669"/>
      <c r="D9" s="670"/>
      <c r="E9" s="670"/>
      <c r="F9" s="670"/>
      <c r="G9" s="670"/>
      <c r="H9" s="671"/>
    </row>
    <row r="11" spans="1:29" ht="129.75" customHeight="1" x14ac:dyDescent="0.2">
      <c r="C11" s="756" t="s">
        <v>709</v>
      </c>
      <c r="D11" s="757"/>
      <c r="E11" s="757"/>
      <c r="F11" s="757"/>
      <c r="G11" s="757"/>
      <c r="H11" s="758"/>
    </row>
    <row r="13" spans="1:29" ht="26.25" customHeight="1" x14ac:dyDescent="0.2">
      <c r="C13" s="721" t="s">
        <v>710</v>
      </c>
      <c r="D13" s="721"/>
      <c r="E13" s="721"/>
      <c r="F13" s="721"/>
      <c r="G13" s="721"/>
      <c r="H13" s="721"/>
    </row>
    <row r="14" spans="1:29" ht="24" customHeight="1" x14ac:dyDescent="0.2">
      <c r="C14" s="669"/>
      <c r="D14" s="670"/>
      <c r="E14" s="670"/>
      <c r="F14" s="670"/>
      <c r="G14" s="670"/>
      <c r="H14" s="671"/>
    </row>
    <row r="16" spans="1:29" ht="51" customHeight="1" x14ac:dyDescent="0.2">
      <c r="C16" s="756" t="s">
        <v>714</v>
      </c>
      <c r="D16" s="757"/>
      <c r="E16" s="757"/>
      <c r="F16" s="757"/>
      <c r="G16" s="757"/>
      <c r="H16" s="758"/>
    </row>
    <row r="18" spans="3:8" ht="12.6" customHeight="1" x14ac:dyDescent="0.2">
      <c r="C18" s="721" t="s">
        <v>711</v>
      </c>
      <c r="D18" s="721"/>
      <c r="E18" s="721"/>
      <c r="F18" s="721"/>
      <c r="G18" s="721"/>
      <c r="H18" s="721"/>
    </row>
    <row r="19" spans="3:8" ht="26.25" customHeight="1" x14ac:dyDescent="0.2">
      <c r="C19" s="669"/>
      <c r="D19" s="670"/>
      <c r="E19" s="670"/>
      <c r="F19" s="670"/>
      <c r="G19" s="670"/>
      <c r="H19" s="671"/>
    </row>
    <row r="21" spans="3:8" ht="33" customHeight="1" x14ac:dyDescent="0.2">
      <c r="C21" s="756" t="s">
        <v>715</v>
      </c>
      <c r="D21" s="757"/>
      <c r="E21" s="757"/>
      <c r="F21" s="757"/>
      <c r="G21" s="757"/>
      <c r="H21" s="758"/>
    </row>
    <row r="23" spans="3:8" x14ac:dyDescent="0.2">
      <c r="C23" s="721" t="s">
        <v>712</v>
      </c>
      <c r="D23" s="721"/>
      <c r="E23" s="721"/>
      <c r="F23" s="721"/>
      <c r="G23" s="721"/>
      <c r="H23" s="721"/>
    </row>
    <row r="24" spans="3:8" ht="26.25" customHeight="1" x14ac:dyDescent="0.2">
      <c r="C24" s="669"/>
      <c r="D24" s="670"/>
      <c r="E24" s="670"/>
      <c r="F24" s="670"/>
      <c r="G24" s="670"/>
      <c r="H24" s="671"/>
    </row>
    <row r="26" spans="3:8" ht="107.25" customHeight="1" x14ac:dyDescent="0.2">
      <c r="C26" s="756" t="s">
        <v>716</v>
      </c>
      <c r="D26" s="757"/>
      <c r="E26" s="757"/>
      <c r="F26" s="757"/>
      <c r="G26" s="757"/>
      <c r="H26" s="758"/>
    </row>
    <row r="28" spans="3:8" x14ac:dyDescent="0.2">
      <c r="C28" s="721" t="s">
        <v>713</v>
      </c>
      <c r="D28" s="721"/>
      <c r="E28" s="721"/>
      <c r="F28" s="721"/>
      <c r="G28" s="721"/>
      <c r="H28" s="721"/>
    </row>
    <row r="29" spans="3:8" ht="24" customHeight="1" x14ac:dyDescent="0.2">
      <c r="C29" s="669"/>
      <c r="D29" s="670"/>
      <c r="E29" s="670"/>
      <c r="F29" s="670"/>
      <c r="G29" s="670"/>
      <c r="H29" s="671"/>
    </row>
    <row r="31" spans="3:8" ht="136.5" customHeight="1" x14ac:dyDescent="0.2">
      <c r="C31" s="756" t="s">
        <v>718</v>
      </c>
      <c r="D31" s="757"/>
      <c r="E31" s="757"/>
      <c r="F31" s="757"/>
      <c r="G31" s="757"/>
      <c r="H31" s="758"/>
    </row>
    <row r="33" spans="3:8" x14ac:dyDescent="0.2">
      <c r="C33" s="721" t="s">
        <v>717</v>
      </c>
      <c r="D33" s="721"/>
      <c r="E33" s="721"/>
      <c r="F33" s="721"/>
      <c r="G33" s="721"/>
      <c r="H33" s="721"/>
    </row>
    <row r="34" spans="3:8" ht="26.25" customHeight="1" x14ac:dyDescent="0.2">
      <c r="C34" s="669"/>
      <c r="D34" s="670"/>
      <c r="E34" s="670"/>
      <c r="F34" s="670"/>
      <c r="G34" s="670"/>
      <c r="H34" s="671"/>
    </row>
    <row r="36" spans="3:8" ht="82.5" customHeight="1" x14ac:dyDescent="0.2">
      <c r="C36" s="756" t="s">
        <v>719</v>
      </c>
      <c r="D36" s="757"/>
      <c r="E36" s="757"/>
      <c r="F36" s="757"/>
      <c r="G36" s="757"/>
      <c r="H36" s="758"/>
    </row>
    <row r="38" spans="3:8" x14ac:dyDescent="0.2">
      <c r="C38" s="721" t="s">
        <v>720</v>
      </c>
      <c r="D38" s="721"/>
      <c r="E38" s="721"/>
      <c r="F38" s="721"/>
      <c r="G38" s="721"/>
      <c r="H38" s="721"/>
    </row>
    <row r="39" spans="3:8" ht="26.25" customHeight="1" x14ac:dyDescent="0.2">
      <c r="C39" s="669"/>
      <c r="D39" s="670"/>
      <c r="E39" s="670"/>
      <c r="F39" s="670"/>
      <c r="G39" s="670"/>
      <c r="H39" s="671"/>
    </row>
    <row r="41" spans="3:8" ht="168" customHeight="1" x14ac:dyDescent="0.2">
      <c r="C41" s="756" t="s">
        <v>721</v>
      </c>
      <c r="D41" s="757"/>
      <c r="E41" s="757"/>
      <c r="F41" s="757"/>
      <c r="G41" s="757"/>
      <c r="H41" s="758"/>
    </row>
    <row r="43" spans="3:8" x14ac:dyDescent="0.2">
      <c r="C43" s="721" t="s">
        <v>722</v>
      </c>
      <c r="D43" s="721"/>
      <c r="E43" s="721"/>
      <c r="F43" s="721"/>
      <c r="G43" s="721"/>
      <c r="H43" s="721"/>
    </row>
    <row r="44" spans="3:8" ht="30.75" customHeight="1" x14ac:dyDescent="0.2">
      <c r="C44" s="669"/>
      <c r="D44" s="670"/>
      <c r="E44" s="670"/>
      <c r="F44" s="670"/>
      <c r="G44" s="670"/>
      <c r="H44" s="671"/>
    </row>
    <row r="46" spans="3:8" x14ac:dyDescent="0.2">
      <c r="C46" s="337" t="s">
        <v>401</v>
      </c>
    </row>
  </sheetData>
  <mergeCells count="26">
    <mergeCell ref="C43:H43"/>
    <mergeCell ref="E1:H1"/>
    <mergeCell ref="C13:H13"/>
    <mergeCell ref="C41:H41"/>
    <mergeCell ref="C44:H44"/>
    <mergeCell ref="C23:H23"/>
    <mergeCell ref="C28:H28"/>
    <mergeCell ref="C33:H33"/>
    <mergeCell ref="C38:H38"/>
    <mergeCell ref="C26:H26"/>
    <mergeCell ref="C29:H29"/>
    <mergeCell ref="C31:H31"/>
    <mergeCell ref="C34:H34"/>
    <mergeCell ref="C36:H36"/>
    <mergeCell ref="C39:H39"/>
    <mergeCell ref="C18:H18"/>
    <mergeCell ref="C16:H16"/>
    <mergeCell ref="C19:H19"/>
    <mergeCell ref="C21:H21"/>
    <mergeCell ref="C24:H24"/>
    <mergeCell ref="C4:H4"/>
    <mergeCell ref="C11:H11"/>
    <mergeCell ref="C14:H14"/>
    <mergeCell ref="C6:H6"/>
    <mergeCell ref="C9:H9"/>
    <mergeCell ref="C8:H8"/>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pageSetUpPr fitToPage="1"/>
  </sheetPr>
  <dimension ref="A1:N94"/>
  <sheetViews>
    <sheetView showGridLines="0" zoomScaleNormal="100" workbookViewId="0">
      <selection activeCell="A2" sqref="A2"/>
    </sheetView>
  </sheetViews>
  <sheetFormatPr defaultColWidth="9.140625" defaultRowHeight="12.75" zeroHeight="1" x14ac:dyDescent="0.2"/>
  <cols>
    <col min="1" max="1" width="4.28515625" style="27" customWidth="1"/>
    <col min="2" max="2" width="1.85546875" style="27" customWidth="1"/>
    <col min="3" max="3" width="2.7109375" style="27" customWidth="1"/>
    <col min="4" max="4" width="45.7109375" style="27" customWidth="1"/>
    <col min="5" max="5" width="20.7109375" style="27" customWidth="1"/>
    <col min="6" max="6" width="18.7109375" style="27" customWidth="1"/>
    <col min="7" max="7" width="2.7109375" style="27" customWidth="1"/>
    <col min="8" max="8" width="13.7109375" style="26" customWidth="1"/>
    <col min="9" max="9" width="2.7109375" style="26" customWidth="1"/>
    <col min="10" max="10" width="11.5703125" style="26" customWidth="1"/>
    <col min="11" max="11" width="2.7109375" style="26" customWidth="1"/>
    <col min="12" max="12" width="18.7109375" style="26" customWidth="1"/>
    <col min="13" max="13" width="15.85546875" style="27" customWidth="1"/>
    <col min="14" max="14" width="2.7109375" style="27" customWidth="1"/>
    <col min="15" max="15" width="3.42578125" style="27" customWidth="1"/>
    <col min="16" max="16384" width="9.140625" style="27"/>
  </cols>
  <sheetData>
    <row r="1" spans="1:14" x14ac:dyDescent="0.2">
      <c r="A1" s="402" t="s">
        <v>424</v>
      </c>
      <c r="C1" s="127"/>
      <c r="D1" s="128" t="s">
        <v>73</v>
      </c>
      <c r="E1" s="128"/>
      <c r="F1" s="128"/>
      <c r="G1" s="128"/>
      <c r="H1" s="129"/>
      <c r="I1" s="129"/>
      <c r="J1" s="129"/>
      <c r="K1" s="130"/>
      <c r="L1" s="113"/>
      <c r="M1" s="79"/>
      <c r="N1" s="79"/>
    </row>
    <row r="2" spans="1:14" x14ac:dyDescent="0.2">
      <c r="C2" s="131"/>
      <c r="D2" s="132"/>
      <c r="E2" s="132"/>
      <c r="F2" s="132"/>
      <c r="G2" s="132"/>
      <c r="H2" s="133"/>
      <c r="I2" s="133"/>
      <c r="J2" s="133"/>
      <c r="K2" s="134"/>
      <c r="L2" s="113"/>
      <c r="M2" s="79"/>
      <c r="N2" s="79"/>
    </row>
    <row r="3" spans="1:14" x14ac:dyDescent="0.2">
      <c r="C3" s="135"/>
      <c r="D3" s="136" t="s">
        <v>425</v>
      </c>
      <c r="E3" s="776" t="str">
        <f>IF(Intro!D9&gt;0,Intro!D9&amp;" : "&amp;'Rents and Income'!E31&amp;" Units","")</f>
        <v>Sample Project : 20 Units</v>
      </c>
      <c r="F3" s="776"/>
      <c r="G3" s="776"/>
      <c r="H3" s="776"/>
      <c r="I3" s="776"/>
      <c r="J3" s="777"/>
      <c r="K3" s="134"/>
      <c r="L3" s="113"/>
      <c r="M3" s="79"/>
      <c r="N3" s="79"/>
    </row>
    <row r="4" spans="1:14" x14ac:dyDescent="0.2">
      <c r="C4" s="135"/>
      <c r="D4" s="136" t="str">
        <f>Intro!C10</f>
        <v>Address:</v>
      </c>
      <c r="E4" s="776" t="str">
        <f>IF(Intro!D10&gt;0,Intro!D10,"")</f>
        <v>123 Elm Street</v>
      </c>
      <c r="F4" s="776"/>
      <c r="G4" s="776"/>
      <c r="H4" s="776"/>
      <c r="I4" s="776"/>
      <c r="J4" s="777"/>
      <c r="K4" s="134"/>
      <c r="L4" s="113"/>
      <c r="M4" s="79"/>
      <c r="N4" s="79"/>
    </row>
    <row r="5" spans="1:14" x14ac:dyDescent="0.2">
      <c r="C5" s="135"/>
      <c r="D5" s="136" t="str">
        <f>Intro!C11</f>
        <v>Developer:</v>
      </c>
      <c r="E5" s="776" t="str">
        <f>IF(Intro!D11&gt;0,Intro!D11,"")</f>
        <v>East Market CHDO</v>
      </c>
      <c r="F5" s="776"/>
      <c r="G5" s="776"/>
      <c r="H5" s="776"/>
      <c r="I5" s="776"/>
      <c r="J5" s="777"/>
      <c r="K5" s="134"/>
      <c r="L5" s="113"/>
      <c r="M5" s="79"/>
      <c r="N5" s="79"/>
    </row>
    <row r="6" spans="1:14" x14ac:dyDescent="0.2">
      <c r="C6" s="135"/>
      <c r="D6" s="136" t="str">
        <f>Intro!C12</f>
        <v>Date of Analysis:</v>
      </c>
      <c r="E6" s="778">
        <f>IF(Intro!D12&gt;0,Intro!D12,"")</f>
        <v>42917</v>
      </c>
      <c r="F6" s="778"/>
      <c r="G6" s="778"/>
      <c r="H6" s="778"/>
      <c r="I6" s="778"/>
      <c r="J6" s="777"/>
      <c r="K6" s="134"/>
      <c r="L6" s="113"/>
      <c r="M6" s="79"/>
      <c r="N6" s="79"/>
    </row>
    <row r="7" spans="1:14" x14ac:dyDescent="0.2">
      <c r="C7" s="135"/>
      <c r="D7" s="136" t="str">
        <f>Intro!C13</f>
        <v>City:</v>
      </c>
      <c r="E7" s="776" t="str">
        <f>IF(Intro!D13&gt;0,Intro!D13,"")</f>
        <v>Sample City</v>
      </c>
      <c r="F7" s="776"/>
      <c r="G7" s="776"/>
      <c r="H7" s="776"/>
      <c r="I7" s="776"/>
      <c r="J7" s="777"/>
      <c r="K7" s="134"/>
      <c r="L7" s="113"/>
      <c r="M7" s="79"/>
      <c r="N7" s="79"/>
    </row>
    <row r="8" spans="1:14" x14ac:dyDescent="0.2">
      <c r="C8" s="135"/>
      <c r="D8" s="136" t="str">
        <f>Intro!C14</f>
        <v>State:</v>
      </c>
      <c r="E8" s="776" t="str">
        <f>IF(Intro!D14&gt;0,Intro!D14,"")</f>
        <v>XX</v>
      </c>
      <c r="F8" s="776"/>
      <c r="G8" s="776"/>
      <c r="H8" s="776"/>
      <c r="I8" s="776"/>
      <c r="J8" s="777"/>
      <c r="K8" s="134"/>
      <c r="L8" s="113"/>
      <c r="M8" s="79"/>
      <c r="N8" s="79"/>
    </row>
    <row r="9" spans="1:14" x14ac:dyDescent="0.2">
      <c r="C9" s="135"/>
      <c r="D9" s="136" t="str">
        <f>Intro!C15</f>
        <v>Development Type:</v>
      </c>
      <c r="E9" s="776" t="str">
        <f>IF(Intro!D15&gt;0,Intro!D15,"")</f>
        <v>Single Story Garden Apartments</v>
      </c>
      <c r="F9" s="776"/>
      <c r="G9" s="776"/>
      <c r="H9" s="776"/>
      <c r="I9" s="776"/>
      <c r="J9" s="777"/>
      <c r="K9" s="134"/>
      <c r="L9" s="113"/>
      <c r="M9" s="79"/>
      <c r="N9" s="79"/>
    </row>
    <row r="10" spans="1:14" ht="13.5" thickBot="1" x14ac:dyDescent="0.25">
      <c r="C10" s="137"/>
      <c r="D10" s="138"/>
      <c r="E10" s="139"/>
      <c r="F10" s="139"/>
      <c r="G10" s="139"/>
      <c r="H10" s="140"/>
      <c r="I10" s="140"/>
      <c r="J10" s="141"/>
      <c r="K10" s="142"/>
      <c r="L10" s="113"/>
      <c r="M10" s="79"/>
      <c r="N10" s="79"/>
    </row>
    <row r="11" spans="1:14" ht="13.5" thickBot="1" x14ac:dyDescent="0.25">
      <c r="C11" s="143"/>
      <c r="D11" s="144"/>
      <c r="E11" s="145"/>
      <c r="F11" s="145"/>
      <c r="G11" s="145"/>
      <c r="H11" s="146"/>
      <c r="I11" s="146"/>
      <c r="J11" s="133"/>
      <c r="K11" s="133"/>
      <c r="L11" s="113"/>
      <c r="M11" s="79"/>
      <c r="N11" s="79"/>
    </row>
    <row r="12" spans="1:14" x14ac:dyDescent="0.2">
      <c r="A12" s="402" t="s">
        <v>424</v>
      </c>
      <c r="C12" s="127"/>
      <c r="D12" s="128" t="s">
        <v>221</v>
      </c>
      <c r="E12" s="147"/>
      <c r="F12" s="147"/>
      <c r="G12" s="148"/>
      <c r="H12" s="149"/>
      <c r="I12" s="149"/>
      <c r="J12" s="113"/>
      <c r="K12" s="113"/>
      <c r="L12" s="113"/>
      <c r="M12" s="113"/>
      <c r="N12" s="79"/>
    </row>
    <row r="13" spans="1:14" x14ac:dyDescent="0.2">
      <c r="C13" s="135"/>
      <c r="D13" s="143"/>
      <c r="E13" s="143"/>
      <c r="F13" s="143"/>
      <c r="G13" s="143"/>
      <c r="H13" s="150"/>
      <c r="I13" s="151"/>
      <c r="J13" s="113"/>
      <c r="K13" s="113"/>
      <c r="L13" s="113"/>
      <c r="M13" s="113"/>
      <c r="N13" s="79"/>
    </row>
    <row r="14" spans="1:14" ht="26.25" customHeight="1" x14ac:dyDescent="0.2">
      <c r="C14" s="135"/>
      <c r="D14" s="152" t="s">
        <v>63</v>
      </c>
      <c r="E14" s="89" t="s">
        <v>25</v>
      </c>
      <c r="F14" s="766" t="s">
        <v>273</v>
      </c>
      <c r="G14" s="767"/>
      <c r="H14" s="768"/>
      <c r="I14" s="151"/>
      <c r="J14" s="113"/>
      <c r="K14" s="113"/>
      <c r="L14" s="113"/>
      <c r="M14" s="113"/>
      <c r="N14" s="79"/>
    </row>
    <row r="15" spans="1:14" x14ac:dyDescent="0.2">
      <c r="C15" s="135"/>
      <c r="D15" s="154" t="str">
        <f>IF(OR('Sources and Uses'!C8="",'Sources and Uses'!C8=0),"",'Sources and Uses'!C8)</f>
        <v>First Mortgage Loan (proposed amount)</v>
      </c>
      <c r="E15" s="443">
        <f>+'Sources and Uses'!D8</f>
        <v>150000</v>
      </c>
      <c r="F15" s="763" t="str">
        <f>IF('Sources and Uses'!F8="","",'Sources and Uses'!F8)</f>
        <v/>
      </c>
      <c r="G15" s="764"/>
      <c r="H15" s="765"/>
      <c r="I15" s="151"/>
      <c r="J15" s="113"/>
      <c r="K15" s="113"/>
      <c r="L15" s="113"/>
      <c r="M15" s="113"/>
      <c r="N15" s="79"/>
    </row>
    <row r="16" spans="1:14" x14ac:dyDescent="0.2">
      <c r="C16" s="135"/>
      <c r="D16" s="154" t="str">
        <f>IF(OR('Sources and Uses'!C9="",'Sources and Uses'!C9=0),"",'Sources and Uses'!C9)</f>
        <v>Amortizing Second Mortgage Loan</v>
      </c>
      <c r="E16" s="443">
        <f>+'Sources and Uses'!D9</f>
        <v>0</v>
      </c>
      <c r="F16" s="763" t="str">
        <f>IF('Sources and Uses'!F9="","",'Sources and Uses'!F9)</f>
        <v/>
      </c>
      <c r="G16" s="764"/>
      <c r="H16" s="765"/>
      <c r="I16" s="151"/>
      <c r="J16" s="113"/>
      <c r="K16" s="113"/>
      <c r="L16" s="113"/>
      <c r="M16" s="113"/>
      <c r="N16" s="79"/>
    </row>
    <row r="17" spans="3:14" x14ac:dyDescent="0.2">
      <c r="C17" s="135"/>
      <c r="D17" s="154" t="str">
        <f>IF(OR('Sources and Uses'!C10="",'Sources and Uses'!C10=0),"",'Sources and Uses'!C10)</f>
        <v>HOME</v>
      </c>
      <c r="E17" s="443">
        <f>+'Sources and Uses'!D10</f>
        <v>1400000</v>
      </c>
      <c r="F17" s="763" t="str">
        <f>IF('Sources and Uses'!F10="","",'Sources and Uses'!F10)</f>
        <v/>
      </c>
      <c r="G17" s="764"/>
      <c r="H17" s="765"/>
      <c r="I17" s="151"/>
      <c r="J17" s="113"/>
      <c r="K17" s="113"/>
      <c r="L17" s="113"/>
      <c r="M17" s="113"/>
      <c r="N17" s="79"/>
    </row>
    <row r="18" spans="3:14" x14ac:dyDescent="0.2">
      <c r="C18" s="135"/>
      <c r="D18" s="154" t="str">
        <f>IF(OR('Sources and Uses'!C11="",'Sources and Uses'!C11=0),"",'Sources and Uses'!C11)</f>
        <v/>
      </c>
      <c r="E18" s="443">
        <f>+'Sources and Uses'!D11</f>
        <v>0</v>
      </c>
      <c r="F18" s="763" t="str">
        <f>IF('Sources and Uses'!F11="","",'Sources and Uses'!F11)</f>
        <v/>
      </c>
      <c r="G18" s="764"/>
      <c r="H18" s="765"/>
      <c r="I18" s="151"/>
      <c r="J18" s="113"/>
      <c r="K18" s="113"/>
      <c r="L18" s="113"/>
      <c r="M18" s="79"/>
      <c r="N18" s="79"/>
    </row>
    <row r="19" spans="3:14" x14ac:dyDescent="0.2">
      <c r="C19" s="135"/>
      <c r="D19" s="154" t="str">
        <f>IF(OR('Sources and Uses'!C12="",'Sources and Uses'!C12=0),"",'Sources and Uses'!C12)</f>
        <v/>
      </c>
      <c r="E19" s="443">
        <f>+'Sources and Uses'!D12</f>
        <v>0</v>
      </c>
      <c r="F19" s="763" t="str">
        <f>IF('Sources and Uses'!F12="","",'Sources and Uses'!F12)</f>
        <v/>
      </c>
      <c r="G19" s="764"/>
      <c r="H19" s="765"/>
      <c r="I19" s="151"/>
      <c r="J19" s="113"/>
      <c r="K19" s="113"/>
      <c r="L19" s="113"/>
      <c r="M19" s="113"/>
      <c r="N19" s="79"/>
    </row>
    <row r="20" spans="3:14" x14ac:dyDescent="0.2">
      <c r="C20" s="135"/>
      <c r="D20" s="154" t="str">
        <f>IF(OR('Sources and Uses'!C13="",'Sources and Uses'!C13=0),"",'Sources and Uses'!C13)</f>
        <v/>
      </c>
      <c r="E20" s="443">
        <f>+'Sources and Uses'!D13</f>
        <v>0</v>
      </c>
      <c r="F20" s="763" t="str">
        <f>IF('Sources and Uses'!F13="","",'Sources and Uses'!F13)</f>
        <v/>
      </c>
      <c r="G20" s="764"/>
      <c r="H20" s="765"/>
      <c r="I20" s="151"/>
      <c r="J20" s="113"/>
      <c r="K20" s="113"/>
      <c r="L20" s="113"/>
      <c r="M20" s="113"/>
      <c r="N20" s="79"/>
    </row>
    <row r="21" spans="3:14" x14ac:dyDescent="0.2">
      <c r="C21" s="135"/>
      <c r="D21" s="154" t="str">
        <f>IF(OR('Sources and Uses'!C14="",'Sources and Uses'!C14=0),"",'Sources and Uses'!C14)</f>
        <v>Deferred Developer Fee</v>
      </c>
      <c r="E21" s="443">
        <f>+'Sources and Uses'!D14</f>
        <v>39000</v>
      </c>
      <c r="F21" s="574"/>
      <c r="G21" s="575"/>
      <c r="H21" s="576"/>
      <c r="I21" s="151"/>
      <c r="J21" s="113"/>
      <c r="K21" s="113"/>
      <c r="L21" s="113"/>
      <c r="M21" s="113"/>
      <c r="N21" s="79"/>
    </row>
    <row r="22" spans="3:14" x14ac:dyDescent="0.2">
      <c r="C22" s="135"/>
      <c r="D22" s="154" t="str">
        <f>IF(OR('Sources and Uses'!C15="",'Sources and Uses'!C15=0),"",'Sources and Uses'!C15)</f>
        <v>Developer Cash Investment</v>
      </c>
      <c r="E22" s="443">
        <f>+'Sources and Uses'!D15</f>
        <v>0</v>
      </c>
      <c r="F22" s="763" t="str">
        <f>IF('Sources and Uses'!F15="","",'Sources and Uses'!F15)</f>
        <v/>
      </c>
      <c r="G22" s="764"/>
      <c r="H22" s="765"/>
      <c r="I22" s="151"/>
      <c r="J22" s="113"/>
      <c r="K22" s="113"/>
      <c r="L22" s="113"/>
      <c r="M22" s="113"/>
      <c r="N22" s="79"/>
    </row>
    <row r="23" spans="3:14" x14ac:dyDescent="0.2">
      <c r="C23" s="135"/>
      <c r="D23" s="154" t="str">
        <f>IF(OR('Sources and Uses'!C16="",'Sources and Uses'!C16=0),"",'Sources and Uses'!C16)</f>
        <v>Tax Credit Equity (proposed amount)</v>
      </c>
      <c r="E23" s="443">
        <f>+'Sources and Uses'!D16</f>
        <v>450000</v>
      </c>
      <c r="F23" s="763" t="str">
        <f>IF('Sources and Uses'!F16="","",'Sources and Uses'!F16)</f>
        <v/>
      </c>
      <c r="G23" s="764"/>
      <c r="H23" s="765"/>
      <c r="I23" s="151"/>
      <c r="J23" s="113"/>
      <c r="K23" s="113"/>
      <c r="L23" s="79"/>
      <c r="M23" s="113"/>
      <c r="N23" s="79"/>
    </row>
    <row r="24" spans="3:14" x14ac:dyDescent="0.2">
      <c r="C24" s="135"/>
      <c r="D24" s="154" t="str">
        <f>IF(OR('Sources and Uses'!C17="",'Sources and Uses'!C17=0),"",'Sources and Uses'!C17)</f>
        <v/>
      </c>
      <c r="E24" s="443">
        <f>+'Sources and Uses'!D17</f>
        <v>0</v>
      </c>
      <c r="F24" s="763" t="str">
        <f>IF('Sources and Uses'!F17="","",'Sources and Uses'!F17)</f>
        <v/>
      </c>
      <c r="G24" s="764"/>
      <c r="H24" s="765"/>
      <c r="I24" s="151"/>
      <c r="J24" s="113"/>
      <c r="K24" s="113"/>
      <c r="L24" s="113"/>
      <c r="M24" s="113"/>
      <c r="N24" s="79"/>
    </row>
    <row r="25" spans="3:14" x14ac:dyDescent="0.2">
      <c r="C25" s="135"/>
      <c r="D25" s="154" t="str">
        <f>IF(OR('Sources and Uses'!C18="",'Sources and Uses'!C18=0),"",'Sources and Uses'!C18)</f>
        <v/>
      </c>
      <c r="E25" s="443">
        <f>+'Sources and Uses'!D18</f>
        <v>0</v>
      </c>
      <c r="F25" s="763" t="str">
        <f>IF('Sources and Uses'!F18="","",'Sources and Uses'!F18)</f>
        <v/>
      </c>
      <c r="G25" s="764"/>
      <c r="H25" s="765"/>
      <c r="I25" s="151"/>
      <c r="J25" s="113"/>
      <c r="K25" s="113"/>
      <c r="L25" s="113"/>
      <c r="M25" s="113"/>
      <c r="N25" s="79"/>
    </row>
    <row r="26" spans="3:14" x14ac:dyDescent="0.2">
      <c r="C26" s="135"/>
      <c r="D26" s="154" t="str">
        <f>IF(OR('Sources and Uses'!C19="",'Sources and Uses'!C19=0),"",'Sources and Uses'!C19)</f>
        <v/>
      </c>
      <c r="E26" s="443">
        <f>+'Sources and Uses'!D19</f>
        <v>0</v>
      </c>
      <c r="F26" s="763" t="str">
        <f>IF('Sources and Uses'!F19="","",'Sources and Uses'!F19)</f>
        <v/>
      </c>
      <c r="G26" s="764"/>
      <c r="H26" s="765"/>
      <c r="I26" s="151"/>
      <c r="J26" s="113"/>
      <c r="K26" s="113"/>
      <c r="L26" s="113"/>
      <c r="M26" s="113"/>
      <c r="N26" s="79"/>
    </row>
    <row r="27" spans="3:14" x14ac:dyDescent="0.2">
      <c r="C27" s="135"/>
      <c r="D27" s="154" t="str">
        <f>IF(OR('Sources and Uses'!C20="",'Sources and Uses'!C20=0),"",'Sources and Uses'!C20)</f>
        <v/>
      </c>
      <c r="E27" s="443">
        <f>+'Sources and Uses'!D20</f>
        <v>0</v>
      </c>
      <c r="F27" s="763" t="str">
        <f>IF('Sources and Uses'!F20="","",'Sources and Uses'!F20)</f>
        <v/>
      </c>
      <c r="G27" s="764"/>
      <c r="H27" s="765"/>
      <c r="I27" s="151"/>
      <c r="J27" s="113"/>
      <c r="K27" s="113"/>
      <c r="L27" s="113"/>
      <c r="M27" s="113"/>
      <c r="N27" s="79"/>
    </row>
    <row r="28" spans="3:14" x14ac:dyDescent="0.2">
      <c r="C28" s="135"/>
      <c r="D28" s="154" t="str">
        <f>IF(OR('Sources and Uses'!C21="",'Sources and Uses'!C21=0),"",'Sources and Uses'!C21)</f>
        <v/>
      </c>
      <c r="E28" s="443">
        <f>+'Sources and Uses'!D21</f>
        <v>0</v>
      </c>
      <c r="F28" s="763" t="str">
        <f>IF('Sources and Uses'!F21="","",'Sources and Uses'!F21)</f>
        <v/>
      </c>
      <c r="G28" s="764"/>
      <c r="H28" s="765"/>
      <c r="I28" s="151"/>
      <c r="J28" s="113"/>
      <c r="K28" s="113"/>
      <c r="L28" s="113"/>
      <c r="M28" s="113"/>
      <c r="N28" s="79"/>
    </row>
    <row r="29" spans="3:14" x14ac:dyDescent="0.2">
      <c r="C29" s="135"/>
      <c r="D29" s="154" t="str">
        <f>IF(OR('Sources and Uses'!C22="",'Sources and Uses'!C22=0),"",'Sources and Uses'!C22)</f>
        <v/>
      </c>
      <c r="E29" s="443">
        <f>+'Sources and Uses'!D22</f>
        <v>0</v>
      </c>
      <c r="F29" s="763" t="str">
        <f>IF('Sources and Uses'!F22="","",'Sources and Uses'!F22)</f>
        <v/>
      </c>
      <c r="G29" s="764"/>
      <c r="H29" s="765"/>
      <c r="I29" s="151"/>
      <c r="J29" s="113"/>
      <c r="K29" s="113"/>
      <c r="L29" s="113"/>
      <c r="M29" s="113"/>
      <c r="N29" s="79"/>
    </row>
    <row r="30" spans="3:14" x14ac:dyDescent="0.2">
      <c r="C30" s="135"/>
      <c r="D30" s="156" t="str">
        <f>'Sources and Uses'!C23</f>
        <v>Total Sources of Funds</v>
      </c>
      <c r="E30" s="444">
        <f>'Sources and Uses'!D23</f>
        <v>2039000</v>
      </c>
      <c r="F30" s="763" t="str">
        <f>IF('Sources and Uses'!F23="","",'Sources and Uses'!F23)</f>
        <v/>
      </c>
      <c r="G30" s="764"/>
      <c r="H30" s="765"/>
      <c r="I30" s="151"/>
      <c r="J30" s="113"/>
      <c r="K30" s="113"/>
      <c r="L30" s="113"/>
      <c r="M30" s="113"/>
      <c r="N30" s="79"/>
    </row>
    <row r="31" spans="3:14" ht="13.5" thickBot="1" x14ac:dyDescent="0.25">
      <c r="C31" s="137"/>
      <c r="D31" s="157"/>
      <c r="E31" s="158"/>
      <c r="F31" s="158"/>
      <c r="G31" s="158"/>
      <c r="H31" s="159"/>
      <c r="I31" s="160"/>
      <c r="J31" s="113"/>
      <c r="K31" s="113"/>
      <c r="L31" s="113"/>
      <c r="M31" s="161"/>
      <c r="N31" s="79"/>
    </row>
    <row r="32" spans="3:14" ht="13.5" thickBot="1" x14ac:dyDescent="0.25">
      <c r="C32" s="143"/>
      <c r="D32" s="143"/>
      <c r="E32" s="143"/>
      <c r="F32" s="143"/>
      <c r="G32" s="143"/>
      <c r="H32" s="113"/>
      <c r="I32" s="113"/>
      <c r="J32" s="113"/>
      <c r="K32" s="113"/>
      <c r="L32" s="113"/>
      <c r="M32" s="79"/>
      <c r="N32" s="79"/>
    </row>
    <row r="33" spans="1:14" x14ac:dyDescent="0.2">
      <c r="A33" s="402" t="s">
        <v>424</v>
      </c>
      <c r="C33" s="127"/>
      <c r="D33" s="128" t="s">
        <v>212</v>
      </c>
      <c r="E33" s="147"/>
      <c r="F33" s="147"/>
      <c r="G33" s="148"/>
      <c r="H33" s="149"/>
      <c r="I33" s="149"/>
      <c r="J33" s="113"/>
      <c r="K33" s="113"/>
      <c r="L33" s="113"/>
      <c r="M33" s="113"/>
      <c r="N33" s="79"/>
    </row>
    <row r="34" spans="1:14" x14ac:dyDescent="0.2">
      <c r="C34" s="135"/>
      <c r="D34" s="143"/>
      <c r="E34" s="143"/>
      <c r="F34" s="143"/>
      <c r="G34" s="143"/>
      <c r="H34" s="150"/>
      <c r="I34" s="151"/>
      <c r="J34" s="113"/>
      <c r="K34" s="113"/>
      <c r="L34" s="113"/>
      <c r="M34" s="113"/>
      <c r="N34" s="79"/>
    </row>
    <row r="35" spans="1:14" ht="26.25" customHeight="1" x14ac:dyDescent="0.2">
      <c r="C35" s="135"/>
      <c r="D35" s="152" t="s">
        <v>222</v>
      </c>
      <c r="E35" s="89" t="s">
        <v>25</v>
      </c>
      <c r="F35" s="766" t="s">
        <v>273</v>
      </c>
      <c r="G35" s="767"/>
      <c r="H35" s="768"/>
      <c r="I35" s="151"/>
      <c r="J35" s="113"/>
      <c r="K35" s="113"/>
      <c r="L35" s="113"/>
      <c r="M35" s="79"/>
      <c r="N35" s="79"/>
    </row>
    <row r="36" spans="1:14" x14ac:dyDescent="0.2">
      <c r="C36" s="135"/>
      <c r="D36" s="155" t="str">
        <f>+'Sources and Uses'!C29</f>
        <v>Acquisition Costs</v>
      </c>
      <c r="E36" s="443">
        <f>+'Sources and Uses'!D29</f>
        <v>300000</v>
      </c>
      <c r="F36" s="763" t="str">
        <f>IF('Sources and Uses'!F29="","",'Sources and Uses'!F29)</f>
        <v/>
      </c>
      <c r="G36" s="764"/>
      <c r="H36" s="765"/>
      <c r="I36" s="151"/>
      <c r="J36" s="113"/>
      <c r="K36" s="113"/>
      <c r="L36" s="113"/>
      <c r="M36" s="79"/>
      <c r="N36" s="79"/>
    </row>
    <row r="37" spans="1:14" x14ac:dyDescent="0.2">
      <c r="C37" s="135"/>
      <c r="D37" s="155" t="str">
        <f>+'Sources and Uses'!C30</f>
        <v>Site Work Costs</v>
      </c>
      <c r="E37" s="443">
        <f>+'Sources and Uses'!D30</f>
        <v>1000</v>
      </c>
      <c r="F37" s="763" t="str">
        <f>IF('Sources and Uses'!F30="","",'Sources and Uses'!F30)</f>
        <v/>
      </c>
      <c r="G37" s="764"/>
      <c r="H37" s="765"/>
      <c r="I37" s="151"/>
      <c r="J37" s="113"/>
      <c r="K37" s="113"/>
      <c r="L37" s="79"/>
      <c r="M37" s="79"/>
      <c r="N37" s="79"/>
    </row>
    <row r="38" spans="1:14" x14ac:dyDescent="0.2">
      <c r="C38" s="135"/>
      <c r="D38" s="155" t="str">
        <f>+'Sources and Uses'!C31</f>
        <v>Construction / Rehabilitation Costs</v>
      </c>
      <c r="E38" s="443">
        <f>+'Sources and Uses'!D31</f>
        <v>1035000</v>
      </c>
      <c r="F38" s="763" t="str">
        <f>IF('Sources and Uses'!F31="","",'Sources and Uses'!F31)</f>
        <v/>
      </c>
      <c r="G38" s="764"/>
      <c r="H38" s="765"/>
      <c r="I38" s="151"/>
      <c r="J38" s="113"/>
      <c r="K38" s="113"/>
      <c r="L38" s="79"/>
      <c r="M38" s="79"/>
      <c r="N38" s="79"/>
    </row>
    <row r="39" spans="1:14" x14ac:dyDescent="0.2">
      <c r="C39" s="135"/>
      <c r="D39" s="155" t="str">
        <f>+'Sources and Uses'!C32</f>
        <v>Architectural / Engineering Costs</v>
      </c>
      <c r="E39" s="443">
        <f>+'Sources and Uses'!D32</f>
        <v>30000</v>
      </c>
      <c r="F39" s="763" t="str">
        <f>IF('Sources and Uses'!F32="","",'Sources and Uses'!F32)</f>
        <v/>
      </c>
      <c r="G39" s="764"/>
      <c r="H39" s="765"/>
      <c r="I39" s="151"/>
      <c r="J39" s="113"/>
      <c r="K39" s="113"/>
      <c r="L39" s="79"/>
      <c r="M39" s="79"/>
      <c r="N39" s="79"/>
    </row>
    <row r="40" spans="1:14" x14ac:dyDescent="0.2">
      <c r="C40" s="135"/>
      <c r="D40" s="155" t="str">
        <f>+'Sources and Uses'!C33</f>
        <v>Other Owner Costs</v>
      </c>
      <c r="E40" s="443">
        <f>+'Sources and Uses'!D33</f>
        <v>235000</v>
      </c>
      <c r="F40" s="763" t="str">
        <f>IF('Sources and Uses'!F33="","",'Sources and Uses'!F33)</f>
        <v/>
      </c>
      <c r="G40" s="764"/>
      <c r="H40" s="765"/>
      <c r="I40" s="151"/>
      <c r="J40" s="113"/>
      <c r="K40" s="113"/>
      <c r="L40" s="79"/>
      <c r="M40" s="79"/>
      <c r="N40" s="79"/>
    </row>
    <row r="41" spans="1:14" x14ac:dyDescent="0.2">
      <c r="C41" s="135"/>
      <c r="D41" s="155" t="str">
        <f>+'Sources and Uses'!C34</f>
        <v>Construction Interest</v>
      </c>
      <c r="E41" s="443">
        <f>+'Sources and Uses'!D34</f>
        <v>0</v>
      </c>
      <c r="F41" s="763" t="str">
        <f>IF('Sources and Uses'!F34="","",'Sources and Uses'!F34)</f>
        <v/>
      </c>
      <c r="G41" s="764"/>
      <c r="H41" s="765"/>
      <c r="I41" s="151"/>
      <c r="J41" s="113"/>
      <c r="K41" s="113"/>
      <c r="L41" s="113"/>
      <c r="M41" s="79"/>
      <c r="N41" s="79"/>
    </row>
    <row r="42" spans="1:14" x14ac:dyDescent="0.2">
      <c r="C42" s="135"/>
      <c r="D42" s="155" t="str">
        <f>+'Sources and Uses'!C35</f>
        <v>Other Interim Financing Costs</v>
      </c>
      <c r="E42" s="443">
        <f>+'Sources and Uses'!D35</f>
        <v>15000</v>
      </c>
      <c r="F42" s="763" t="str">
        <f>IF('Sources and Uses'!F35="","",'Sources and Uses'!F35)</f>
        <v/>
      </c>
      <c r="G42" s="764"/>
      <c r="H42" s="765"/>
      <c r="I42" s="151"/>
      <c r="J42" s="113"/>
      <c r="K42" s="113"/>
      <c r="L42" s="113"/>
      <c r="M42" s="79"/>
      <c r="N42" s="79"/>
    </row>
    <row r="43" spans="1:14" x14ac:dyDescent="0.2">
      <c r="C43" s="135"/>
      <c r="D43" s="155" t="str">
        <f>+'Sources and Uses'!C36</f>
        <v>Permanent Financing Costs</v>
      </c>
      <c r="E43" s="443">
        <f>+'Sources and Uses'!D36</f>
        <v>58000</v>
      </c>
      <c r="F43" s="763" t="str">
        <f>IF('Sources and Uses'!F36="","",'Sources and Uses'!F36)</f>
        <v/>
      </c>
      <c r="G43" s="764"/>
      <c r="H43" s="765"/>
      <c r="I43" s="151"/>
      <c r="J43" s="113"/>
      <c r="K43" s="113"/>
      <c r="L43" s="113"/>
      <c r="M43" s="79"/>
      <c r="N43" s="79"/>
    </row>
    <row r="44" spans="1:14" x14ac:dyDescent="0.2">
      <c r="C44" s="135"/>
      <c r="D44" s="155" t="str">
        <f>+'Sources and Uses'!C37</f>
        <v>Developer's Fee</v>
      </c>
      <c r="E44" s="443">
        <f>+'Sources and Uses'!D37</f>
        <v>240000</v>
      </c>
      <c r="F44" s="763" t="str">
        <f>IF('Sources and Uses'!F37="","",'Sources and Uses'!F37)</f>
        <v/>
      </c>
      <c r="G44" s="764"/>
      <c r="H44" s="765"/>
      <c r="I44" s="151"/>
      <c r="J44" s="113"/>
      <c r="K44" s="113"/>
      <c r="L44" s="113"/>
      <c r="M44" s="79"/>
      <c r="N44" s="79"/>
    </row>
    <row r="45" spans="1:14" x14ac:dyDescent="0.2">
      <c r="C45" s="135"/>
      <c r="D45" s="155" t="str">
        <f>+'Sources and Uses'!C38</f>
        <v>Initial Project Reserves</v>
      </c>
      <c r="E45" s="443">
        <f>+'Sources and Uses'!D38</f>
        <v>120000</v>
      </c>
      <c r="F45" s="763" t="str">
        <f>IF('Sources and Uses'!F38="","",'Sources and Uses'!F38)</f>
        <v/>
      </c>
      <c r="G45" s="764"/>
      <c r="H45" s="765"/>
      <c r="I45" s="151"/>
      <c r="J45" s="113"/>
      <c r="K45" s="113"/>
      <c r="L45" s="113"/>
      <c r="M45" s="79"/>
      <c r="N45" s="79"/>
    </row>
    <row r="46" spans="1:14" x14ac:dyDescent="0.2">
      <c r="C46" s="135"/>
      <c r="D46" s="155" t="str">
        <f>+'Sources and Uses'!C39</f>
        <v xml:space="preserve">Project Management Costs </v>
      </c>
      <c r="E46" s="443">
        <f>+'Sources and Uses'!D39</f>
        <v>5000</v>
      </c>
      <c r="F46" s="763" t="str">
        <f>IF('Sources and Uses'!F39="","",'Sources and Uses'!F39)</f>
        <v/>
      </c>
      <c r="G46" s="764"/>
      <c r="H46" s="765"/>
      <c r="I46" s="151"/>
      <c r="J46" s="113"/>
      <c r="K46" s="113"/>
      <c r="L46" s="113"/>
      <c r="M46" s="79"/>
      <c r="N46" s="79"/>
    </row>
    <row r="47" spans="1:14" x14ac:dyDescent="0.2">
      <c r="C47" s="135"/>
      <c r="D47" s="155" t="str">
        <f>+'Sources and Uses'!C40</f>
        <v>Other Development Costs</v>
      </c>
      <c r="E47" s="443">
        <f>+'Sources and Uses'!D40</f>
        <v>0</v>
      </c>
      <c r="F47" s="763" t="str">
        <f>IF('Sources and Uses'!F40="","",'Sources and Uses'!F40)</f>
        <v/>
      </c>
      <c r="G47" s="764"/>
      <c r="H47" s="765"/>
      <c r="I47" s="151"/>
      <c r="J47" s="113"/>
      <c r="K47" s="113"/>
      <c r="L47" s="113"/>
      <c r="M47" s="79"/>
      <c r="N47" s="79"/>
    </row>
    <row r="48" spans="1:14" x14ac:dyDescent="0.2">
      <c r="C48" s="135"/>
      <c r="D48" s="339" t="str">
        <f>+'Sources and Uses'!C41</f>
        <v>Total Uses of Funds</v>
      </c>
      <c r="E48" s="444">
        <f>+'Sources and Uses'!D41</f>
        <v>2039000</v>
      </c>
      <c r="F48" s="763" t="str">
        <f>IF('Sources and Uses'!F41="","",'Sources and Uses'!F41)</f>
        <v/>
      </c>
      <c r="G48" s="764"/>
      <c r="H48" s="765"/>
      <c r="I48" s="151"/>
      <c r="J48" s="113"/>
      <c r="K48" s="113"/>
      <c r="L48" s="113"/>
      <c r="M48" s="79"/>
      <c r="N48" s="79"/>
    </row>
    <row r="49" spans="1:14" x14ac:dyDescent="0.2">
      <c r="C49" s="135"/>
      <c r="D49" s="340"/>
      <c r="E49" s="341"/>
      <c r="F49" s="342"/>
      <c r="G49" s="342"/>
      <c r="H49" s="342"/>
      <c r="I49" s="151"/>
      <c r="J49" s="113"/>
      <c r="K49" s="113"/>
      <c r="L49" s="113"/>
      <c r="M49" s="79"/>
      <c r="N49" s="79"/>
    </row>
    <row r="50" spans="1:14" ht="13.5" thickBot="1" x14ac:dyDescent="0.25">
      <c r="C50" s="137"/>
      <c r="D50" s="343" t="str">
        <f>+'Sources and Uses'!C45</f>
        <v/>
      </c>
      <c r="E50" s="164"/>
      <c r="F50" s="158"/>
      <c r="G50" s="158"/>
      <c r="H50" s="159"/>
      <c r="I50" s="160"/>
      <c r="J50" s="113"/>
      <c r="K50" s="113"/>
      <c r="L50" s="113"/>
      <c r="M50" s="79"/>
      <c r="N50" s="79"/>
    </row>
    <row r="51" spans="1:14" ht="13.5" thickBot="1" x14ac:dyDescent="0.25">
      <c r="C51" s="143"/>
      <c r="D51" s="103"/>
      <c r="E51" s="165"/>
      <c r="F51" s="173"/>
      <c r="G51" s="173"/>
      <c r="H51" s="173"/>
      <c r="I51" s="165"/>
      <c r="J51" s="113"/>
      <c r="K51" s="113"/>
      <c r="L51" s="113"/>
      <c r="M51" s="79"/>
      <c r="N51" s="79"/>
    </row>
    <row r="52" spans="1:14" x14ac:dyDescent="0.2">
      <c r="A52" s="402" t="s">
        <v>424</v>
      </c>
      <c r="C52" s="127"/>
      <c r="D52" s="128" t="s">
        <v>68</v>
      </c>
      <c r="E52" s="147"/>
      <c r="F52" s="148"/>
      <c r="G52" s="149"/>
      <c r="H52" s="113"/>
      <c r="I52" s="113"/>
      <c r="J52" s="113"/>
      <c r="K52" s="113"/>
      <c r="L52" s="113"/>
      <c r="M52" s="79"/>
      <c r="N52" s="79"/>
    </row>
    <row r="53" spans="1:14" x14ac:dyDescent="0.2">
      <c r="C53" s="135"/>
      <c r="D53" s="143"/>
      <c r="E53" s="143"/>
      <c r="F53" s="143"/>
      <c r="G53" s="151"/>
      <c r="H53" s="113"/>
      <c r="I53" s="113"/>
      <c r="J53" s="113"/>
      <c r="K53" s="113"/>
      <c r="L53" s="113"/>
      <c r="M53" s="79"/>
      <c r="N53" s="79"/>
    </row>
    <row r="54" spans="1:14" ht="54.75" customHeight="1" x14ac:dyDescent="0.2">
      <c r="C54" s="135"/>
      <c r="D54" s="89" t="s">
        <v>71</v>
      </c>
      <c r="E54" s="89" t="s">
        <v>13</v>
      </c>
      <c r="F54" s="89" t="s">
        <v>206</v>
      </c>
      <c r="G54" s="162"/>
      <c r="H54" s="113"/>
      <c r="I54" s="113"/>
      <c r="J54" s="113"/>
      <c r="K54" s="113"/>
      <c r="L54" s="113"/>
      <c r="M54" s="79"/>
      <c r="N54" s="79"/>
    </row>
    <row r="55" spans="1:14" x14ac:dyDescent="0.2">
      <c r="C55" s="135"/>
      <c r="D55" s="166" t="s">
        <v>14</v>
      </c>
      <c r="E55" s="445">
        <f>+'Rents and Income'!$N$31</f>
        <v>16</v>
      </c>
      <c r="F55" s="761">
        <f>+'Rents and Income'!X31*12</f>
        <v>150864</v>
      </c>
      <c r="G55" s="163"/>
      <c r="H55" s="113"/>
      <c r="I55" s="113"/>
      <c r="J55" s="113"/>
      <c r="K55" s="113"/>
      <c r="L55" s="113"/>
      <c r="M55" s="79"/>
      <c r="N55" s="79"/>
    </row>
    <row r="56" spans="1:14" x14ac:dyDescent="0.2">
      <c r="C56" s="135"/>
      <c r="D56" s="166" t="s">
        <v>24</v>
      </c>
      <c r="E56" s="445">
        <f>+'Rents and Income'!$M$31</f>
        <v>4</v>
      </c>
      <c r="F56" s="762"/>
      <c r="G56" s="163"/>
      <c r="H56" s="113"/>
      <c r="I56" s="113"/>
      <c r="J56" s="113"/>
      <c r="K56" s="113"/>
      <c r="L56" s="113"/>
      <c r="M56" s="79"/>
      <c r="N56" s="79"/>
    </row>
    <row r="57" spans="1:14" x14ac:dyDescent="0.2">
      <c r="C57" s="135"/>
      <c r="D57" s="166" t="s">
        <v>67</v>
      </c>
      <c r="E57" s="445">
        <f>+'Rents and Income'!$O$31</f>
        <v>0</v>
      </c>
      <c r="F57" s="447">
        <f>+'Rents and Income'!$Z$31*12</f>
        <v>0</v>
      </c>
      <c r="G57" s="134"/>
      <c r="H57" s="113"/>
      <c r="I57" s="113"/>
      <c r="J57" s="113"/>
      <c r="K57" s="113"/>
      <c r="L57" s="113"/>
      <c r="M57" s="79"/>
      <c r="N57" s="79"/>
    </row>
    <row r="58" spans="1:14" x14ac:dyDescent="0.2">
      <c r="C58" s="135"/>
      <c r="D58" s="166" t="s">
        <v>398</v>
      </c>
      <c r="E58" s="445">
        <f>+E59-SUM(E55:E57)</f>
        <v>0</v>
      </c>
      <c r="F58" s="447">
        <f>+'Rents and Income'!$Y$31*12</f>
        <v>0</v>
      </c>
      <c r="G58" s="134"/>
      <c r="H58" s="113"/>
      <c r="I58" s="113"/>
      <c r="J58" s="113"/>
      <c r="K58" s="113"/>
      <c r="L58" s="113"/>
      <c r="M58" s="79"/>
      <c r="N58" s="79"/>
    </row>
    <row r="59" spans="1:14" x14ac:dyDescent="0.2">
      <c r="C59" s="135"/>
      <c r="D59" s="167" t="s">
        <v>5</v>
      </c>
      <c r="E59" s="446">
        <f>+'Rents and Income'!$E$31</f>
        <v>20</v>
      </c>
      <c r="F59" s="448">
        <f>SUM(F55:F58)</f>
        <v>150864</v>
      </c>
      <c r="G59" s="134"/>
      <c r="H59" s="113"/>
      <c r="I59" s="113"/>
      <c r="J59" s="113"/>
      <c r="K59" s="113"/>
      <c r="L59" s="113"/>
      <c r="M59" s="79"/>
      <c r="N59" s="79"/>
    </row>
    <row r="60" spans="1:14" ht="13.5" thickBot="1" x14ac:dyDescent="0.25">
      <c r="C60" s="137"/>
      <c r="D60" s="159"/>
      <c r="E60" s="159"/>
      <c r="F60" s="159"/>
      <c r="G60" s="160"/>
      <c r="H60" s="113"/>
      <c r="I60" s="113"/>
      <c r="J60" s="113"/>
      <c r="K60" s="113"/>
      <c r="L60" s="113"/>
      <c r="M60" s="79"/>
      <c r="N60" s="79"/>
    </row>
    <row r="61" spans="1:14" s="28" customFormat="1" ht="13.5" thickBot="1" x14ac:dyDescent="0.25">
      <c r="C61" s="143"/>
      <c r="D61" s="143"/>
      <c r="E61" s="143"/>
      <c r="F61" s="143"/>
      <c r="G61" s="143"/>
      <c r="H61" s="133"/>
      <c r="I61" s="133"/>
      <c r="J61" s="133"/>
      <c r="K61" s="133"/>
      <c r="L61" s="133"/>
      <c r="M61" s="143"/>
      <c r="N61" s="143"/>
    </row>
    <row r="62" spans="1:14" x14ac:dyDescent="0.2">
      <c r="A62" s="402" t="s">
        <v>424</v>
      </c>
      <c r="C62" s="127"/>
      <c r="D62" s="128" t="s">
        <v>69</v>
      </c>
      <c r="E62" s="147"/>
      <c r="F62" s="168"/>
      <c r="G62" s="168"/>
      <c r="H62" s="168"/>
      <c r="I62" s="168"/>
      <c r="J62" s="168"/>
      <c r="K62" s="168"/>
      <c r="L62" s="168"/>
      <c r="M62" s="168"/>
      <c r="N62" s="149"/>
    </row>
    <row r="63" spans="1:14" x14ac:dyDescent="0.2">
      <c r="C63" s="135"/>
      <c r="D63" s="143"/>
      <c r="E63" s="143"/>
      <c r="F63" s="143"/>
      <c r="G63" s="770"/>
      <c r="H63" s="771"/>
      <c r="I63" s="772"/>
      <c r="J63" s="773"/>
      <c r="K63" s="773"/>
      <c r="L63" s="113"/>
      <c r="M63" s="79"/>
      <c r="N63" s="151"/>
    </row>
    <row r="64" spans="1:14" x14ac:dyDescent="0.2">
      <c r="C64" s="169"/>
      <c r="D64" s="89" t="s">
        <v>64</v>
      </c>
      <c r="E64" s="153" t="s">
        <v>16</v>
      </c>
      <c r="F64" s="89" t="s">
        <v>17</v>
      </c>
      <c r="G64" s="774" t="s">
        <v>18</v>
      </c>
      <c r="H64" s="774"/>
      <c r="I64" s="775" t="s">
        <v>19</v>
      </c>
      <c r="J64" s="774"/>
      <c r="K64" s="774"/>
      <c r="L64" s="89" t="s">
        <v>20</v>
      </c>
      <c r="M64" s="89" t="s">
        <v>21</v>
      </c>
      <c r="N64" s="163"/>
    </row>
    <row r="65" spans="1:14" x14ac:dyDescent="0.2">
      <c r="C65" s="135"/>
      <c r="D65" s="170" t="str">
        <f>'Operating Pro Forma'!C7</f>
        <v>HOME/CDBG/LIHTC Rents</v>
      </c>
      <c r="E65" s="598">
        <f>'Operating Pro Forma'!D7</f>
        <v>150864</v>
      </c>
      <c r="F65" s="599">
        <f>'Operating Pro Forma'!E7</f>
        <v>153881</v>
      </c>
      <c r="G65" s="779">
        <f>'Operating Pro Forma'!H7</f>
        <v>163300</v>
      </c>
      <c r="H65" s="779"/>
      <c r="I65" s="779">
        <f>'Operating Pro Forma'!M7</f>
        <v>180296</v>
      </c>
      <c r="J65" s="779"/>
      <c r="K65" s="779"/>
      <c r="L65" s="599">
        <f>'Operating Pro Forma'!R7</f>
        <v>199062</v>
      </c>
      <c r="M65" s="599">
        <f>'Operating Pro Forma'!AG7</f>
        <v>383582</v>
      </c>
      <c r="N65" s="163"/>
    </row>
    <row r="66" spans="1:14" x14ac:dyDescent="0.2">
      <c r="C66" s="135"/>
      <c r="D66" s="170" t="str">
        <f>'Operating Pro Forma'!C8</f>
        <v>Market Rents</v>
      </c>
      <c r="E66" s="598">
        <f>'Operating Pro Forma'!D8</f>
        <v>0</v>
      </c>
      <c r="F66" s="599">
        <f>'Operating Pro Forma'!E8</f>
        <v>0</v>
      </c>
      <c r="G66" s="779">
        <f>'Operating Pro Forma'!H8</f>
        <v>0</v>
      </c>
      <c r="H66" s="779"/>
      <c r="I66" s="779">
        <f>'Operating Pro Forma'!M8</f>
        <v>0</v>
      </c>
      <c r="J66" s="779"/>
      <c r="K66" s="779"/>
      <c r="L66" s="599">
        <f>'Operating Pro Forma'!R8</f>
        <v>0</v>
      </c>
      <c r="M66" s="599">
        <f>'Operating Pro Forma'!AG8</f>
        <v>0</v>
      </c>
      <c r="N66" s="163"/>
    </row>
    <row r="67" spans="1:14" x14ac:dyDescent="0.2">
      <c r="C67" s="135"/>
      <c r="D67" s="170" t="str">
        <f>'Operating Pro Forma'!C9</f>
        <v>Other Affordable Rents</v>
      </c>
      <c r="E67" s="598">
        <f>'Operating Pro Forma'!D9</f>
        <v>0</v>
      </c>
      <c r="F67" s="599">
        <f>'Operating Pro Forma'!E9</f>
        <v>0</v>
      </c>
      <c r="G67" s="779">
        <f>'Operating Pro Forma'!H9</f>
        <v>0</v>
      </c>
      <c r="H67" s="779"/>
      <c r="I67" s="779">
        <f>'Operating Pro Forma'!M9</f>
        <v>0</v>
      </c>
      <c r="J67" s="779"/>
      <c r="K67" s="779"/>
      <c r="L67" s="599">
        <f>'Operating Pro Forma'!R9</f>
        <v>0</v>
      </c>
      <c r="M67" s="599">
        <f>'Operating Pro Forma'!AG9</f>
        <v>0</v>
      </c>
      <c r="N67" s="163"/>
    </row>
    <row r="68" spans="1:14" x14ac:dyDescent="0.2">
      <c r="C68" s="135"/>
      <c r="D68" s="156" t="str">
        <f>'Operating Pro Forma'!C10</f>
        <v xml:space="preserve">Gross Potential Rent </v>
      </c>
      <c r="E68" s="600">
        <f>'Operating Pro Forma'!D10</f>
        <v>150864</v>
      </c>
      <c r="F68" s="601">
        <f>'Operating Pro Forma'!E10</f>
        <v>153881</v>
      </c>
      <c r="G68" s="780">
        <f>'Operating Pro Forma'!H10</f>
        <v>163300</v>
      </c>
      <c r="H68" s="779"/>
      <c r="I68" s="780">
        <f>'Operating Pro Forma'!M10</f>
        <v>180296</v>
      </c>
      <c r="J68" s="779"/>
      <c r="K68" s="779"/>
      <c r="L68" s="601">
        <f>'Operating Pro Forma'!R10</f>
        <v>199062</v>
      </c>
      <c r="M68" s="601">
        <f>'Operating Pro Forma'!AG10</f>
        <v>383582</v>
      </c>
      <c r="N68" s="163"/>
    </row>
    <row r="69" spans="1:14" x14ac:dyDescent="0.2">
      <c r="C69" s="135"/>
      <c r="D69" s="170" t="str">
        <f>'Operating Pro Forma'!C13</f>
        <v>Vacancy Loss</v>
      </c>
      <c r="E69" s="598">
        <f>'Operating Pro Forma'!D13</f>
        <v>-30173</v>
      </c>
      <c r="F69" s="599">
        <f>'Operating Pro Forma'!E13</f>
        <v>-10772</v>
      </c>
      <c r="G69" s="779">
        <f>'Operating Pro Forma'!H13</f>
        <v>-11431</v>
      </c>
      <c r="H69" s="779"/>
      <c r="I69" s="779">
        <f>'Operating Pro Forma'!M13</f>
        <v>-12621</v>
      </c>
      <c r="J69" s="779"/>
      <c r="K69" s="779"/>
      <c r="L69" s="599">
        <f>'Operating Pro Forma'!R13</f>
        <v>-13934</v>
      </c>
      <c r="M69" s="599">
        <f>'Operating Pro Forma'!AG13</f>
        <v>-26851</v>
      </c>
      <c r="N69" s="163"/>
    </row>
    <row r="70" spans="1:14" x14ac:dyDescent="0.2">
      <c r="C70" s="135"/>
      <c r="D70" s="170" t="str">
        <f>'Operating Pro Forma'!C14</f>
        <v>Other Revenue</v>
      </c>
      <c r="E70" s="598">
        <f>'Operating Pro Forma'!D14</f>
        <v>2400</v>
      </c>
      <c r="F70" s="599">
        <f>'Operating Pro Forma'!E14</f>
        <v>2448</v>
      </c>
      <c r="G70" s="779">
        <f>'Operating Pro Forma'!H14</f>
        <v>2598</v>
      </c>
      <c r="H70" s="779"/>
      <c r="I70" s="779">
        <f>'Operating Pro Forma'!M14</f>
        <v>2868</v>
      </c>
      <c r="J70" s="779"/>
      <c r="K70" s="779"/>
      <c r="L70" s="599">
        <f>'Operating Pro Forma'!R14</f>
        <v>3167</v>
      </c>
      <c r="M70" s="599">
        <f>'Operating Pro Forma'!AG14</f>
        <v>4262</v>
      </c>
      <c r="N70" s="163"/>
    </row>
    <row r="71" spans="1:14" x14ac:dyDescent="0.2">
      <c r="C71" s="135"/>
      <c r="D71" s="156" t="str">
        <f>'Operating Pro Forma'!C15</f>
        <v>Effective Gross Income</v>
      </c>
      <c r="E71" s="600">
        <f>'Operating Pro Forma'!D15</f>
        <v>123091</v>
      </c>
      <c r="F71" s="601">
        <f>'Operating Pro Forma'!E15</f>
        <v>145557</v>
      </c>
      <c r="G71" s="780">
        <f>'Operating Pro Forma'!H15</f>
        <v>154467</v>
      </c>
      <c r="H71" s="779"/>
      <c r="I71" s="780">
        <f>'Operating Pro Forma'!M15</f>
        <v>170543</v>
      </c>
      <c r="J71" s="779"/>
      <c r="K71" s="779"/>
      <c r="L71" s="601">
        <f>'Operating Pro Forma'!R15</f>
        <v>188295</v>
      </c>
      <c r="M71" s="601">
        <f>'Operating Pro Forma'!AG15</f>
        <v>360993</v>
      </c>
      <c r="N71" s="163"/>
    </row>
    <row r="72" spans="1:14" x14ac:dyDescent="0.2">
      <c r="C72" s="135"/>
      <c r="D72" s="170" t="str">
        <f>'Operating Pro Forma'!C22</f>
        <v>Total Expenses</v>
      </c>
      <c r="E72" s="598">
        <f>'Operating Pro Forma'!D22</f>
        <v>-100000</v>
      </c>
      <c r="F72" s="599">
        <f>'Operating Pro Forma'!E22</f>
        <v>-102501</v>
      </c>
      <c r="G72" s="779">
        <f>'Operating Pro Forma'!H22</f>
        <v>-110383</v>
      </c>
      <c r="H72" s="779"/>
      <c r="I72" s="779">
        <f>'Operating Pro Forma'!M22</f>
        <v>-124889</v>
      </c>
      <c r="J72" s="779"/>
      <c r="K72" s="779"/>
      <c r="L72" s="599">
        <f>'Operating Pro Forma'!R22</f>
        <v>-141303</v>
      </c>
      <c r="M72" s="599">
        <f>'Operating Pro Forma'!AG22</f>
        <v>-204655</v>
      </c>
      <c r="N72" s="163"/>
    </row>
    <row r="73" spans="1:14" x14ac:dyDescent="0.2">
      <c r="C73" s="135"/>
      <c r="D73" s="156" t="str">
        <f>'Operating Pro Forma'!C24</f>
        <v>Net Operating Income</v>
      </c>
      <c r="E73" s="600">
        <f>'Operating Pro Forma'!D24</f>
        <v>2591</v>
      </c>
      <c r="F73" s="601">
        <f>'Operating Pro Forma'!E24</f>
        <v>22043</v>
      </c>
      <c r="G73" s="780">
        <f>'Operating Pro Forma'!H24</f>
        <v>21456</v>
      </c>
      <c r="H73" s="779"/>
      <c r="I73" s="780">
        <f>'Operating Pro Forma'!M24</f>
        <v>20053</v>
      </c>
      <c r="J73" s="779"/>
      <c r="K73" s="779"/>
      <c r="L73" s="601">
        <f>'Operating Pro Forma'!R24</f>
        <v>18028</v>
      </c>
      <c r="M73" s="601">
        <f>'Operating Pro Forma'!AG24</f>
        <v>114390</v>
      </c>
      <c r="N73" s="163"/>
    </row>
    <row r="74" spans="1:14" x14ac:dyDescent="0.2">
      <c r="C74" s="135"/>
      <c r="D74" s="166" t="s">
        <v>65</v>
      </c>
      <c r="E74" s="602">
        <f>SUM('Operating Pro Forma'!D27:D29)</f>
        <v>-13989.382660966865</v>
      </c>
      <c r="F74" s="603">
        <f>SUM('Operating Pro Forma'!E27:E29)</f>
        <v>-13989</v>
      </c>
      <c r="G74" s="779">
        <f>SUM('Operating Pro Forma'!H27:H29)</f>
        <v>-13989</v>
      </c>
      <c r="H74" s="779"/>
      <c r="I74" s="779">
        <f>SUM('Operating Pro Forma'!M27:M29)</f>
        <v>-13989</v>
      </c>
      <c r="J74" s="779"/>
      <c r="K74" s="779"/>
      <c r="L74" s="599">
        <f>SUM('Operating Pro Forma'!R27:R29)</f>
        <v>-13989</v>
      </c>
      <c r="M74" s="599">
        <f>SUM('Operating Pro Forma'!AG27:AG29)</f>
        <v>-1400000</v>
      </c>
      <c r="N74" s="163"/>
    </row>
    <row r="75" spans="1:14" x14ac:dyDescent="0.2">
      <c r="C75" s="135"/>
      <c r="D75" s="156" t="s">
        <v>66</v>
      </c>
      <c r="E75" s="449">
        <f>'Operating Pro Forma'!D35</f>
        <v>-11398.382660966865</v>
      </c>
      <c r="F75" s="450">
        <f>'Operating Pro Forma'!E35</f>
        <v>8054</v>
      </c>
      <c r="G75" s="781">
        <f>'Operating Pro Forma'!H35</f>
        <v>7467</v>
      </c>
      <c r="H75" s="782"/>
      <c r="I75" s="781">
        <f>'Operating Pro Forma'!M35</f>
        <v>6064</v>
      </c>
      <c r="J75" s="782"/>
      <c r="K75" s="782"/>
      <c r="L75" s="450">
        <f>'Operating Pro Forma'!R35</f>
        <v>4039</v>
      </c>
      <c r="M75" s="450">
        <f>'Operating Pro Forma'!AG35</f>
        <v>-1285610</v>
      </c>
      <c r="N75" s="163"/>
    </row>
    <row r="76" spans="1:14" ht="13.5" thickBot="1" x14ac:dyDescent="0.25">
      <c r="C76" s="137"/>
      <c r="D76" s="141"/>
      <c r="E76" s="141"/>
      <c r="F76" s="159"/>
      <c r="G76" s="159"/>
      <c r="H76" s="159"/>
      <c r="I76" s="159"/>
      <c r="J76" s="159"/>
      <c r="K76" s="159"/>
      <c r="L76" s="159"/>
      <c r="M76" s="159"/>
      <c r="N76" s="160"/>
    </row>
    <row r="77" spans="1:14" ht="13.5" thickBot="1" x14ac:dyDescent="0.25">
      <c r="C77" s="143"/>
      <c r="D77" s="133"/>
      <c r="E77" s="133"/>
      <c r="F77" s="133"/>
      <c r="G77" s="133"/>
      <c r="H77" s="113"/>
      <c r="I77" s="113"/>
      <c r="J77" s="113"/>
      <c r="K77" s="113"/>
      <c r="L77" s="113"/>
      <c r="M77" s="79"/>
      <c r="N77" s="79"/>
    </row>
    <row r="78" spans="1:14" x14ac:dyDescent="0.2">
      <c r="A78" s="402" t="s">
        <v>424</v>
      </c>
      <c r="C78" s="127"/>
      <c r="D78" s="128" t="s">
        <v>70</v>
      </c>
      <c r="E78" s="147"/>
      <c r="F78" s="168"/>
      <c r="G78" s="168"/>
      <c r="H78" s="168"/>
      <c r="I78" s="168"/>
      <c r="J78" s="168"/>
      <c r="K78" s="168"/>
      <c r="L78" s="168"/>
      <c r="M78" s="168"/>
      <c r="N78" s="149"/>
    </row>
    <row r="79" spans="1:14" x14ac:dyDescent="0.2">
      <c r="C79" s="135"/>
      <c r="D79" s="143"/>
      <c r="E79" s="143"/>
      <c r="F79" s="143"/>
      <c r="G79" s="770"/>
      <c r="H79" s="771"/>
      <c r="I79" s="772"/>
      <c r="J79" s="773"/>
      <c r="K79" s="773"/>
      <c r="L79" s="113"/>
      <c r="M79" s="79"/>
      <c r="N79" s="151"/>
    </row>
    <row r="80" spans="1:14" x14ac:dyDescent="0.2">
      <c r="C80" s="135"/>
      <c r="D80" s="89" t="s">
        <v>72</v>
      </c>
      <c r="E80" s="153" t="s">
        <v>16</v>
      </c>
      <c r="F80" s="89" t="s">
        <v>17</v>
      </c>
      <c r="G80" s="774" t="s">
        <v>18</v>
      </c>
      <c r="H80" s="774"/>
      <c r="I80" s="775" t="s">
        <v>19</v>
      </c>
      <c r="J80" s="774"/>
      <c r="K80" s="774"/>
      <c r="L80" s="89" t="s">
        <v>20</v>
      </c>
      <c r="M80" s="89" t="s">
        <v>21</v>
      </c>
      <c r="N80" s="163"/>
    </row>
    <row r="81" spans="3:14" x14ac:dyDescent="0.2">
      <c r="C81" s="135"/>
      <c r="D81" s="156" t="s">
        <v>22</v>
      </c>
      <c r="E81" s="352">
        <f>'Operating Pro Forma'!D41</f>
        <v>-0.29226622207607345</v>
      </c>
      <c r="F81" s="352">
        <f>'Operating Pro Forma'!E41</f>
        <v>0.20651282051282052</v>
      </c>
      <c r="G81" s="769">
        <f>'Operating Pro Forma'!H41</f>
        <v>0.19146153846153846</v>
      </c>
      <c r="H81" s="769"/>
      <c r="I81" s="769">
        <f>'Operating Pro Forma'!M41</f>
        <v>0.15548717948717949</v>
      </c>
      <c r="J81" s="769"/>
      <c r="K81" s="769"/>
      <c r="L81" s="352">
        <f>'Operating Pro Forma'!R41</f>
        <v>0.10356410256410256</v>
      </c>
      <c r="M81" s="352">
        <f>'Operating Pro Forma'!AG41</f>
        <v>8.936743589743589</v>
      </c>
      <c r="N81" s="163"/>
    </row>
    <row r="82" spans="3:14" x14ac:dyDescent="0.2">
      <c r="C82" s="135"/>
      <c r="D82" s="171"/>
      <c r="E82" s="172"/>
      <c r="F82" s="173"/>
      <c r="G82" s="173"/>
      <c r="H82" s="173"/>
      <c r="I82" s="173"/>
      <c r="J82" s="173"/>
      <c r="K82" s="173"/>
      <c r="L82" s="173"/>
      <c r="M82" s="173"/>
      <c r="N82" s="163"/>
    </row>
    <row r="83" spans="3:14" x14ac:dyDescent="0.2">
      <c r="C83" s="135"/>
      <c r="D83" s="174" t="str">
        <f>'Operating Pro Forma'!D46</f>
        <v>IRR (Year 1 through sale of project)</v>
      </c>
      <c r="E83" s="353">
        <f>'Operating Pro Forma'!G46</f>
        <v>0.21993871437253398</v>
      </c>
      <c r="F83" s="173"/>
      <c r="G83" s="173"/>
      <c r="H83" s="173"/>
      <c r="I83" s="173"/>
      <c r="J83" s="173"/>
      <c r="K83" s="173"/>
      <c r="L83" s="173"/>
      <c r="M83" s="173"/>
      <c r="N83" s="163"/>
    </row>
    <row r="84" spans="3:14" ht="13.5" thickBot="1" x14ac:dyDescent="0.25">
      <c r="C84" s="137"/>
      <c r="D84" s="141"/>
      <c r="E84" s="141"/>
      <c r="F84" s="159"/>
      <c r="G84" s="159"/>
      <c r="H84" s="159"/>
      <c r="I84" s="159"/>
      <c r="J84" s="159"/>
      <c r="K84" s="159"/>
      <c r="L84" s="159"/>
      <c r="M84" s="159"/>
      <c r="N84" s="160"/>
    </row>
    <row r="85" spans="3:14" x14ac:dyDescent="0.2"/>
    <row r="92" spans="3:14" x14ac:dyDescent="0.2"/>
    <row r="93" spans="3:14" x14ac:dyDescent="0.2"/>
    <row r="94" spans="3:14" x14ac:dyDescent="0.2"/>
  </sheetData>
  <sheetProtection password="CE0A" sheet="1" objects="1" scenarios="1"/>
  <mergeCells count="70">
    <mergeCell ref="G75:H75"/>
    <mergeCell ref="I75:K75"/>
    <mergeCell ref="I69:K69"/>
    <mergeCell ref="I70:K70"/>
    <mergeCell ref="I71:K71"/>
    <mergeCell ref="I72:K72"/>
    <mergeCell ref="I74:K74"/>
    <mergeCell ref="I73:K73"/>
    <mergeCell ref="G74:H74"/>
    <mergeCell ref="G72:H72"/>
    <mergeCell ref="G70:H70"/>
    <mergeCell ref="G71:H71"/>
    <mergeCell ref="G73:H73"/>
    <mergeCell ref="G68:H68"/>
    <mergeCell ref="G69:H69"/>
    <mergeCell ref="G66:H66"/>
    <mergeCell ref="G67:H67"/>
    <mergeCell ref="I67:K67"/>
    <mergeCell ref="I68:K68"/>
    <mergeCell ref="I66:K66"/>
    <mergeCell ref="F14:H14"/>
    <mergeCell ref="F15:H15"/>
    <mergeCell ref="F16:H16"/>
    <mergeCell ref="G63:H63"/>
    <mergeCell ref="I65:K65"/>
    <mergeCell ref="G65:H65"/>
    <mergeCell ref="I63:K63"/>
    <mergeCell ref="I64:K64"/>
    <mergeCell ref="G64:H64"/>
    <mergeCell ref="F17:H17"/>
    <mergeCell ref="F18:H18"/>
    <mergeCell ref="F19:H19"/>
    <mergeCell ref="F20:H20"/>
    <mergeCell ref="F22:H22"/>
    <mergeCell ref="F23:H23"/>
    <mergeCell ref="F24:H24"/>
    <mergeCell ref="E7:J7"/>
    <mergeCell ref="E8:J8"/>
    <mergeCell ref="E9:J9"/>
    <mergeCell ref="E3:J3"/>
    <mergeCell ref="E4:J4"/>
    <mergeCell ref="E5:J5"/>
    <mergeCell ref="E6:J6"/>
    <mergeCell ref="G81:H81"/>
    <mergeCell ref="I81:K81"/>
    <mergeCell ref="G79:H79"/>
    <mergeCell ref="I79:K79"/>
    <mergeCell ref="G80:H80"/>
    <mergeCell ref="I80:K80"/>
    <mergeCell ref="F25:H25"/>
    <mergeCell ref="F29:H29"/>
    <mergeCell ref="F26:H26"/>
    <mergeCell ref="F27:H27"/>
    <mergeCell ref="F28:H28"/>
    <mergeCell ref="F30:H30"/>
    <mergeCell ref="F35:H35"/>
    <mergeCell ref="F36:H36"/>
    <mergeCell ref="F37:H37"/>
    <mergeCell ref="F38:H38"/>
    <mergeCell ref="F39:H39"/>
    <mergeCell ref="F40:H40"/>
    <mergeCell ref="F41:H41"/>
    <mergeCell ref="F42:H42"/>
    <mergeCell ref="F43:H43"/>
    <mergeCell ref="F55:F56"/>
    <mergeCell ref="F44:H44"/>
    <mergeCell ref="F45:H45"/>
    <mergeCell ref="F46:H46"/>
    <mergeCell ref="F47:H47"/>
    <mergeCell ref="F48:H48"/>
  </mergeCells>
  <phoneticPr fontId="0" type="noConversion"/>
  <pageMargins left="0.5" right="0.5" top="1" bottom="1" header="0.5" footer="0.5"/>
  <pageSetup scale="58" orientation="portrait" r:id="rId1"/>
  <headerFooter alignWithMargins="0">
    <oddHeader>&amp;L&amp;F&amp;R&amp;A</oddHeader>
    <oddFooter>&amp;LPage &amp;P of &amp;N&amp;RPrinted &amp;D</oddFooter>
  </headerFooter>
  <rowBreaks count="2" manualBreakCount="2">
    <brk id="31" min="2" max="13" man="1"/>
    <brk id="60" max="16383" man="1"/>
  </rowBreak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27</vt:i4>
      </vt:variant>
    </vt:vector>
  </HeadingPairs>
  <TitlesOfParts>
    <vt:vector size="43" baseType="lpstr">
      <vt:lpstr>Intro</vt:lpstr>
      <vt:lpstr>Controls</vt:lpstr>
      <vt:lpstr>Requirements</vt:lpstr>
      <vt:lpstr>Rents and Income</vt:lpstr>
      <vt:lpstr>Development Costs</vt:lpstr>
      <vt:lpstr>Repl Reserve</vt:lpstr>
      <vt:lpstr>Const Schedule</vt:lpstr>
      <vt:lpstr>LIHTC Basis</vt:lpstr>
      <vt:lpstr>Operating Expenses</vt:lpstr>
      <vt:lpstr>First Mortgage Sizing</vt:lpstr>
      <vt:lpstr>Sources and Uses</vt:lpstr>
      <vt:lpstr>S&amp;U By Month</vt:lpstr>
      <vt:lpstr>Pro Forma Assumptions</vt:lpstr>
      <vt:lpstr>Operating Pro Forma</vt:lpstr>
      <vt:lpstr>Administrative Record</vt:lpstr>
      <vt:lpstr>Summary</vt:lpstr>
      <vt:lpstr>apuHOME</vt:lpstr>
      <vt:lpstr>DevTypes</vt:lpstr>
      <vt:lpstr>HOMEera</vt:lpstr>
      <vt:lpstr>'Development Costs'!Print_Area</vt:lpstr>
      <vt:lpstr>'First Mortgage Sizing'!Print_Area</vt:lpstr>
      <vt:lpstr>Intro!Print_Area</vt:lpstr>
      <vt:lpstr>'LIHTC Basis'!Print_Area</vt:lpstr>
      <vt:lpstr>'Operating Expenses'!Print_Area</vt:lpstr>
      <vt:lpstr>'Operating Pro Forma'!Print_Area</vt:lpstr>
      <vt:lpstr>'Pro Forma Assumptions'!Print_Area</vt:lpstr>
      <vt:lpstr>'Rents and Income'!Print_Area</vt:lpstr>
      <vt:lpstr>'Repl Reserve'!Print_Area</vt:lpstr>
      <vt:lpstr>Requirements!Print_Area</vt:lpstr>
      <vt:lpstr>'S&amp;U By Month'!Print_Area</vt:lpstr>
      <vt:lpstr>'Sources and Uses'!Print_Area</vt:lpstr>
      <vt:lpstr>Summary!Print_Area</vt:lpstr>
      <vt:lpstr>'First Mortgage Sizing'!Print_Titles</vt:lpstr>
      <vt:lpstr>Intro!Print_Titles</vt:lpstr>
      <vt:lpstr>'Operating Pro Forma'!Print_Titles</vt:lpstr>
      <vt:lpstr>'Repl Reserve'!Print_Titles</vt:lpstr>
      <vt:lpstr>Requirements!Print_Titles</vt:lpstr>
      <vt:lpstr>'S&amp;U By Month'!Print_Titles</vt:lpstr>
      <vt:lpstr>Rents</vt:lpstr>
      <vt:lpstr>Section1</vt:lpstr>
      <vt:lpstr>Section2</vt:lpstr>
      <vt:lpstr>UAs</vt:lpstr>
      <vt:lpstr>YesNo</vt:lpstr>
    </vt:vector>
  </TitlesOfParts>
  <Company>HUD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HOME Multifamily Underwriting Template - Sample</dc:title>
  <dc:subject>HOME Multifamily Underwriting Template</dc:subject>
  <dc:creator>HUD - CPD - Affordable Housing</dc:creator>
  <cp:keywords/>
  <cp:lastModifiedBy>Cardoza, Kristen</cp:lastModifiedBy>
  <cp:lastPrinted>2015-05-03T19:58:15Z</cp:lastPrinted>
  <dcterms:created xsi:type="dcterms:W3CDTF">2000-04-07T20:56:34Z</dcterms:created>
  <dcterms:modified xsi:type="dcterms:W3CDTF">2021-06-17T13:29:55Z</dcterms:modified>
</cp:coreProperties>
</file>