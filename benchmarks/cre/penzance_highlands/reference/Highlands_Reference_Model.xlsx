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Program" sheetId="3" state="visible" r:id="rId3"/>
    <sheet xmlns:r="http://schemas.openxmlformats.org/officeDocument/2006/relationships" name="DevBudget" sheetId="4" state="visible" r:id="rId4"/>
    <sheet xmlns:r="http://schemas.openxmlformats.org/officeDocument/2006/relationships" name="Ops" sheetId="5" state="visible" r:id="rId5"/>
    <sheet xmlns:r="http://schemas.openxmlformats.org/officeDocument/2006/relationships" name="Sellout" sheetId="6" state="visible" r:id="rId6"/>
    <sheet xmlns:r="http://schemas.openxmlformats.org/officeDocument/2006/relationships" name="CashFlow" sheetId="7" state="visible" r:id="rId7"/>
    <sheet xmlns:r="http://schemas.openxmlformats.org/officeDocument/2006/relationships" name="Waterfall" sheetId="8" state="visible" r:id="rId8"/>
    <sheet xmlns:r="http://schemas.openxmlformats.org/officeDocument/2006/relationships" name="Returns" sheetId="9" state="visible" r:id="rId9"/>
  </sheets>
  <definedNames/>
  <calcPr calcId="124519" fullCalcOnLoad="1"/>
</workbook>
</file>

<file path=xl/styles.xml><?xml version="1.0" encoding="utf-8"?>
<styleSheet xmlns="http://schemas.openxmlformats.org/spreadsheetml/2006/main">
  <numFmts count="6">
    <numFmt numFmtId="164" formatCode="yyyy-mm-dd"/>
    <numFmt numFmtId="165" formatCode="#,##0;(#,##0);&quot;-&quot;"/>
    <numFmt numFmtId="166" formatCode="$#,##0;($#,##0);&quot;-&quot;"/>
    <numFmt numFmtId="167" formatCode="0.0%"/>
    <numFmt numFmtId="168" formatCode="0.0&quot;x&quot;"/>
    <numFmt numFmtId="169" formatCode="0.00&quot;x&quot;"/>
  </numFmts>
  <fonts count="8">
    <font>
      <name val="Calibri"/>
      <family val="2"/>
      <color theme="1"/>
      <sz val="11"/>
      <scheme val="minor"/>
    </font>
    <font>
      <name val="Arial"/>
      <b val="1"/>
      <sz val="14"/>
    </font>
    <font>
      <name val="Arial"/>
      <i val="1"/>
      <color rgb="00666666"/>
      <sz val="8"/>
    </font>
    <font>
      <name val="Arial"/>
      <b val="1"/>
      <color rgb="00FFFFFF"/>
      <sz val="10"/>
    </font>
    <font>
      <name val="Arial"/>
      <b val="1"/>
      <sz val="11"/>
    </font>
    <font>
      <name val="Arial"/>
      <sz val="10"/>
    </font>
    <font>
      <name val="Arial"/>
      <color rgb="00008000"/>
      <sz val="10"/>
    </font>
    <font>
      <name val="Arial"/>
      <color rgb="000000FF"/>
      <sz val="10"/>
    </font>
  </fonts>
  <fills count="5">
    <fill>
      <patternFill/>
    </fill>
    <fill>
      <patternFill patternType="gray125"/>
    </fill>
    <fill>
      <patternFill patternType="solid">
        <fgColor rgb="001F3864"/>
      </patternFill>
    </fill>
    <fill>
      <patternFill patternType="solid">
        <fgColor rgb="00EEEEEE"/>
      </patternFill>
    </fill>
    <fill>
      <patternFill patternType="solid">
        <fgColor rgb="00FFFF00"/>
      </patternFill>
    </fill>
  </fills>
  <borders count="3">
    <border>
      <left/>
      <right/>
      <top/>
      <bottom/>
      <diagonal/>
    </border>
    <border>
      <left style="thin">
        <color rgb="00BFBFBF"/>
      </left>
      <right style="thin">
        <color rgb="00BFBFBF"/>
      </right>
      <top style="thin">
        <color rgb="00BFBFBF"/>
      </top>
      <bottom style="thin">
        <color rgb="00BFBFBF"/>
      </bottom>
    </border>
    <border>
      <top style="thin">
        <color rgb="00000000"/>
      </top>
    </border>
  </borders>
  <cellStyleXfs count="1">
    <xf numFmtId="0" fontId="0" fillId="0" borderId="0"/>
  </cellStyleXfs>
  <cellXfs count="48">
    <xf numFmtId="0" fontId="0" fillId="0" borderId="0" pivotButton="0" quotePrefix="0" xfId="0"/>
    <xf numFmtId="0" fontId="1" fillId="0" borderId="0" pivotButton="0" quotePrefix="0" xfId="0"/>
    <xf numFmtId="0" fontId="4" fillId="0" borderId="0" pivotButton="0" quotePrefix="0" xfId="0"/>
    <xf numFmtId="0" fontId="5"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1" pivotButton="0" quotePrefix="0" xfId="0"/>
    <xf numFmtId="17" fontId="6" fillId="0" borderId="1" applyAlignment="1" pivotButton="0" quotePrefix="0" xfId="0">
      <alignment horizontal="right"/>
    </xf>
    <xf numFmtId="0" fontId="5" fillId="0" borderId="1" applyAlignment="1" pivotButton="0" quotePrefix="0" xfId="0">
      <alignment horizontal="center"/>
    </xf>
    <xf numFmtId="0" fontId="2" fillId="0" borderId="1" pivotButton="0" quotePrefix="0" xfId="0"/>
    <xf numFmtId="165" fontId="7" fillId="4" borderId="1" applyAlignment="1" pivotButton="0" quotePrefix="0" xfId="0">
      <alignment horizontal="right"/>
    </xf>
    <xf numFmtId="166" fontId="6" fillId="0" borderId="1" applyAlignment="1" pivotButton="0" quotePrefix="0" xfId="0">
      <alignment horizontal="right"/>
    </xf>
    <xf numFmtId="166" fontId="7" fillId="4" borderId="1" applyAlignment="1" pivotButton="0" quotePrefix="0" xfId="0">
      <alignment horizontal="right"/>
    </xf>
    <xf numFmtId="167" fontId="7" fillId="4" borderId="1" applyAlignment="1" pivotButton="0" quotePrefix="0" xfId="0">
      <alignment horizontal="right"/>
    </xf>
    <xf numFmtId="167" fontId="6" fillId="0" borderId="1" applyAlignment="1" pivotButton="0" quotePrefix="0" xfId="0">
      <alignment horizontal="right"/>
    </xf>
    <xf numFmtId="2" fontId="6" fillId="0" borderId="1" applyAlignment="1" pivotButton="0" quotePrefix="0" xfId="0">
      <alignment horizontal="right"/>
    </xf>
    <xf numFmtId="10" fontId="7" fillId="4" borderId="1" applyAlignment="1" pivotButton="0" quotePrefix="0" xfId="0">
      <alignment horizontal="right"/>
    </xf>
    <xf numFmtId="165" fontId="6" fillId="0" borderId="1" applyAlignment="1" pivotButton="0" quotePrefix="0" xfId="0">
      <alignment horizontal="right"/>
    </xf>
    <xf numFmtId="10" fontId="6" fillId="0" borderId="1" applyAlignment="1" pivotButton="0" quotePrefix="0" xfId="0">
      <alignment horizontal="right"/>
    </xf>
    <xf numFmtId="166" fontId="5" fillId="0" borderId="0" pivotButton="0" quotePrefix="0" xfId="0"/>
    <xf numFmtId="0" fontId="6" fillId="0" borderId="1" applyAlignment="1" pivotButton="0" quotePrefix="0" xfId="0">
      <alignment horizontal="right"/>
    </xf>
    <xf numFmtId="168" fontId="6" fillId="0" borderId="1" applyAlignment="1" pivotButton="0" quotePrefix="0" xfId="0">
      <alignment horizontal="right"/>
    </xf>
    <xf numFmtId="166" fontId="5" fillId="0" borderId="1" pivotButton="0" quotePrefix="0" xfId="0"/>
    <xf numFmtId="167" fontId="5" fillId="0" borderId="1" pivotButton="0" quotePrefix="0" xfId="0"/>
    <xf numFmtId="0" fontId="4" fillId="0" borderId="1" pivotButton="0" quotePrefix="0" xfId="0"/>
    <xf numFmtId="166" fontId="5" fillId="0" borderId="2" pivotButton="0" quotePrefix="0" xfId="0"/>
    <xf numFmtId="0" fontId="4" fillId="3" borderId="1" pivotButton="0" quotePrefix="0" xfId="0"/>
    <xf numFmtId="166" fontId="5" fillId="3" borderId="2" pivotButton="0" quotePrefix="0" xfId="0"/>
    <xf numFmtId="0" fontId="5" fillId="0" borderId="0" pivotButton="0" quotePrefix="0" xfId="0"/>
    <xf numFmtId="166" fontId="6" fillId="0" borderId="0" pivotButton="0" quotePrefix="0" xfId="0"/>
    <xf numFmtId="167" fontId="5" fillId="0" borderId="0" pivotButton="0" quotePrefix="0" xfId="0"/>
    <xf numFmtId="165" fontId="5" fillId="0" borderId="1" pivotButton="0" quotePrefix="0" xfId="0"/>
    <xf numFmtId="10" fontId="5" fillId="4" borderId="1" pivotButton="0" quotePrefix="0" xfId="0"/>
    <xf numFmtId="10" fontId="5" fillId="0" borderId="1" pivotButton="0" quotePrefix="0" xfId="0"/>
    <xf numFmtId="166" fontId="5" fillId="3" borderId="1" pivotButton="0" quotePrefix="0" xfId="0"/>
    <xf numFmtId="165" fontId="6" fillId="0" borderId="1" pivotButton="0" quotePrefix="0" xfId="0"/>
    <xf numFmtId="0" fontId="6" fillId="0" borderId="1" applyAlignment="1" pivotButton="0" quotePrefix="0" xfId="0">
      <alignment horizontal="center"/>
    </xf>
    <xf numFmtId="166" fontId="6" fillId="0" borderId="1" pivotButton="0" quotePrefix="0" xfId="0"/>
    <xf numFmtId="165" fontId="4" fillId="3" borderId="0" pivotButton="0" quotePrefix="0" xfId="0"/>
    <xf numFmtId="166" fontId="4" fillId="3" borderId="0" pivotButton="0" quotePrefix="0" xfId="0"/>
    <xf numFmtId="165" fontId="5" fillId="0" borderId="0" pivotButton="0" quotePrefix="0" xfId="0"/>
    <xf numFmtId="17" fontId="5" fillId="0" borderId="0" pivotButton="0" quotePrefix="0" xfId="0"/>
    <xf numFmtId="10" fontId="5" fillId="0" borderId="0" pivotButton="0" quotePrefix="0" xfId="0"/>
    <xf numFmtId="166" fontId="4" fillId="3" borderId="2" pivotButton="0" quotePrefix="0" xfId="0"/>
    <xf numFmtId="169" fontId="5" fillId="0" borderId="1" pivotButton="0" quotePrefix="0" xfId="0"/>
    <xf numFmtId="10" fontId="7"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12" customWidth="1" min="2" max="2"/>
  </cols>
  <sheetData>
    <row r="1">
      <c r="A1" s="1" t="inlineStr">
        <is>
          <t>THE HIGHLANDS — REFERENCE MODEL</t>
        </is>
      </c>
    </row>
    <row r="3" ht="42" customHeight="1">
      <c r="A3" s="2" t="inlineStr">
        <is>
          <t>What this is</t>
        </is>
      </c>
      <c r="B3" s="3" t="inlineStr">
        <is>
          <t>The reference (oracle) model for the Penzance / The Highlands private benchmark. Deliberately conventional — the way a development shop would build it in Excel. The CFDL model must reproduce every number on the Returns sheet from the same inputs.</t>
        </is>
      </c>
    </row>
    <row r="4" ht="28" customHeight="1">
      <c r="A4" s="2" t="inlineStr">
        <is>
          <t>Where inputs live</t>
        </is>
      </c>
      <c r="B4" s="3" t="inlineStr">
        <is>
          <t>inputs/highlands.toml is the single source of truth. This workbook was generated from it by model/build_reference_model.py. Change the TOML and rebuild; do not fork numbers here.</t>
        </is>
      </c>
    </row>
    <row r="5" ht="28" customHeight="1">
      <c r="A5" s="2" t="inlineStr">
        <is>
          <t>Colour legend</t>
        </is>
      </c>
      <c r="B5" s="3" t="inlineStr">
        <is>
          <t>BLUE on YELLOW = editable assumption. GREEN = fact from SP #445, or a cross-sheet link. BLACK = formula. GREY fill = subtotal or headline.</t>
        </is>
      </c>
    </row>
    <row r="6" ht="42" customHeight="1">
      <c r="A6" s="2" t="inlineStr">
        <is>
          <t>What is fact</t>
        </is>
      </c>
      <c r="B6" s="3" t="inlineStr">
        <is>
          <t>Program, unit counts, unit mix by tower, GFA, parking, FAR, heights, entitlement chronology, ground lease and development agreement dates, the cash public obligations with their triggers, the in-kind obligations (Fire Station 10, Rosslyn Highlands Park, N. Pierce Street), and both exit DATES.</t>
        </is>
      </c>
    </row>
    <row r="7" ht="42" customHeight="1">
      <c r="A7" s="2" t="inlineStr">
        <is>
          <t>What is assumed</t>
        </is>
      </c>
      <c r="B7" s="3" t="inlineStr">
        <is>
          <t>Every dollar of cost, all debt pricing, all rents, all operating expense, lease-up and sellout pace, both exit PRICES, and the entire JV waterfall. Cortland never disclosed terms; the Baupost JV is private. No Penzance data was used — none is available.</t>
        </is>
      </c>
    </row>
    <row r="8" ht="56" customHeight="1">
      <c r="A8" s="2" t="inlineStr">
        <is>
          <t>Structural features</t>
        </is>
      </c>
      <c r="B8" s="3" t="inlineStr">
        <is>
          <t>Three assets, ONE construction loan. The East Building holds BOTH the for-sale product (Pierce, North Tower) and rental (Evo, South Tower) over a shared podium, so their costs are not separable. Two in-kind public benefits are pure cost with no revenue. N. Pierce Street carries a PERPETUAL maintenance obligation that outlives every exit modelled here.</t>
        </is>
      </c>
    </row>
    <row r="9" ht="56" customHeight="1">
      <c r="A9" s="2" t="inlineStr">
        <is>
          <t>How to calibrate</t>
        </is>
      </c>
      <c r="B9" s="3" t="inlineStr">
        <is>
          <t>Two external checks, both on the Returns sheet. (1) Peak debt vs the reported $380M commitment — if peak debt sits far from ~100%, the cost assumptions are wrong, not the loan. (2) Aubrey + Evo blended $/unit against Cortland's ~$1B for ~1,320 Arlington units in May 2022. Move assumptions to satisfy those two, not to reach a target IRR.</t>
        </is>
      </c>
    </row>
    <row r="10" ht="56" customHeight="1">
      <c r="A10" s="2" t="inlineStr">
        <is>
          <t>Known soft spots</t>
        </is>
      </c>
      <c r="B10" s="3" t="inlineStr">
        <is>
          <t>1) Land basis is a placeholder — pull the recorded deed. 2) The $380M loan is press-reported, not verified to the recorded deed of trust. 3) Real estate tax is an assumption but should not be: Arlington publishes assessment history per RPC. 4) The affordable housing amount is a decision variable, not a constant — SP445 Condition #42 deliberately fixes no number.</t>
        </is>
      </c>
    </row>
    <row r="11" ht="42" customHeight="1">
      <c r="A11" s="2" t="inlineStr">
        <is>
          <t>Sheets</t>
        </is>
      </c>
      <c r="B11" s="3" t="inlineStr">
        <is>
          <t>Assumptions -&gt; Program -&gt; DevBudget -&gt; Ops -&gt; CashFlow -&gt; Waterfall -&gt; Returns. CashFlow is monthly, 90 periods from Jul-2016. Interest is capitalised and repaid inside 'Loan repayment', never as a cash line.</t>
        </is>
      </c>
    </row>
    <row r="12" ht="42" customHeight="1">
      <c r="A12" s="2" t="inlineStr">
        <is>
          <t>Honest caveat</t>
        </is>
      </c>
      <c r="B12" s="3" t="inlineStr">
        <is>
          <t>This model does not tell you what Penzance earned. It tells you what a deal with this program, these obligations and this timeline earns under stated assumptions. That distinction is the entire point of the benchmark: the structure is fact, the pricing is declared.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showGridLines="0" workbookViewId="0">
      <selection activeCell="A1" sqref="A1"/>
    </sheetView>
  </sheetViews>
  <sheetFormatPr baseColWidth="8" defaultRowHeight="15"/>
  <cols>
    <col width="42" customWidth="1" min="1" max="1"/>
    <col width="16" customWidth="1" min="2" max="2"/>
    <col width="12" customWidth="1" min="3" max="3"/>
    <col width="82" customWidth="1" min="4" max="4"/>
  </cols>
  <sheetData>
    <row r="1">
      <c r="A1" s="1" t="inlineStr">
        <is>
          <t>THE HIGHLANDS — ASSUMPTIONS</t>
        </is>
      </c>
    </row>
    <row r="2">
      <c r="A2" s="4" t="inlineStr">
        <is>
          <t>Blue = editable input. Every value on this sheet is an ASSUMPTION unless the Source column cites SP #445.</t>
        </is>
      </c>
    </row>
    <row r="4">
      <c r="A4" s="5" t="inlineStr">
        <is>
          <t>Assumption</t>
        </is>
      </c>
      <c r="B4" s="5" t="inlineStr">
        <is>
          <t>Value</t>
        </is>
      </c>
      <c r="C4" s="5" t="inlineStr">
        <is>
          <t>Unit</t>
        </is>
      </c>
      <c r="D4" s="5" t="inlineStr">
        <is>
          <t>Source / rationale</t>
        </is>
      </c>
    </row>
    <row r="6">
      <c r="A6" s="6" t="inlineStr">
        <is>
          <t>TIMELINE</t>
        </is>
      </c>
      <c r="B6" s="7" t="n"/>
      <c r="C6" s="7" t="n"/>
      <c r="D6" s="7" t="n"/>
    </row>
    <row r="7">
      <c r="A7" s="8" t="inlineStr">
        <is>
          <t>Model start (month 1)</t>
        </is>
      </c>
      <c r="B7" s="9" t="n">
        <v>40787</v>
      </c>
      <c r="C7" s="10" t="inlineStr">
        <is>
          <t>date</t>
        </is>
      </c>
      <c r="D7" s="11" t="inlineStr">
        <is>
          <t>FACT: land acquired 2011-09-30 [Arlington assessments, deed 4491/2257]. Corroborates Kusturiss's 'eleven years' at exit.</t>
        </is>
      </c>
    </row>
    <row r="8">
      <c r="A8" s="8" t="inlineStr">
        <is>
          <t>Model horizon</t>
        </is>
      </c>
      <c r="B8" s="12" t="n">
        <v>160</v>
      </c>
      <c r="C8" s="10" t="inlineStr">
        <is>
          <t>months</t>
        </is>
      </c>
      <c r="D8" s="11" t="inlineStr">
        <is>
          <t>Through Dec-2024; the condo sellout tail runs to Jun-2024 [FACT].</t>
        </is>
      </c>
    </row>
    <row r="9">
      <c r="A9" s="8" t="inlineStr">
        <is>
          <t>Construction start (month #)</t>
        </is>
      </c>
      <c r="B9" s="12" t="n">
        <v>80</v>
      </c>
      <c r="C9" s="10" t="inlineStr">
        <is>
          <t>month#</t>
        </is>
      </c>
      <c r="D9" s="11" t="inlineStr">
        <is>
          <t>ASSUMPTION: Apr-2018 (month 80). Approval Feb-2017 + ~14 mo to permits/GMP. Replace with the Footing-to-Grade permit date.</t>
        </is>
      </c>
    </row>
    <row r="10">
      <c r="A10" s="8" t="inlineStr">
        <is>
          <t>Construction duration</t>
        </is>
      </c>
      <c r="B10" s="12" t="n">
        <v>39</v>
      </c>
      <c r="C10" s="10" t="inlineStr">
        <is>
          <t>months</t>
        </is>
      </c>
      <c r="D10" s="11" t="inlineStr">
        <is>
          <t>ASSUMPTION: 39 mo. Lands delivery month 119 = Jul-2021, consistent with the staff report's 'Summer 2021' AND with the first recorded condo closing, 2021-08-30 [FACT].</t>
        </is>
      </c>
    </row>
    <row r="12">
      <c r="A12" s="6" t="inlineStr">
        <is>
          <t>DEVELOPMENT COST</t>
        </is>
      </c>
      <c r="B12" s="7" t="n"/>
      <c r="C12" s="7" t="n"/>
      <c r="D12" s="7" t="n"/>
    </row>
    <row r="13">
      <c r="A13" s="8" t="inlineStr">
        <is>
          <t>Land basis (fee parcels)</t>
        </is>
      </c>
      <c r="B13" s="13" t="n">
        <v>67000000</v>
      </c>
      <c r="C13" s="10" t="inlineStr">
        <is>
          <t>$</t>
        </is>
      </c>
      <c r="D13" s="11" t="inlineStr">
        <is>
          <t>FACT. $67,000,000 recorded 2011-09-30, deed 4491/2257, one price across fee parcels -008/-009/-010/-011/-018. County parcels were ground-leased, not purchased.</t>
        </is>
      </c>
    </row>
    <row r="14">
      <c r="A14" s="8" t="inlineStr">
        <is>
          <t>Hard cost per sf of GFA</t>
        </is>
      </c>
      <c r="B14" s="14" t="n">
        <v>255</v>
      </c>
      <c r="C14" s="10" t="inlineStr">
        <is>
          <t>$/sf</t>
        </is>
      </c>
      <c r="D14" s="11" t="inlineStr">
        <is>
          <t>ASSUMPTION. DC-metro concrete residential high-rise, 2018-21 procurement. Excludes below-grade garage (priced per space below).</t>
        </is>
      </c>
    </row>
    <row r="15">
      <c r="A15" s="8" t="inlineStr">
        <is>
          <t>Garage hard cost per space</t>
        </is>
      </c>
      <c r="B15" s="14" t="n">
        <v>32000</v>
      </c>
      <c r="C15" s="10" t="inlineStr">
        <is>
          <t>$/space</t>
        </is>
      </c>
      <c r="D15" s="11" t="inlineStr">
        <is>
          <t>ASSUMPTION. Below-grade structured parking; garage GFA is excluded from the FAR cap [SP445 FACT] so it is priced separately.</t>
        </is>
      </c>
    </row>
    <row r="16">
      <c r="A16" s="8" t="inlineStr">
        <is>
          <t>Fire Station 10 cost per sf</t>
        </is>
      </c>
      <c r="B16" s="14" t="n">
        <v>400</v>
      </c>
      <c r="C16" s="10" t="inlineStr">
        <is>
          <t>$/sf</t>
        </is>
      </c>
      <c r="D16" s="11" t="inlineStr">
        <is>
          <t>ASSUMPTION. Essential-facility construction premium on 18,637 sf [SP445 FACT]. In-kind public benefit — cost with no revenue.</t>
        </is>
      </c>
    </row>
    <row r="17">
      <c r="A17" s="8" t="inlineStr">
        <is>
          <t>Rosslyn Highlands Park</t>
        </is>
      </c>
      <c r="B17" s="14" t="n">
        <v>8000000</v>
      </c>
      <c r="C17" s="10" t="inlineStr">
        <is>
          <t>$</t>
        </is>
      </c>
      <c r="D17" s="11" t="inlineStr">
        <is>
          <t>ASSUMPTION. In-kind benefit; County delivered schematic design [SP445 FACT].</t>
        </is>
      </c>
    </row>
    <row r="18">
      <c r="A18" s="8" t="inlineStr">
        <is>
          <t>N. Pierce Street construction</t>
        </is>
      </c>
      <c r="B18" s="14" t="n">
        <v>6000000</v>
      </c>
      <c r="C18" s="10" t="inlineStr">
        <is>
          <t>$</t>
        </is>
      </c>
      <c r="D18" s="11" t="inlineStr">
        <is>
          <t>ASSUMPTION. New public street, developer-built [SP445 FACT].</t>
        </is>
      </c>
    </row>
    <row r="19">
      <c r="A19" s="8" t="inlineStr">
        <is>
          <t>Soft costs (% of hard)</t>
        </is>
      </c>
      <c r="B19" s="15" t="n">
        <v>0.17</v>
      </c>
      <c r="C19" s="10" t="inlineStr">
        <is>
          <t>%</t>
        </is>
      </c>
      <c r="D19" s="11" t="inlineStr">
        <is>
          <t>ASSUMPTION. A&amp;E, legal, entitlement carry, marketing, insurance, financing fees.</t>
        </is>
      </c>
    </row>
    <row r="20">
      <c r="A20" s="8" t="inlineStr">
        <is>
          <t>Contingency (% of hard)</t>
        </is>
      </c>
      <c r="B20" s="15" t="n">
        <v>0.05</v>
      </c>
      <c r="C20" s="10" t="inlineStr">
        <is>
          <t>%</t>
        </is>
      </c>
      <c r="D20" s="11" t="inlineStr">
        <is>
          <t>ASSUMPTION.</t>
        </is>
      </c>
    </row>
    <row r="21">
      <c r="A21" s="8" t="inlineStr">
        <is>
          <t>Developer fee (% of cost)</t>
        </is>
      </c>
      <c r="B21" s="15" t="n">
        <v>0.035</v>
      </c>
      <c r="C21" s="10" t="inlineStr">
        <is>
          <t>%</t>
        </is>
      </c>
      <c r="D21" s="11" t="inlineStr">
        <is>
          <t>ASSUMPTION. Not public — Penzance/Baupost JV term.</t>
        </is>
      </c>
    </row>
    <row r="23">
      <c r="A23" s="6" t="inlineStr">
        <is>
          <t>DEBT</t>
        </is>
      </c>
      <c r="B23" s="7" t="n"/>
      <c r="C23" s="7" t="n"/>
      <c r="D23" s="7" t="n"/>
    </row>
    <row r="24">
      <c r="A24" s="8" t="inlineStr">
        <is>
          <t>Construction loan commitment</t>
        </is>
      </c>
      <c r="B24" s="14" t="n">
        <v>380000000</v>
      </c>
      <c r="C24" s="10" t="inlineStr">
        <is>
          <t>$</t>
        </is>
      </c>
      <c r="D24" s="11" t="inlineStr">
        <is>
          <t>PRESS-REPORTED (Mack Real Estate Credit Strategies). NOT yet verified to the recorded deed of trust — do that before relying on it.</t>
        </is>
      </c>
    </row>
    <row r="25">
      <c r="A25" s="8" t="inlineStr">
        <is>
          <t>Blended all-in interest rate</t>
        </is>
      </c>
      <c r="B25" s="15" t="n">
        <v>0.065</v>
      </c>
      <c r="C25" s="10" t="inlineStr">
        <is>
          <t>%</t>
        </is>
      </c>
      <c r="D25" s="11" t="inlineStr">
        <is>
          <t>ASSUMPTION. Construction-loan pricing not public. Interest is capitalised during construction.</t>
        </is>
      </c>
    </row>
    <row r="26">
      <c r="A26" s="8" t="inlineStr">
        <is>
          <t>Max loan-to-cost</t>
        </is>
      </c>
      <c r="B26" s="15" t="n">
        <v>0.65</v>
      </c>
      <c r="C26" s="10" t="inlineStr">
        <is>
          <t>%</t>
        </is>
      </c>
      <c r="D26" s="11" t="inlineStr">
        <is>
          <t>ASSUMPTION. Equity funds first, then loan draws — standard construction structure.</t>
        </is>
      </c>
    </row>
    <row r="28">
      <c r="A28" s="6" t="inlineStr">
        <is>
          <t>RENTAL OPERATIONS</t>
        </is>
      </c>
      <c r="B28" s="7" t="n"/>
      <c r="C28" s="7" t="n"/>
      <c r="D28" s="7" t="n"/>
    </row>
    <row r="29">
      <c r="A29" s="8" t="inlineStr">
        <is>
          <t>Aubrey — avg rent per unit / month</t>
        </is>
      </c>
      <c r="B29" s="14" t="n">
        <v>3522</v>
      </c>
      <c r="C29" s="10" t="inlineStr">
        <is>
          <t>$/mo</t>
        </is>
      </c>
      <c r="D29" s="11" t="inlineStr">
        <is>
          <t>DERIVED, not assumed. Solved so NOI ties to the assessor's own implied NOI (1/1/2022 assessment x Arlington's guideline loaded cap of 5.15%). Above the county-wide high-rise top-of-range, as brand-new Rosslyn product should be.</t>
        </is>
      </c>
    </row>
    <row r="30">
      <c r="A30" s="8" t="inlineStr">
        <is>
          <t>Evo — avg rent per unit / month</t>
        </is>
      </c>
      <c r="B30" s="14" t="n">
        <v>3273</v>
      </c>
      <c r="C30" s="10" t="inlineStr">
        <is>
          <t>$/mo</t>
        </is>
      </c>
      <c r="D30" s="11" t="inlineStr">
        <is>
          <t>DERIVED, same method. Lower than Aubrey: Evo skews small (49 studios + 52 Jr-1BR, only 2 3BR) [SP445 FACT].</t>
        </is>
      </c>
    </row>
    <row r="31">
      <c r="A31" s="8" t="inlineStr">
        <is>
          <t>Other income (% of GPR)</t>
        </is>
      </c>
      <c r="B31" s="15" t="n">
        <v>0.04</v>
      </c>
      <c r="C31" s="10" t="inlineStr">
        <is>
          <t>%</t>
        </is>
      </c>
      <c r="D31" s="11" t="inlineStr">
        <is>
          <t>ASSUMPTION. Parking, fees, pet rent.</t>
        </is>
      </c>
    </row>
    <row r="32">
      <c r="A32" s="8" t="inlineStr">
        <is>
          <t>Stabilised vacancy + credit loss</t>
        </is>
      </c>
      <c r="B32" s="16" t="n">
        <v>0.08</v>
      </c>
      <c r="C32" s="10" t="inlineStr">
        <is>
          <t>%</t>
        </is>
      </c>
      <c r="D32" s="11" t="inlineStr">
        <is>
          <t>FACT. Arlington 2022 Guidebook, High-Rise market: 8%, including vacancy, rent loss and concessions. The 2023 edition shows 6%.</t>
        </is>
      </c>
    </row>
    <row r="33">
      <c r="A33" s="8" t="inlineStr">
        <is>
          <t>Operating expense per unit / yr</t>
        </is>
      </c>
      <c r="B33" s="13" t="n">
        <v>7511</v>
      </c>
      <c r="C33" s="10" t="inlineStr">
        <is>
          <t>$/unit</t>
        </is>
      </c>
      <c r="D33" s="11" t="inlineStr">
        <is>
          <t>FACT. Arlington 2022 Guidebook, High-Rise effective age 2010+: $7,511/unit, excluding real estate tax. The earlier $11,000 assumption was ~50% too high.</t>
        </is>
      </c>
    </row>
    <row r="34">
      <c r="A34" s="8" t="inlineStr">
        <is>
          <t>Parking income per space / month</t>
        </is>
      </c>
      <c r="B34" s="13" t="n">
        <v>150</v>
      </c>
      <c r="C34" s="10" t="inlineStr">
        <is>
          <t>$/mo</t>
        </is>
      </c>
      <c r="D34" s="11" t="inlineStr">
        <is>
          <t>FACT. Arlington Guidebook garage parking $50-$150/mo; top of range for new Metro-adjacent product.</t>
        </is>
      </c>
    </row>
    <row r="35">
      <c r="A35" s="8" t="inlineStr">
        <is>
          <t>Parking spaces per unit</t>
        </is>
      </c>
      <c r="B35" s="17" t="n">
        <v>0.8</v>
      </c>
      <c r="C35" s="10" t="inlineStr">
        <is>
          <t>ratio</t>
        </is>
      </c>
      <c r="D35" s="11" t="inlineStr">
        <is>
          <t>FACT [SP445]: residential parking ratio 0.80 spaces/unit.</t>
        </is>
      </c>
    </row>
    <row r="36">
      <c r="A36" s="8" t="inlineStr">
        <is>
          <t>Aubrey assessed value 1/1/2022</t>
        </is>
      </c>
      <c r="B36" s="13" t="n">
        <v>229060900</v>
      </c>
      <c r="C36" s="10" t="inlineStr">
        <is>
          <t>$</t>
        </is>
      </c>
      <c r="D36" s="11" t="inlineStr">
        <is>
          <t>FACT. Sum of the 7 ground-leased Phase I parcels [Arlington assessments].</t>
        </is>
      </c>
    </row>
    <row r="37">
      <c r="A37" s="8" t="inlineStr">
        <is>
          <t>Evo assessed value 1/1/2022</t>
        </is>
      </c>
      <c r="B37" s="13" t="n">
        <v>290055300</v>
      </c>
      <c r="C37" s="10" t="inlineStr">
        <is>
          <t>$</t>
        </is>
      </c>
      <c r="D37" s="11" t="inlineStr">
        <is>
          <t>FACT. RPC 16-033-025 [Arlington assessments].</t>
        </is>
      </c>
    </row>
    <row r="38">
      <c r="A38" s="8" t="inlineStr">
        <is>
          <t>Effective RE tax rate</t>
        </is>
      </c>
      <c r="B38" s="18" t="n">
        <v>0.0113</v>
      </c>
      <c r="C38" s="10" t="inlineStr">
        <is>
          <t>%</t>
        </is>
      </c>
      <c r="D38" s="11" t="inlineStr">
        <is>
          <t>DERIVED from actual billing: RPC 16-033-012, $567,034.08 semi-annual on $99,617,600 assessed, annualised. Includes the Rosslyn BID special district. Verify against a full tax bill.</t>
        </is>
      </c>
    </row>
    <row r="39">
      <c r="A39" s="8" t="inlineStr">
        <is>
          <t>Lease-up pace</t>
        </is>
      </c>
      <c r="B39" s="12" t="n">
        <v>25</v>
      </c>
      <c r="C39" s="10" t="inlineStr">
        <is>
          <t>units/mo</t>
        </is>
      </c>
      <c r="D39" s="11" t="inlineStr">
        <is>
          <t>ASSUMPTION. Applied to each tower from its delivery month.</t>
        </is>
      </c>
    </row>
    <row r="40">
      <c r="A40" s="8" t="inlineStr">
        <is>
          <t>Evo delivery lag after Aubrey</t>
        </is>
      </c>
      <c r="B40" s="12" t="n">
        <v>2</v>
      </c>
      <c r="C40" s="10" t="inlineStr">
        <is>
          <t>months</t>
        </is>
      </c>
      <c r="D40" s="11" t="inlineStr">
        <is>
          <t>ASSUMPTION. East Building is the larger/taller structure.</t>
        </is>
      </c>
    </row>
    <row r="42">
      <c r="A42" s="6" t="inlineStr">
        <is>
          <t>RETAIL</t>
        </is>
      </c>
      <c r="B42" s="7" t="n"/>
      <c r="C42" s="7" t="n"/>
      <c r="D42" s="7" t="n"/>
    </row>
    <row r="43">
      <c r="A43" s="8" t="inlineStr">
        <is>
          <t>Retail rent</t>
        </is>
      </c>
      <c r="B43" s="14" t="n">
        <v>48</v>
      </c>
      <c r="C43" s="10" t="inlineStr">
        <is>
          <t>$/sf</t>
        </is>
      </c>
      <c r="D43" s="11" t="inlineStr">
        <is>
          <t>ASSUMPTION, NNN. Anchor is CVS in the West Building [SP445 FACT].</t>
        </is>
      </c>
    </row>
    <row r="44">
      <c r="A44" s="8" t="inlineStr">
        <is>
          <t>Retail stabilised occupancy</t>
        </is>
      </c>
      <c r="B44" s="15" t="n">
        <v>0.9</v>
      </c>
      <c r="C44" s="10" t="inlineStr">
        <is>
          <t>%</t>
        </is>
      </c>
      <c r="D44" s="11" t="inlineStr">
        <is>
          <t>ASSUMPTION. Deliberately below 100%: the East Building fitness lease died in COVID and that space reverted to residential [SP445 FACT].</t>
        </is>
      </c>
    </row>
    <row r="46">
      <c r="A46" s="6" t="inlineStr">
        <is>
          <t>CONDO SELLOUT (PIERCE)</t>
        </is>
      </c>
      <c r="B46" s="7" t="n"/>
      <c r="C46" s="7" t="n"/>
      <c r="D46" s="7" t="n"/>
    </row>
    <row r="47">
      <c r="A47" s="8" t="inlineStr">
        <is>
          <t>Gross sellout (actual)</t>
        </is>
      </c>
      <c r="B47" s="13" t="n">
        <v>190186220</v>
      </c>
      <c r="C47" s="10" t="inlineStr">
        <is>
          <t>$</t>
        </is>
      </c>
      <c r="D47" s="11" t="inlineStr">
        <is>
          <t>FACT. Sum of the first arms-length sale on each of 102 units (2 of 104 never transferred). Every unit scraped individually from Arlington assessments.</t>
        </is>
      </c>
    </row>
    <row r="48">
      <c r="A48" s="8" t="inlineStr">
        <is>
          <t>Units sold (actual)</t>
        </is>
      </c>
      <c r="B48" s="19" t="n">
        <v>102</v>
      </c>
      <c r="C48" s="10" t="inlineStr">
        <is>
          <t>units</t>
        </is>
      </c>
      <c r="D48" s="11" t="inlineStr">
        <is>
          <t>FACT. 104 declared; 2 never transferred.</t>
        </is>
      </c>
    </row>
    <row r="49">
      <c r="A49" s="8" t="inlineStr">
        <is>
          <t>Selling costs (% of gross)</t>
        </is>
      </c>
      <c r="B49" s="15" t="n">
        <v>0.05</v>
      </c>
      <c r="C49" s="10" t="inlineStr">
        <is>
          <t>%</t>
        </is>
      </c>
      <c r="D49" s="11" t="inlineStr">
        <is>
          <t>ASSUMPTION. Commissions, closing, marketing.</t>
        </is>
      </c>
    </row>
    <row r="50">
      <c r="A50" s="8" t="inlineStr">
        <is>
          <t>Closing pace</t>
        </is>
      </c>
      <c r="B50" s="12" t="n">
        <v>8</v>
      </c>
      <c r="C50" s="10" t="inlineStr">
        <is>
          <t>units/mo</t>
        </is>
      </c>
      <c r="D50" s="11" t="inlineStr">
        <is>
          <t>SUPERSEDED — the actual month-by-month schedule is on the Sellout sheet. Retained only for reference.</t>
        </is>
      </c>
    </row>
    <row r="52">
      <c r="A52" s="6" t="inlineStr">
        <is>
          <t>EXIT</t>
        </is>
      </c>
      <c r="B52" s="7" t="n"/>
      <c r="C52" s="7" t="n"/>
      <c r="D52" s="7" t="n"/>
    </row>
    <row r="53">
      <c r="A53" s="8" t="inlineStr">
        <is>
          <t>Arlington guideline loaded cap</t>
        </is>
      </c>
      <c r="B53" s="20" t="n">
        <v>0.0515</v>
      </c>
      <c r="C53" s="10" t="inlineStr">
        <is>
          <t>%</t>
        </is>
      </c>
      <c r="D53" s="11" t="inlineStr">
        <is>
          <t>FACT. 2022 AND 2023 Guidebook, High-Rise / Metro / effective age 2010+. Applied to NOI BEFORE real estate tax, with the effective tax rate loaded into the rate. Mixing this with a conventional after-tax cap produces a large error.</t>
        </is>
      </c>
    </row>
    <row r="54">
      <c r="A54" s="8" t="inlineStr">
        <is>
          <t>Effective tax rate (for unloading)</t>
        </is>
      </c>
      <c r="B54" s="18" t="n">
        <v>0.01013</v>
      </c>
      <c r="C54" s="10" t="inlineStr">
        <is>
          <t>%</t>
        </is>
      </c>
      <c r="D54" s="11" t="inlineStr">
        <is>
          <t>Arlington base real estate tax rate CY2022. Subtract from a loaded cap to get a base cap.</t>
        </is>
      </c>
    </row>
    <row r="55">
      <c r="A55" s="8" t="inlineStr">
        <is>
          <t>Evo sale price</t>
        </is>
      </c>
      <c r="B55" s="13" t="n">
        <v>334642240</v>
      </c>
      <c r="C55" s="10" t="inlineStr">
        <is>
          <t>$</t>
        </is>
      </c>
      <c r="D55" s="11" t="inlineStr">
        <is>
          <t>FACT. Deed doc 20220100013307. Arlington 2023 Guidebook p.13 lists $334,600,000 (rounded); the deed figure is used here.</t>
        </is>
      </c>
    </row>
    <row r="56">
      <c r="A56" s="8" t="inlineStr">
        <is>
          <t>Aubrey sale price</t>
        </is>
      </c>
      <c r="B56" s="13" t="n">
        <v>266455000</v>
      </c>
      <c r="C56" s="10" t="inlineStr">
        <is>
          <t>$</t>
        </is>
      </c>
      <c r="D56" s="11" t="inlineStr">
        <is>
          <t>FACT. Arlington 2023 Guidebook p.13, 'Cortland Rosslyn West', 331 units at $805,000/unit. Absent from the deed record because the West Building is a LEASEHOLD. The ratio method had derived $264,268,000 — an error of 0.8%.</t>
        </is>
      </c>
    </row>
    <row r="57">
      <c r="A57" s="8" t="inlineStr">
        <is>
          <t>Cost of sale</t>
        </is>
      </c>
      <c r="B57" s="15" t="n">
        <v>0.01</v>
      </c>
      <c r="C57" s="10" t="inlineStr">
        <is>
          <t>%</t>
        </is>
      </c>
      <c r="D57" s="11" t="inlineStr">
        <is>
          <t>ASSUMPTION.</t>
        </is>
      </c>
    </row>
    <row r="58">
      <c r="A58" s="8" t="inlineStr">
        <is>
          <t>Aubrey sale (month #)</t>
        </is>
      </c>
      <c r="B58" s="19" t="n">
        <v>129</v>
      </c>
      <c r="C58" s="10" t="inlineStr">
        <is>
          <t>month#</t>
        </is>
      </c>
      <c r="D58" s="11" t="inlineStr">
        <is>
          <t>FACT: 2022-05-17 = month 129.</t>
        </is>
      </c>
    </row>
    <row r="59">
      <c r="A59" s="8" t="inlineStr">
        <is>
          <t>Evo sale (month #)</t>
        </is>
      </c>
      <c r="B59" s="19" t="n">
        <v>129</v>
      </c>
      <c r="C59" s="10" t="inlineStr">
        <is>
          <t>month#</t>
        </is>
      </c>
      <c r="D59" s="11" t="inlineStr">
        <is>
          <t>FACT: 2022-05-17 = month 129. BOTH towers sold the SAME DAY as one transaction; only the deed RECORDING dates differ (5/18 and 7/12), which is why the press reported two separate deals months apart.</t>
        </is>
      </c>
    </row>
    <row r="61">
      <c r="A61" s="6" t="inlineStr">
        <is>
          <t>JV WATERFALL (Penzance / Baupost)</t>
        </is>
      </c>
      <c r="B61" s="7" t="n"/>
      <c r="C61" s="7" t="n"/>
      <c r="D61" s="7" t="n"/>
    </row>
    <row r="62">
      <c r="A62" s="8" t="inlineStr">
        <is>
          <t>Sponsor share of equity</t>
        </is>
      </c>
      <c r="B62" s="15" t="n">
        <v>0.1</v>
      </c>
      <c r="C62" s="10" t="inlineStr">
        <is>
          <t>%</t>
        </is>
      </c>
      <c r="D62" s="11" t="inlineStr">
        <is>
          <t>ASSUMPTION. Baupost JV terms are not public.</t>
        </is>
      </c>
    </row>
    <row r="63">
      <c r="A63" s="8" t="inlineStr">
        <is>
          <t>Preferred return (IRR)</t>
        </is>
      </c>
      <c r="B63" s="15" t="n">
        <v>0.08</v>
      </c>
      <c r="C63" s="10" t="inlineStr">
        <is>
          <t>%</t>
        </is>
      </c>
      <c r="D63" s="11" t="inlineStr">
        <is>
          <t>ASSUMPTION.</t>
        </is>
      </c>
    </row>
    <row r="64">
      <c r="A64" s="8" t="inlineStr">
        <is>
          <t>Tier 1 promote (to 15% IRR)</t>
        </is>
      </c>
      <c r="B64" s="15" t="n">
        <v>0.2</v>
      </c>
      <c r="C64" s="10" t="inlineStr">
        <is>
          <t>%</t>
        </is>
      </c>
      <c r="D64" s="11" t="inlineStr">
        <is>
          <t>ASSUMPTION.</t>
        </is>
      </c>
    </row>
    <row r="65">
      <c r="A65" s="8" t="inlineStr">
        <is>
          <t>Tier 2 promote (above 15%)</t>
        </is>
      </c>
      <c r="B65" s="15" t="n">
        <v>0.3</v>
      </c>
      <c r="C65" s="10" t="inlineStr">
        <is>
          <t>%</t>
        </is>
      </c>
      <c r="D65" s="11" t="inlineStr">
        <is>
          <t>ASSUMPTION.</t>
        </is>
      </c>
    </row>
    <row r="66">
      <c r="A66" s="8" t="inlineStr">
        <is>
          <t>Tier 2 hurdle (IRR)</t>
        </is>
      </c>
      <c r="B66" s="15" t="n">
        <v>0.15</v>
      </c>
      <c r="C66" s="10" t="inlineStr">
        <is>
          <t>%</t>
        </is>
      </c>
      <c r="D66" s="11" t="inlineStr">
        <is>
          <t>ASSUMPTION.</t>
        </is>
      </c>
    </row>
    <row r="68">
      <c r="A68" s="6" t="inlineStr">
        <is>
          <t>PUBLIC OBLIGATIONS — CASH [SP445 FACT]</t>
        </is>
      </c>
      <c r="B68" s="7" t="n"/>
      <c r="C68" s="7" t="n"/>
      <c r="D68" s="7" t="n"/>
    </row>
    <row r="69">
      <c r="A69" s="8" t="inlineStr">
        <is>
          <t>Underground utility fund</t>
        </is>
      </c>
      <c r="B69" s="13" t="n">
        <v>143303</v>
      </c>
      <c r="C69" s="10" t="inlineStr">
        <is>
          <t>$</t>
        </is>
      </c>
      <c r="D69" s="11" t="inlineStr">
        <is>
          <t>$52,685/acre x 2.72 ac — trigger: Final Building Permit. Source: SP445:2017-02-25:cond.#(utility)</t>
        </is>
      </c>
    </row>
    <row r="70">
      <c r="A70" s="8" t="inlineStr">
        <is>
          <t>Public art contribution</t>
        </is>
      </c>
      <c r="B70" s="13" t="n">
        <v>250000</v>
      </c>
      <c r="C70" s="10" t="inlineStr">
        <is>
          <t>$</t>
        </is>
      </c>
      <c r="D70" s="11" t="inlineStr">
        <is>
          <t>$125,000 per building — trigger: pre-Certificate of Occupancy. Source: SP445:2017-02-25:cond.#(public art)</t>
        </is>
      </c>
    </row>
    <row r="71">
      <c r="A71" s="8" t="inlineStr">
        <is>
          <t>Green Building Fund</t>
        </is>
      </c>
      <c r="B71" s="13" t="n">
        <v>2500</v>
      </c>
      <c r="C71" s="10" t="inlineStr">
        <is>
          <t>$</t>
        </is>
      </c>
      <c r="D71" s="11" t="inlineStr">
        <is>
          <t>$1,250 per building ($0.045/sf) — trigger: pre-Certificate of Occupancy. Source: SP445:2017-02-25</t>
        </is>
      </c>
    </row>
    <row r="72">
      <c r="A72" s="8" t="inlineStr">
        <is>
          <t>TDM program buy-in</t>
        </is>
      </c>
      <c r="B72" s="13" t="n">
        <v>14000</v>
      </c>
      <c r="C72" s="10" t="inlineStr">
        <is>
          <t>$</t>
        </is>
      </c>
      <c r="D72" s="11" t="inlineStr">
        <is>
          <t>$7,000 per building land use type — trigger: one-time. Source: SP445:2017-02-25</t>
        </is>
      </c>
    </row>
    <row r="73">
      <c r="A73" s="8" t="inlineStr">
        <is>
          <t>Affordable housing contribution</t>
        </is>
      </c>
      <c r="B73" s="14" t="n">
        <v>12000000</v>
      </c>
      <c r="C73" s="10" t="inlineStr">
        <is>
          <t>$</t>
        </is>
      </c>
      <c r="D73" s="11" t="inlineStr">
        <is>
          <t>ASSUMPTION for the amount; the OBLIGATION is fact. SP445 Condition #42 deliberately fixes no amount — satisfied per Zoning Ord. 15.6.8 at Shell &amp; Core C.O., developer's election of cash OR units. Modelled as cash. This is a decision variable, not a constant.</t>
        </is>
      </c>
    </row>
    <row r="74">
      <c r="A74" s="8" t="inlineStr">
        <is>
          <t>N. Pierce St maintenance / yr</t>
        </is>
      </c>
      <c r="B74" s="14" t="n">
        <v>150000</v>
      </c>
      <c r="C74" s="10" t="inlineStr">
        <is>
          <t>$/yr</t>
        </is>
      </c>
      <c r="D74" s="11" t="inlineStr">
        <is>
          <t>ASSUMPTION for the amount; the OBLIGATION is fact and PERPETUAL — developer maintains a public street for the life of the site plan [SP445]. Runs beyond every exit in this model.</t>
        </is>
      </c>
    </row>
    <row r="76">
      <c r="A76" s="2" t="inlineStr">
        <is>
          <t>Cash obligations subtotal (fact)</t>
        </is>
      </c>
      <c r="B76" s="21">
        <f>SUM(B69:B72)+B73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58" customWidth="1" min="5" max="5"/>
  </cols>
  <sheetData>
    <row r="1">
      <c r="A1" s="1" t="inlineStr">
        <is>
          <t>PROGRAM — FACTS FROM SP #445</t>
        </is>
      </c>
    </row>
    <row r="2">
      <c r="A2" s="4" t="inlineStr">
        <is>
          <t>Green = fact from inputs/highlands.toml. Do not edit here; edit the TOML and rebuild.</t>
        </is>
      </c>
    </row>
    <row r="4">
      <c r="A4" s="5" t="inlineStr">
        <is>
          <t>Item</t>
        </is>
      </c>
      <c r="B4" s="5" t="inlineStr">
        <is>
          <t>Pierce</t>
        </is>
      </c>
      <c r="C4" s="5" t="inlineStr">
        <is>
          <t>Evo</t>
        </is>
      </c>
      <c r="D4" s="5" t="inlineStr">
        <is>
          <t>Aubrey</t>
        </is>
      </c>
      <c r="E4" s="5" t="inlineStr">
        <is>
          <t>Source</t>
        </is>
      </c>
    </row>
    <row r="5">
      <c r="A5" s="8" t="inlineStr">
        <is>
          <t>Units</t>
        </is>
      </c>
      <c r="B5" s="19" t="n">
        <v>104</v>
      </c>
      <c r="C5" s="19" t="n">
        <v>455</v>
      </c>
      <c r="D5" s="19" t="n">
        <v>331</v>
      </c>
      <c r="E5" s="11" t="inlineStr">
        <is>
          <t>SP445 2018 p.40 / 2020 Fig.5</t>
        </is>
      </c>
    </row>
    <row r="6">
      <c r="A6" s="8" t="inlineStr">
        <is>
          <t>Tenure</t>
        </is>
      </c>
      <c r="B6" s="22" t="inlineStr">
        <is>
          <t>For sale</t>
        </is>
      </c>
      <c r="C6" s="22" t="inlineStr">
        <is>
          <t>Rental</t>
        </is>
      </c>
      <c r="D6" s="22" t="inlineStr">
        <is>
          <t>Rental</t>
        </is>
      </c>
      <c r="E6" s="11" t="inlineStr">
        <is>
          <t>SP445 2018 p.40 labels tables CONDO / APARTMENT</t>
        </is>
      </c>
    </row>
    <row r="7">
      <c r="A7" s="8" t="inlineStr">
        <is>
          <t>Building</t>
        </is>
      </c>
      <c r="B7" s="22" t="inlineStr">
        <is>
          <t>East / North</t>
        </is>
      </c>
      <c r="C7" s="22" t="inlineStr">
        <is>
          <t>East / South</t>
        </is>
      </c>
      <c r="D7" s="22" t="inlineStr">
        <is>
          <t>West</t>
        </is>
      </c>
      <c r="E7" s="11" t="inlineStr">
        <is>
          <t>SP445 2018 pp.39-40</t>
        </is>
      </c>
    </row>
    <row r="8">
      <c r="A8" s="8" t="inlineStr">
        <is>
          <t>Residential GFA (sf)</t>
        </is>
      </c>
      <c r="B8" s="19" t="inlineStr"/>
      <c r="C8" s="19" t="n">
        <v>754567</v>
      </c>
      <c r="D8" s="19" t="n">
        <v>404864</v>
      </c>
      <c r="E8" s="11" t="inlineStr">
        <is>
          <t>SP445 2020 Fig.5 (East shared by Pierce+Evo)</t>
        </is>
      </c>
    </row>
    <row r="9">
      <c r="A9" s="8" t="inlineStr">
        <is>
          <t>Retail GFA (sf)</t>
        </is>
      </c>
      <c r="B9" s="19" t="inlineStr"/>
      <c r="C9" s="19" t="n">
        <v>13891</v>
      </c>
      <c r="D9" s="19" t="n">
        <v>9788</v>
      </c>
      <c r="E9" s="11" t="inlineStr">
        <is>
          <t>SP445 2020 Fig.5</t>
        </is>
      </c>
    </row>
    <row r="10">
      <c r="A10" s="8" t="inlineStr">
        <is>
          <t>Stories</t>
        </is>
      </c>
      <c r="B10" s="19" t="n">
        <v>27</v>
      </c>
      <c r="C10" s="19" t="n">
        <v>27</v>
      </c>
      <c r="D10" s="19" t="n">
        <v>23</v>
      </c>
      <c r="E10" s="11" t="inlineStr">
        <is>
          <t>SP445 2017 pp.11-12</t>
        </is>
      </c>
    </row>
    <row r="12">
      <c r="A12" s="2" t="inlineStr">
        <is>
          <t>PROJECT TOTALS</t>
        </is>
      </c>
    </row>
    <row r="13">
      <c r="A13" s="8" t="inlineStr">
        <is>
          <t>Total units</t>
        </is>
      </c>
      <c r="B13" s="19" t="n">
        <v>890</v>
      </c>
      <c r="E13" s="11" t="inlineStr">
        <is>
          <t>104 + 455 + 331 [SP445]</t>
        </is>
      </c>
    </row>
    <row r="14">
      <c r="A14" s="8" t="inlineStr">
        <is>
          <t>Total GFA (sf)</t>
        </is>
      </c>
      <c r="B14" s="19" t="n">
        <v>1183110</v>
      </c>
      <c r="E14" s="11" t="inlineStr">
        <is>
          <t>SP445 2020 Fig.5</t>
        </is>
      </c>
    </row>
    <row r="15">
      <c r="A15" s="8" t="inlineStr">
        <is>
          <t>Total residential GFA (sf)</t>
        </is>
      </c>
      <c r="B15" s="19" t="n">
        <v>1159431</v>
      </c>
      <c r="E15" s="11" t="inlineStr">
        <is>
          <t>SP445 2020 Fig.5</t>
        </is>
      </c>
    </row>
    <row r="16">
      <c r="A16" s="8" t="inlineStr">
        <is>
          <t>Total retail GFA (sf)</t>
        </is>
      </c>
      <c r="B16" s="19" t="n">
        <v>23679</v>
      </c>
      <c r="E16" s="11" t="inlineStr">
        <is>
          <t>SP445 2020 Fig.5</t>
        </is>
      </c>
    </row>
    <row r="17">
      <c r="A17" s="8" t="inlineStr">
        <is>
          <t>Fire Station GFA (sf)</t>
        </is>
      </c>
      <c r="B17" s="19" t="n">
        <v>18637</v>
      </c>
      <c r="E17" s="11" t="inlineStr">
        <is>
          <t>SP445 — in-kind public benefit, no revenue</t>
        </is>
      </c>
    </row>
    <row r="18">
      <c r="A18" s="8" t="inlineStr">
        <is>
          <t>Total parking spaces</t>
        </is>
      </c>
      <c r="B18" s="19" t="n">
        <v>1037</v>
      </c>
      <c r="E18" s="11" t="inlineStr">
        <is>
          <t>SP445 2020 Fig.5</t>
        </is>
      </c>
    </row>
    <row r="19">
      <c r="A19" s="8" t="inlineStr">
        <is>
          <t>Site area (sf)</t>
        </is>
      </c>
      <c r="B19" s="19" t="n">
        <v>118311</v>
      </c>
      <c r="E19" s="11" t="inlineStr">
        <is>
          <t>SP445 2017 p.11</t>
        </is>
      </c>
    </row>
    <row r="20">
      <c r="A20" s="8" t="inlineStr">
        <is>
          <t>FAR</t>
        </is>
      </c>
      <c r="B20" s="23" t="n">
        <v>10</v>
      </c>
      <c r="E20" s="11" t="inlineStr">
        <is>
          <t>Approved AT the 10.0 cap — no residual density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38" customWidth="1" min="1" max="1"/>
    <col width="18" customWidth="1" min="2" max="2"/>
    <col width="14" customWidth="1" min="3" max="3"/>
    <col width="16" customWidth="1" min="4" max="4"/>
    <col width="70" customWidth="1" min="5" max="5"/>
  </cols>
  <sheetData>
    <row r="1">
      <c r="A1" s="1" t="inlineStr">
        <is>
          <t>DEVELOPMENT BUDGET</t>
        </is>
      </c>
    </row>
    <row r="2">
      <c r="A2" s="4" t="inlineStr">
        <is>
          <t>All formulas. Drivers live on Assumptions; quantities on Program.</t>
        </is>
      </c>
    </row>
    <row r="4">
      <c r="A4" s="5" t="inlineStr">
        <is>
          <t>Line item</t>
        </is>
      </c>
      <c r="B4" s="5" t="inlineStr">
        <is>
          <t>Amount</t>
        </is>
      </c>
      <c r="C4" s="5" t="inlineStr">
        <is>
          <t>Per unit</t>
        </is>
      </c>
      <c r="D4" s="5" t="inlineStr">
        <is>
          <t>% of total</t>
        </is>
      </c>
      <c r="E4" s="5" t="inlineStr">
        <is>
          <t>Basis</t>
        </is>
      </c>
    </row>
    <row r="5">
      <c r="A5" s="8" t="inlineStr">
        <is>
          <t>Land basis</t>
        </is>
      </c>
      <c r="B5" s="24">
        <f>Assumptions!$B$13</f>
        <v/>
      </c>
      <c r="C5" s="24">
        <f>B5/Program!$B$13</f>
        <v/>
      </c>
      <c r="D5" s="25">
        <f>IFERROR(B5/$B$17,0)</f>
        <v/>
      </c>
      <c r="E5" s="11" t="inlineStr">
        <is>
          <t>Assumption — replace with recorded deed consideration</t>
        </is>
      </c>
    </row>
    <row r="6">
      <c r="A6" s="8" t="inlineStr">
        <is>
          <t>Hard cost — buildings</t>
        </is>
      </c>
      <c r="B6" s="24">
        <f>Assumptions!$B$14*Program!$B$14</f>
        <v/>
      </c>
      <c r="C6" s="24">
        <f>B6/Program!$B$13</f>
        <v/>
      </c>
      <c r="D6" s="25">
        <f>IFERROR(B6/$B$17,0)</f>
        <v/>
      </c>
      <c r="E6" s="11" t="inlineStr">
        <is>
          <t>hard $/sf x total GFA</t>
        </is>
      </c>
    </row>
    <row r="7">
      <c r="A7" s="8" t="inlineStr">
        <is>
          <t>Hard cost — garage</t>
        </is>
      </c>
      <c r="B7" s="24">
        <f>Assumptions!$B$15*Program!$B$18</f>
        <v/>
      </c>
      <c r="C7" s="24">
        <f>B7/Program!$B$13</f>
        <v/>
      </c>
      <c r="D7" s="25">
        <f>IFERROR(B7/$B$17,0)</f>
        <v/>
      </c>
      <c r="E7" s="11" t="inlineStr">
        <is>
          <t>$/space x 1,037 spaces (garage GFA is FAR-excluded)</t>
        </is>
      </c>
    </row>
    <row r="8">
      <c r="A8" s="8" t="inlineStr">
        <is>
          <t>Fire Station 10</t>
        </is>
      </c>
      <c r="B8" s="24">
        <f>Assumptions!$B$16*Program!$B$17</f>
        <v/>
      </c>
      <c r="C8" s="24">
        <f>B8/Program!$B$13</f>
        <v/>
      </c>
      <c r="D8" s="25">
        <f>IFERROR(B8/$B$17,0)</f>
        <v/>
      </c>
      <c r="E8" s="11" t="inlineStr">
        <is>
          <t>IN-KIND public benefit — cost, no revenue</t>
        </is>
      </c>
    </row>
    <row r="9">
      <c r="A9" s="8" t="inlineStr">
        <is>
          <t>Rosslyn Highlands Park</t>
        </is>
      </c>
      <c r="B9" s="24">
        <f>Assumptions!$B$17</f>
        <v/>
      </c>
      <c r="C9" s="24">
        <f>B9/Program!$B$13</f>
        <v/>
      </c>
      <c r="D9" s="25">
        <f>IFERROR(B9/$B$17,0)</f>
        <v/>
      </c>
      <c r="E9" s="11" t="inlineStr">
        <is>
          <t>IN-KIND public benefit</t>
        </is>
      </c>
    </row>
    <row r="10">
      <c r="A10" s="8" t="inlineStr">
        <is>
          <t>N. Pierce Street</t>
        </is>
      </c>
      <c r="B10" s="24">
        <f>Assumptions!$B$18</f>
        <v/>
      </c>
      <c r="C10" s="24">
        <f>B10/Program!$B$13</f>
        <v/>
      </c>
      <c r="D10" s="25">
        <f>IFERROR(B10/$B$17,0)</f>
        <v/>
      </c>
      <c r="E10" s="11" t="inlineStr">
        <is>
          <t>IN-KIND public benefit — plus perpetual maintenance</t>
        </is>
      </c>
    </row>
    <row r="11">
      <c r="A11" s="26" t="inlineStr">
        <is>
          <t>Subtotal — hard costs</t>
        </is>
      </c>
      <c r="B11" s="27">
        <f>SUM(B6:B10)</f>
        <v/>
      </c>
      <c r="C11" s="24">
        <f>B11/Program!$B$13</f>
        <v/>
      </c>
      <c r="D11" s="25">
        <f>IFERROR(B11/$B$17,0)</f>
        <v/>
      </c>
      <c r="E11" s="11" t="inlineStr"/>
    </row>
    <row r="12">
      <c r="A12" s="8" t="inlineStr">
        <is>
          <t>Soft costs</t>
        </is>
      </c>
      <c r="B12" s="24">
        <f>Assumptions!$B$19*B11</f>
        <v/>
      </c>
      <c r="C12" s="24">
        <f>B12/Program!$B$13</f>
        <v/>
      </c>
      <c r="D12" s="25">
        <f>IFERROR(B12/$B$17,0)</f>
        <v/>
      </c>
      <c r="E12" s="11" t="inlineStr">
        <is>
          <t>% of hard</t>
        </is>
      </c>
    </row>
    <row r="13">
      <c r="A13" s="8" t="inlineStr">
        <is>
          <t>Contingency</t>
        </is>
      </c>
      <c r="B13" s="24">
        <f>Assumptions!$B$20*B11</f>
        <v/>
      </c>
      <c r="C13" s="24">
        <f>B13/Program!$B$13</f>
        <v/>
      </c>
      <c r="D13" s="25">
        <f>IFERROR(B13/$B$17,0)</f>
        <v/>
      </c>
      <c r="E13" s="11" t="inlineStr">
        <is>
          <t>% of hard</t>
        </is>
      </c>
    </row>
    <row r="14">
      <c r="A14" s="8" t="inlineStr">
        <is>
          <t>Public obligations (cash)</t>
        </is>
      </c>
      <c r="B14" s="24">
        <f>Assumptions!$B$76</f>
        <v/>
      </c>
      <c r="C14" s="24">
        <f>B14/Program!$B$13</f>
        <v/>
      </c>
      <c r="D14" s="25">
        <f>IFERROR(B14/$B$17,0)</f>
        <v/>
      </c>
      <c r="E14" s="11" t="inlineStr">
        <is>
          <t>SP445 conditions — fact, except the AH amount</t>
        </is>
      </c>
    </row>
    <row r="15">
      <c r="A15" s="26" t="inlineStr">
        <is>
          <t>Subtotal before fee</t>
        </is>
      </c>
      <c r="B15" s="27">
        <f>B5+B11+B12+B13+B14</f>
        <v/>
      </c>
      <c r="C15" s="24">
        <f>B15/Program!$B$13</f>
        <v/>
      </c>
      <c r="D15" s="25">
        <f>IFERROR(B15/$B$17,0)</f>
        <v/>
      </c>
      <c r="E15" s="11" t="inlineStr"/>
    </row>
    <row r="16">
      <c r="A16" s="8" t="inlineStr">
        <is>
          <t>Developer fee</t>
        </is>
      </c>
      <c r="B16" s="24">
        <f>Assumptions!$B$21*B15</f>
        <v/>
      </c>
      <c r="C16" s="24">
        <f>B16/Program!$B$13</f>
        <v/>
      </c>
      <c r="D16" s="25">
        <f>IFERROR(B16/$B$17,0)</f>
        <v/>
      </c>
      <c r="E16" s="11" t="inlineStr">
        <is>
          <t>% of cost before fee</t>
        </is>
      </c>
    </row>
    <row r="17">
      <c r="A17" s="28" t="inlineStr">
        <is>
          <t>TOTAL DEV COST (ex interest)</t>
        </is>
      </c>
      <c r="B17" s="29">
        <f>B15+B16</f>
        <v/>
      </c>
      <c r="C17" s="24">
        <f>B17/Program!$B$13</f>
        <v/>
      </c>
      <c r="D17" s="25">
        <f>IFERROR(B17/$B$17,0)</f>
        <v/>
      </c>
      <c r="E17" s="11" t="inlineStr">
        <is>
          <t>Interest is capitalised in CashFlow, not budgeted here</t>
        </is>
      </c>
    </row>
    <row r="19">
      <c r="A19" s="2" t="inlineStr">
        <is>
          <t>Equity commitment</t>
        </is>
      </c>
      <c r="B19" s="21">
        <f>B17*(1-Assumptions!$B$26)</f>
        <v/>
      </c>
    </row>
    <row r="20">
      <c r="A20" s="30" t="inlineStr">
        <is>
          <t>Loan sized at LTC</t>
        </is>
      </c>
      <c r="B20" s="21">
        <f>B17*Assumptions!$B$26</f>
        <v/>
      </c>
    </row>
    <row r="21">
      <c r="A21" s="30" t="inlineStr">
        <is>
          <t>Loan commitment (press-reported)</t>
        </is>
      </c>
      <c r="B21" s="31">
        <f>Assumptions!$B$24</f>
        <v/>
      </c>
    </row>
    <row r="22">
      <c r="A22" s="30" t="inlineStr">
        <is>
          <t>Implied LTC at reported commitment</t>
        </is>
      </c>
      <c r="B22" s="32">
        <f>IFERROR(B21/B17,0)</f>
        <v/>
      </c>
    </row>
    <row r="23">
      <c r="A23" s="4" t="inlineStr">
        <is>
          <t>CALIBRATION: the reported $380M commitment against this budget implies the LTC above. If that lands far from a market 60-70%, the hard-cost assumption is wrong, not the loan.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40" customWidth="1" min="1" max="1"/>
    <col width="18" customWidth="1" min="2" max="2"/>
    <col width="18" customWidth="1" min="3" max="3"/>
    <col width="60" customWidth="1" min="4" max="4"/>
  </cols>
  <sheetData>
    <row r="1">
      <c r="A1" s="1" t="inlineStr">
        <is>
          <t>STABILISED PRO FORMA — RENTAL ASSETS</t>
        </is>
      </c>
    </row>
    <row r="2">
      <c r="A2" s="4" t="inlineStr">
        <is>
          <t>Static stabilised year. CashFlow models the monthly ramp separately; exit values are struck off this sheet.</t>
        </is>
      </c>
    </row>
    <row r="4">
      <c r="A4" s="5" t="inlineStr">
        <is>
          <t>Line</t>
        </is>
      </c>
      <c r="B4" s="5" t="inlineStr">
        <is>
          <t>Aubrey (West)</t>
        </is>
      </c>
      <c r="C4" s="5" t="inlineStr">
        <is>
          <t>Evo (East/South)</t>
        </is>
      </c>
      <c r="D4" s="5" t="inlineStr">
        <is>
          <t>Note</t>
        </is>
      </c>
    </row>
    <row r="5">
      <c r="A5" s="8" t="inlineStr">
        <is>
          <t>Units</t>
        </is>
      </c>
      <c r="B5" s="33">
        <f>Program!$D$5</f>
        <v/>
      </c>
      <c r="C5" s="33">
        <f>Program!$C$5</f>
        <v/>
      </c>
      <c r="D5" s="11" t="inlineStr">
        <is>
          <t>Fact [SP445]</t>
        </is>
      </c>
    </row>
    <row r="6">
      <c r="A6" s="8" t="inlineStr">
        <is>
          <t>Gross potential rent</t>
        </is>
      </c>
      <c r="B6" s="24">
        <f>B5*Assumptions!$B$29*12</f>
        <v/>
      </c>
      <c r="C6" s="24">
        <f>C5*Assumptions!$B$30*12</f>
        <v/>
      </c>
      <c r="D6" s="11" t="inlineStr">
        <is>
          <t>units x rent x 12</t>
        </is>
      </c>
    </row>
    <row r="7">
      <c r="A7" s="8" t="inlineStr">
        <is>
          <t>Other income</t>
        </is>
      </c>
      <c r="B7" s="24">
        <f>B6*Assumptions!$B$31</f>
        <v/>
      </c>
      <c r="C7" s="24">
        <f>C6*Assumptions!$B$31</f>
        <v/>
      </c>
      <c r="D7" s="11" t="inlineStr">
        <is>
          <t>% of GPR</t>
        </is>
      </c>
    </row>
    <row r="8">
      <c r="A8" s="8" t="inlineStr">
        <is>
          <t>Vacancy &amp; credit loss</t>
        </is>
      </c>
      <c r="B8" s="24">
        <f>-(B6+B7)*Assumptions!$B$32</f>
        <v/>
      </c>
      <c r="C8" s="24">
        <f>-(C6+C7)*Assumptions!$B$32</f>
        <v/>
      </c>
      <c r="D8" s="11" t="inlineStr"/>
    </row>
    <row r="9">
      <c r="A9" s="8" t="inlineStr">
        <is>
          <t>Parking income</t>
        </is>
      </c>
      <c r="B9" s="24">
        <f>B5*Assumptions!$B$35*Assumptions!$B$34*12</f>
        <v/>
      </c>
      <c r="C9" s="24">
        <f>C5*Assumptions!$B$35*Assumptions!$B$34*12</f>
        <v/>
      </c>
      <c r="D9" s="11" t="inlineStr">
        <is>
          <t>Arlington Guidebook garage rate x the SP445 0.80 spaces/unit ratio</t>
        </is>
      </c>
    </row>
    <row r="10">
      <c r="A10" s="8" t="inlineStr">
        <is>
          <t>Retail revenue (NNN)</t>
        </is>
      </c>
      <c r="B10" s="24">
        <f>Program!$D$9*Assumptions!$B$43*Assumptions!$B$44</f>
        <v/>
      </c>
      <c r="C10" s="24">
        <f>Program!$C$9*Assumptions!$B$43*Assumptions!$B$44</f>
        <v/>
      </c>
      <c r="D10" s="11" t="inlineStr">
        <is>
          <t>West retail = CVS anchor; East retail follows Evo</t>
        </is>
      </c>
    </row>
    <row r="11">
      <c r="A11" s="26" t="inlineStr">
        <is>
          <t>Effective gross income</t>
        </is>
      </c>
      <c r="B11" s="27">
        <f>SUM(B6:B10)</f>
        <v/>
      </c>
      <c r="C11" s="27">
        <f>SUM(C6:C10)</f>
        <v/>
      </c>
      <c r="D11" s="11" t="inlineStr"/>
    </row>
    <row r="12">
      <c r="A12" s="8" t="inlineStr">
        <is>
          <t>Operating expenses</t>
        </is>
      </c>
      <c r="B12" s="24">
        <f>-B5*Assumptions!$B$33</f>
        <v/>
      </c>
      <c r="C12" s="24">
        <f>-C5*Assumptions!$B$33</f>
        <v/>
      </c>
      <c r="D12" s="11" t="inlineStr">
        <is>
          <t>Excludes real estate tax</t>
        </is>
      </c>
    </row>
    <row r="13">
      <c r="A13" s="8" t="inlineStr">
        <is>
          <t>Real estate tax</t>
        </is>
      </c>
      <c r="B13" s="24">
        <f>-Assumptions!$B$36*Assumptions!$B$38</f>
        <v/>
      </c>
      <c r="C13" s="24">
        <f>-Assumptions!$B$37*Assumptions!$B$38</f>
        <v/>
      </c>
      <c r="D13" s="11" t="inlineStr">
        <is>
          <t>FACT-BASED: 1/1/2022 assessed value x effective rate derived from actual billing</t>
        </is>
      </c>
    </row>
    <row r="14">
      <c r="A14" s="26" t="inlineStr">
        <is>
          <t>NOI BEFORE real estate tax</t>
        </is>
      </c>
      <c r="B14" s="24">
        <f>B11+B12</f>
        <v/>
      </c>
      <c r="C14" s="24">
        <f>C11+C12</f>
        <v/>
      </c>
      <c r="D14" s="11" t="inlineStr">
        <is>
          <t>This is the figure Arlington's LOADED cap rate applies to. Do not compare it to a conventional after-tax cap.</t>
        </is>
      </c>
    </row>
    <row r="15">
      <c r="A15" s="26" t="inlineStr">
        <is>
          <t>NOI after real estate tax</t>
        </is>
      </c>
      <c r="B15" s="29">
        <f>B11+B12+B13</f>
        <v/>
      </c>
      <c r="C15" s="29">
        <f>C11+C12+C13</f>
        <v/>
      </c>
      <c r="D15" s="11" t="inlineStr">
        <is>
          <t>Cash-flow NOI, used in CashFlow</t>
        </is>
      </c>
    </row>
    <row r="16">
      <c r="A16" s="8" t="inlineStr">
        <is>
          <t>NOI margin</t>
        </is>
      </c>
      <c r="B16" s="25">
        <f>IFERROR(B15/B11,0)</f>
        <v/>
      </c>
      <c r="C16" s="25">
        <f>IFERROR(C15/C11,0)</f>
        <v/>
      </c>
      <c r="D16" s="11" t="inlineStr">
        <is>
          <t>Sanity check — 55-65% is normal</t>
        </is>
      </c>
    </row>
    <row r="18">
      <c r="A18" s="26" t="inlineStr">
        <is>
          <t>Exit price</t>
        </is>
      </c>
      <c r="B18" s="24">
        <f>Assumptions!$B$56</f>
        <v/>
      </c>
      <c r="C18" s="24">
        <f>Assumptions!$B$55</f>
        <v/>
      </c>
      <c r="D18" s="11" t="inlineStr">
        <is>
          <t>Evo = FACT (recorded 2022-07-12). Aubrey = DERIVED from the Evo sale/assessment ratio — leasehold, so no price is recorded.</t>
        </is>
      </c>
    </row>
    <row r="19">
      <c r="A19" s="8" t="inlineStr">
        <is>
          <t>Exit $ per unit</t>
        </is>
      </c>
      <c r="B19" s="24">
        <f>IFERROR(B18/B5,0)</f>
        <v/>
      </c>
      <c r="C19" s="24">
        <f>IFERROR(C18/C5,0)</f>
        <v/>
      </c>
      <c r="D19" s="11" t="inlineStr">
        <is>
          <t>Blended $764k/unit across 784 units — lands on the ~$758k Cortland figure.</t>
        </is>
      </c>
    </row>
    <row r="20">
      <c r="A20" s="26" t="inlineStr">
        <is>
          <t>IMPLIED LOADED CAP (on pre-tax NOI)</t>
        </is>
      </c>
      <c r="B20" s="34">
        <f>IFERROR(B14/B18,0)</f>
        <v/>
      </c>
      <c r="C20" s="34">
        <f>IFERROR(C14/C18,0)</f>
        <v/>
      </c>
      <c r="D20" s="11" t="inlineStr">
        <is>
          <t>Apples-to-apples with Arlington's 5.15% guideline. Both towers land ~4.43-4.46%, i.e. ~70bp INSIDE the county guideline for their class.</t>
        </is>
      </c>
    </row>
    <row r="21">
      <c r="A21" s="26" t="inlineStr">
        <is>
          <t>IMPLIED BASE CAP</t>
        </is>
      </c>
      <c r="B21" s="35">
        <f>B20-Assumptions!$B$54</f>
        <v/>
      </c>
      <c r="C21" s="35">
        <f>C20-Assumptions!$B$54</f>
        <v/>
      </c>
      <c r="D21" s="11" t="inlineStr">
        <is>
          <t>Loaded cap less the effective tax rate — the number a broker would quote. ~3.4%.</t>
        </is>
      </c>
    </row>
    <row r="22">
      <c r="A22" s="8" t="inlineStr">
        <is>
          <t>Arlington guideline loaded cap</t>
        </is>
      </c>
      <c r="B22" s="35">
        <f>Assumptions!$B$53</f>
        <v/>
      </c>
      <c r="C22" s="35">
        <f>Assumptions!$B$53</f>
        <v/>
      </c>
      <c r="D22" s="11" t="inlineStr">
        <is>
          <t>High-Rise / Metro / 2010+ [FACT]</t>
        </is>
      </c>
    </row>
    <row r="23">
      <c r="A23" s="26" t="inlineStr">
        <is>
          <t>Exit value (net of sale costs)</t>
        </is>
      </c>
      <c r="B23" s="36">
        <f>B18*(1-Assumptions!$B$57)</f>
        <v/>
      </c>
      <c r="C23" s="36">
        <f>C18*(1-Assumptions!$B$57)</f>
        <v/>
      </c>
      <c r="D23" s="11" t="inlineStr"/>
    </row>
    <row r="25">
      <c r="A25" s="2" t="inlineStr">
        <is>
          <t>PIERCE — CONDO SELLOUT</t>
        </is>
      </c>
    </row>
    <row r="26">
      <c r="A26" s="8" t="inlineStr">
        <is>
          <t>Units declared</t>
        </is>
      </c>
      <c r="B26" s="33">
        <f>Program!$B$5</f>
        <v/>
      </c>
      <c r="D26" s="11" t="inlineStr">
        <is>
          <t>FACT [SP445 2018 p.40] — 104 declared</t>
        </is>
      </c>
    </row>
    <row r="27">
      <c r="A27" s="8" t="inlineStr">
        <is>
          <t>Units actually sold</t>
        </is>
      </c>
      <c r="B27" s="33">
        <f>Assumptions!$B$48</f>
        <v/>
      </c>
      <c r="D27" s="11" t="inlineStr">
        <is>
          <t>FACT — 2 of 104 never transferred</t>
        </is>
      </c>
    </row>
    <row r="28">
      <c r="A28" s="26" t="inlineStr">
        <is>
          <t>Gross sellout (ACTUAL)</t>
        </is>
      </c>
      <c r="B28" s="24">
        <f>Assumptions!$B$47</f>
        <v/>
      </c>
      <c r="D28" s="11" t="inlineStr">
        <is>
          <t>FACT — every unit scraped from Arlington assessments; see Sellout sheet</t>
        </is>
      </c>
    </row>
    <row r="29">
      <c r="A29" s="8" t="inlineStr">
        <is>
          <t>Avg price per unit</t>
        </is>
      </c>
      <c r="B29" s="24">
        <f>IFERROR(B28/B27,0)</f>
        <v/>
      </c>
      <c r="D29" s="11" t="inlineStr">
        <is>
          <t>Actual: median $1,774,000; range $822,000-$3,920,000</t>
        </is>
      </c>
    </row>
    <row r="30">
      <c r="A30" s="8" t="inlineStr">
        <is>
          <t>Selling costs</t>
        </is>
      </c>
      <c r="B30" s="24">
        <f>-B28*Assumptions!$B$49</f>
        <v/>
      </c>
      <c r="D30" s="11" t="inlineStr"/>
    </row>
    <row r="31">
      <c r="A31" s="26" t="inlineStr">
        <is>
          <t>NET SELLOUT PROCEEDS</t>
        </is>
      </c>
      <c r="B31" s="29">
        <f>B28+B30</f>
        <v/>
      </c>
      <c r="D31"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14" customWidth="1" min="1" max="1"/>
    <col width="14" customWidth="1" min="2" max="2"/>
    <col width="14" customWidth="1" min="3" max="3"/>
    <col width="20" customWidth="1" min="4" max="4"/>
    <col width="64" customWidth="1" min="5" max="5"/>
  </cols>
  <sheetData>
    <row r="1">
      <c r="A1" s="1" t="inlineStr">
        <is>
          <t>PIERCE CONDO SELLOUT — ACTUAL RECORDED CLOSINGS</t>
        </is>
      </c>
    </row>
    <row r="2">
      <c r="A2" s="4" t="inlineStr">
        <is>
          <t>Every one of the 104 declared units was looked up individually in the Arlington assessment records. 102 transferred; 2 never did. Dates and prices are the first arms-length sale on each unit.</t>
        </is>
      </c>
    </row>
    <row r="3">
      <c r="A3" s="4" t="inlineStr">
        <is>
          <t>This replaces the assumed 8-units/month curve entirely. Actual sellout ran 34 months, not 13.</t>
        </is>
      </c>
    </row>
    <row r="5">
      <c r="A5" s="5" t="inlineStr">
        <is>
          <t>Month #</t>
        </is>
      </c>
      <c r="B5" s="5" t="inlineStr">
        <is>
          <t>Year-month</t>
        </is>
      </c>
      <c r="C5" s="5" t="inlineStr">
        <is>
          <t>Units closed</t>
        </is>
      </c>
      <c r="D5" s="5" t="inlineStr">
        <is>
          <t>Gross proceeds</t>
        </is>
      </c>
      <c r="E5" s="5" t="inlineStr">
        <is>
          <t>Cumulative units</t>
        </is>
      </c>
    </row>
    <row r="6">
      <c r="A6" s="37" t="n">
        <v>120</v>
      </c>
      <c r="B6" s="38" t="inlineStr">
        <is>
          <t>2021-08</t>
        </is>
      </c>
      <c r="C6" s="37" t="n">
        <v>1</v>
      </c>
      <c r="D6" s="39" t="n">
        <v>2056400</v>
      </c>
      <c r="E6" s="33" t="n">
        <v>1</v>
      </c>
    </row>
    <row r="7">
      <c r="A7" s="37" t="n">
        <v>121</v>
      </c>
      <c r="B7" s="38" t="inlineStr">
        <is>
          <t>2021-09</t>
        </is>
      </c>
      <c r="C7" s="37" t="n">
        <v>6</v>
      </c>
      <c r="D7" s="39" t="n">
        <v>8109000</v>
      </c>
      <c r="E7" s="33" t="n">
        <v>7</v>
      </c>
    </row>
    <row r="8">
      <c r="A8" s="37" t="n">
        <v>122</v>
      </c>
      <c r="B8" s="38" t="inlineStr">
        <is>
          <t>2021-10</t>
        </is>
      </c>
      <c r="C8" s="37" t="n">
        <v>3</v>
      </c>
      <c r="D8" s="39" t="n">
        <v>6243000</v>
      </c>
      <c r="E8" s="33" t="n">
        <v>10</v>
      </c>
    </row>
    <row r="9">
      <c r="A9" s="37" t="n">
        <v>123</v>
      </c>
      <c r="B9" s="38" t="inlineStr">
        <is>
          <t>2021-11</t>
        </is>
      </c>
      <c r="C9" s="37" t="n">
        <v>8</v>
      </c>
      <c r="D9" s="39" t="n">
        <v>16820000</v>
      </c>
      <c r="E9" s="33" t="n">
        <v>18</v>
      </c>
    </row>
    <row r="10">
      <c r="A10" s="37" t="n">
        <v>124</v>
      </c>
      <c r="B10" s="38" t="inlineStr">
        <is>
          <t>2021-12</t>
        </is>
      </c>
      <c r="C10" s="37" t="n">
        <v>10</v>
      </c>
      <c r="D10" s="39" t="n">
        <v>22430000</v>
      </c>
      <c r="E10" s="33" t="n">
        <v>28</v>
      </c>
    </row>
    <row r="11">
      <c r="A11" s="37" t="n">
        <v>125</v>
      </c>
      <c r="B11" s="38" t="inlineStr">
        <is>
          <t>2022-01</t>
        </is>
      </c>
      <c r="C11" s="37" t="n">
        <v>12</v>
      </c>
      <c r="D11" s="39" t="n">
        <v>23646000</v>
      </c>
      <c r="E11" s="33" t="n">
        <v>40</v>
      </c>
    </row>
    <row r="12">
      <c r="A12" s="37" t="n">
        <v>126</v>
      </c>
      <c r="B12" s="38" t="inlineStr">
        <is>
          <t>2022-02</t>
        </is>
      </c>
      <c r="C12" s="37" t="n">
        <v>5</v>
      </c>
      <c r="D12" s="39" t="n">
        <v>11617000</v>
      </c>
      <c r="E12" s="33" t="n">
        <v>45</v>
      </c>
    </row>
    <row r="13">
      <c r="A13" s="37" t="n">
        <v>127</v>
      </c>
      <c r="B13" s="38" t="inlineStr">
        <is>
          <t>2022-03</t>
        </is>
      </c>
      <c r="C13" s="37" t="n">
        <v>3</v>
      </c>
      <c r="D13" s="39" t="n">
        <v>4729000</v>
      </c>
      <c r="E13" s="33" t="n">
        <v>48</v>
      </c>
    </row>
    <row r="14">
      <c r="A14" s="37" t="n">
        <v>128</v>
      </c>
      <c r="B14" s="38" t="inlineStr">
        <is>
          <t>2022-04</t>
        </is>
      </c>
      <c r="C14" s="37" t="n">
        <v>3</v>
      </c>
      <c r="D14" s="39" t="n">
        <v>7200000</v>
      </c>
      <c r="E14" s="33" t="n">
        <v>51</v>
      </c>
    </row>
    <row r="15">
      <c r="A15" s="37" t="n">
        <v>129</v>
      </c>
      <c r="B15" s="38" t="inlineStr">
        <is>
          <t>2022-05</t>
        </is>
      </c>
      <c r="C15" s="37" t="n">
        <v>1</v>
      </c>
      <c r="D15" s="39" t="n">
        <v>2750000</v>
      </c>
      <c r="E15" s="33" t="n">
        <v>52</v>
      </c>
    </row>
    <row r="16">
      <c r="A16" s="37" t="n">
        <v>130</v>
      </c>
      <c r="B16" s="38" t="inlineStr">
        <is>
          <t>2022-06</t>
        </is>
      </c>
      <c r="C16" s="37" t="n">
        <v>2</v>
      </c>
      <c r="D16" s="39" t="n">
        <v>2407000</v>
      </c>
      <c r="E16" s="33" t="n">
        <v>54</v>
      </c>
    </row>
    <row r="17">
      <c r="A17" s="37" t="n">
        <v>131</v>
      </c>
      <c r="B17" s="38" t="inlineStr">
        <is>
          <t>2022-07</t>
        </is>
      </c>
      <c r="C17" s="37" t="n">
        <v>3</v>
      </c>
      <c r="D17" s="39" t="n">
        <v>5735000</v>
      </c>
      <c r="E17" s="33" t="n">
        <v>57</v>
      </c>
    </row>
    <row r="18">
      <c r="A18" s="37" t="n">
        <v>132</v>
      </c>
      <c r="B18" s="38" t="inlineStr">
        <is>
          <t>2022-08</t>
        </is>
      </c>
      <c r="C18" s="37" t="n">
        <v>2</v>
      </c>
      <c r="D18" s="39" t="n">
        <v>3673000</v>
      </c>
      <c r="E18" s="33" t="n">
        <v>59</v>
      </c>
    </row>
    <row r="19">
      <c r="A19" s="37" t="n">
        <v>133</v>
      </c>
      <c r="B19" s="38" t="inlineStr">
        <is>
          <t>2022-09</t>
        </is>
      </c>
      <c r="C19" s="37" t="n">
        <v>5</v>
      </c>
      <c r="D19" s="39" t="n">
        <v>10380320</v>
      </c>
      <c r="E19" s="33" t="n">
        <v>64</v>
      </c>
    </row>
    <row r="20">
      <c r="A20" s="37" t="n">
        <v>134</v>
      </c>
      <c r="B20" s="38" t="inlineStr">
        <is>
          <t>2022-10</t>
        </is>
      </c>
      <c r="C20" s="37" t="n">
        <v>1</v>
      </c>
      <c r="D20" s="39" t="n">
        <v>1500000</v>
      </c>
      <c r="E20" s="33" t="n">
        <v>65</v>
      </c>
    </row>
    <row r="21">
      <c r="A21" s="37" t="n">
        <v>135</v>
      </c>
      <c r="B21" s="38" t="inlineStr">
        <is>
          <t>2022-11</t>
        </is>
      </c>
      <c r="C21" s="37" t="n">
        <v>2</v>
      </c>
      <c r="D21" s="39" t="n">
        <v>1813000</v>
      </c>
      <c r="E21" s="33" t="n">
        <v>67</v>
      </c>
    </row>
    <row r="22">
      <c r="A22" s="37" t="n">
        <v>136</v>
      </c>
      <c r="B22" s="38" t="inlineStr">
        <is>
          <t>2022-12</t>
        </is>
      </c>
      <c r="C22" s="37" t="n">
        <v>4</v>
      </c>
      <c r="D22" s="39" t="n">
        <v>6830500</v>
      </c>
      <c r="E22" s="33" t="n">
        <v>71</v>
      </c>
    </row>
    <row r="23">
      <c r="A23" s="37" t="n">
        <v>137</v>
      </c>
      <c r="B23" s="38" t="inlineStr">
        <is>
          <t>2023-01</t>
        </is>
      </c>
      <c r="C23" s="37" t="n">
        <v>1</v>
      </c>
      <c r="D23" s="39" t="n">
        <v>2496000</v>
      </c>
      <c r="E23" s="33" t="n">
        <v>72</v>
      </c>
    </row>
    <row r="24">
      <c r="A24" s="37" t="n">
        <v>139</v>
      </c>
      <c r="B24" s="38" t="inlineStr">
        <is>
          <t>2023-03</t>
        </is>
      </c>
      <c r="C24" s="37" t="n">
        <v>2</v>
      </c>
      <c r="D24" s="39" t="n">
        <v>2845000</v>
      </c>
      <c r="E24" s="33" t="n">
        <v>74</v>
      </c>
    </row>
    <row r="25">
      <c r="A25" s="37" t="n">
        <v>140</v>
      </c>
      <c r="B25" s="38" t="inlineStr">
        <is>
          <t>2023-04</t>
        </is>
      </c>
      <c r="C25" s="37" t="n">
        <v>10</v>
      </c>
      <c r="D25" s="39" t="n">
        <v>12874000</v>
      </c>
      <c r="E25" s="33" t="n">
        <v>84</v>
      </c>
    </row>
    <row r="26">
      <c r="A26" s="37" t="n">
        <v>141</v>
      </c>
      <c r="B26" s="38" t="inlineStr">
        <is>
          <t>2023-05</t>
        </is>
      </c>
      <c r="C26" s="37" t="n">
        <v>2</v>
      </c>
      <c r="D26" s="39" t="n">
        <v>2357000</v>
      </c>
      <c r="E26" s="33" t="n">
        <v>86</v>
      </c>
    </row>
    <row r="27">
      <c r="A27" s="37" t="n">
        <v>142</v>
      </c>
      <c r="B27" s="38" t="inlineStr">
        <is>
          <t>2023-06</t>
        </is>
      </c>
      <c r="C27" s="37" t="n">
        <v>2</v>
      </c>
      <c r="D27" s="39" t="n">
        <v>4589000</v>
      </c>
      <c r="E27" s="33" t="n">
        <v>88</v>
      </c>
    </row>
    <row r="28">
      <c r="A28" s="37" t="n">
        <v>144</v>
      </c>
      <c r="B28" s="38" t="inlineStr">
        <is>
          <t>2023-08</t>
        </is>
      </c>
      <c r="C28" s="37" t="n">
        <v>1</v>
      </c>
      <c r="D28" s="39" t="n">
        <v>2320000</v>
      </c>
      <c r="E28" s="33" t="n">
        <v>89</v>
      </c>
    </row>
    <row r="29">
      <c r="A29" s="37" t="n">
        <v>145</v>
      </c>
      <c r="B29" s="38" t="inlineStr">
        <is>
          <t>2023-09</t>
        </is>
      </c>
      <c r="C29" s="37" t="n">
        <v>3</v>
      </c>
      <c r="D29" s="39" t="n">
        <v>6060000</v>
      </c>
      <c r="E29" s="33" t="n">
        <v>92</v>
      </c>
    </row>
    <row r="30">
      <c r="A30" s="37" t="n">
        <v>146</v>
      </c>
      <c r="B30" s="38" t="inlineStr">
        <is>
          <t>2023-10</t>
        </is>
      </c>
      <c r="C30" s="37" t="n">
        <v>2</v>
      </c>
      <c r="D30" s="39" t="n">
        <v>3250000</v>
      </c>
      <c r="E30" s="33" t="n">
        <v>94</v>
      </c>
    </row>
    <row r="31">
      <c r="A31" s="37" t="n">
        <v>147</v>
      </c>
      <c r="B31" s="38" t="inlineStr">
        <is>
          <t>2023-11</t>
        </is>
      </c>
      <c r="C31" s="37" t="n">
        <v>1</v>
      </c>
      <c r="D31" s="39" t="n">
        <v>2160000</v>
      </c>
      <c r="E31" s="33" t="n">
        <v>95</v>
      </c>
    </row>
    <row r="32">
      <c r="A32" s="37" t="n">
        <v>148</v>
      </c>
      <c r="B32" s="38" t="inlineStr">
        <is>
          <t>2023-12</t>
        </is>
      </c>
      <c r="C32" s="37" t="n">
        <v>2</v>
      </c>
      <c r="D32" s="39" t="n">
        <v>3548000</v>
      </c>
      <c r="E32" s="33" t="n">
        <v>97</v>
      </c>
    </row>
    <row r="33">
      <c r="A33" s="37" t="n">
        <v>150</v>
      </c>
      <c r="B33" s="38" t="inlineStr">
        <is>
          <t>2024-02</t>
        </is>
      </c>
      <c r="C33" s="37" t="n">
        <v>1</v>
      </c>
      <c r="D33" s="39" t="n">
        <v>1823000</v>
      </c>
      <c r="E33" s="33" t="n">
        <v>98</v>
      </c>
    </row>
    <row r="34">
      <c r="A34" s="37" t="n">
        <v>153</v>
      </c>
      <c r="B34" s="38" t="inlineStr">
        <is>
          <t>2024-05</t>
        </is>
      </c>
      <c r="C34" s="37" t="n">
        <v>2</v>
      </c>
      <c r="D34" s="39" t="n">
        <v>3950000</v>
      </c>
      <c r="E34" s="33" t="n">
        <v>100</v>
      </c>
    </row>
    <row r="35">
      <c r="A35" s="37" t="n">
        <v>154</v>
      </c>
      <c r="B35" s="38" t="inlineStr">
        <is>
          <t>2024-06</t>
        </is>
      </c>
      <c r="C35" s="37" t="n">
        <v>2</v>
      </c>
      <c r="D35" s="39" t="n">
        <v>3975000</v>
      </c>
      <c r="E35" s="33" t="n">
        <v>102</v>
      </c>
    </row>
    <row r="36">
      <c r="A36" s="2" t="inlineStr">
        <is>
          <t>TOTAL</t>
        </is>
      </c>
      <c r="C36" s="40">
        <f>SUM(C6:C35)</f>
        <v/>
      </c>
      <c r="D36" s="41">
        <f>SUM(D6:D35)</f>
        <v/>
      </c>
    </row>
    <row r="38">
      <c r="A38" s="4" t="inlineStr">
        <is>
          <t>Peak absorption was Dec-2021 / Jan-2022 (10 and 12 closings). The long tail through Jun-2024 is what an assumed constant pace cannot capture, and it matters: proceeds arriving 2-3 years late are worth materially less.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66"/>
  <sheetViews>
    <sheetView showGridLines="0" workbookViewId="0">
      <selection activeCell="A1" sqref="A1"/>
    </sheetView>
  </sheetViews>
  <sheetFormatPr baseColWidth="8" defaultRowHeight="15"/>
  <cols>
    <col width="11" customWidth="1" min="1" max="1"/>
    <col width="11" customWidth="1" min="2" max="2"/>
    <col width="11"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28" customWidth="1" min="31" max="31"/>
  </cols>
  <sheetData>
    <row r="1">
      <c r="A1" s="1" t="inlineStr">
        <is>
          <t>MONTHLY CASH FLOW</t>
        </is>
      </c>
      <c r="AE1" s="4" t="inlineStr">
        <is>
          <t>Aubrey delivery (month #)</t>
        </is>
      </c>
    </row>
    <row r="2">
      <c r="A2" s="4" t="inlineStr">
        <is>
          <t>Interest is capitalised into the loan balance, so it is never a cash line; it is repaid inside 'Loan repayment'.</t>
        </is>
      </c>
      <c r="AE2" s="42">
        <f>Assumptions!$B$9+Assumptions!$B$10</f>
        <v/>
      </c>
    </row>
    <row r="3">
      <c r="A3" s="4" t="inlineStr">
        <is>
          <t>Equity funds first up to its commitment, then the loan draws — standard construction structure.</t>
        </is>
      </c>
      <c r="AE3" s="4" t="inlineStr">
        <is>
          <t>Evo / Pierce delivery (month #)</t>
        </is>
      </c>
    </row>
    <row r="4">
      <c r="AE4" s="42">
        <f>$AE$2+Assumptions!$B$40</f>
        <v/>
      </c>
    </row>
    <row r="5" ht="32" customHeight="1">
      <c r="A5" s="5" t="inlineStr">
        <is>
          <t>Month #</t>
        </is>
      </c>
      <c r="B5" s="5" t="inlineStr">
        <is>
          <t>Date</t>
        </is>
      </c>
      <c r="C5" s="5" t="inlineStr">
        <is>
          <t>Phase</t>
        </is>
      </c>
      <c r="D5" s="5" t="inlineStr">
        <is>
          <t>Curve wt</t>
        </is>
      </c>
      <c r="E5" s="5" t="inlineStr">
        <is>
          <t>Curve share</t>
        </is>
      </c>
      <c r="F5" s="5" t="inlineStr">
        <is>
          <t>Land</t>
        </is>
      </c>
      <c r="G5" s="5" t="inlineStr">
        <is>
          <t>Hard - buildings</t>
        </is>
      </c>
      <c r="H5" s="5" t="inlineStr">
        <is>
          <t>Hard - garage</t>
        </is>
      </c>
      <c r="I5" s="5" t="inlineStr">
        <is>
          <t>Fire Station</t>
        </is>
      </c>
      <c r="J5" s="5" t="inlineStr">
        <is>
          <t>Park + street</t>
        </is>
      </c>
      <c r="K5" s="5" t="inlineStr">
        <is>
          <t>Soft costs</t>
        </is>
      </c>
      <c r="L5" s="5" t="inlineStr">
        <is>
          <t>Contingency</t>
        </is>
      </c>
      <c r="M5" s="5" t="inlineStr">
        <is>
          <t>Public obligations</t>
        </is>
      </c>
      <c r="N5" s="5" t="inlineStr">
        <is>
          <t>Developer fee</t>
        </is>
      </c>
      <c r="O5" s="5" t="inlineStr">
        <is>
          <t>TOTAL DEV COST</t>
        </is>
      </c>
      <c r="P5" s="5" t="inlineStr">
        <is>
          <t>Cum dev cost</t>
        </is>
      </c>
      <c r="Q5" s="5" t="inlineStr">
        <is>
          <t>Equity draw</t>
        </is>
      </c>
      <c r="R5" s="5" t="inlineStr">
        <is>
          <t>Cum equity</t>
        </is>
      </c>
      <c r="S5" s="5" t="inlineStr">
        <is>
          <t>Loan draw</t>
        </is>
      </c>
      <c r="T5" s="5" t="inlineStr">
        <is>
          <t>Loan bal BOP</t>
        </is>
      </c>
      <c r="U5" s="5" t="inlineStr">
        <is>
          <t>Interest capitalised</t>
        </is>
      </c>
      <c r="V5" s="5" t="inlineStr">
        <is>
          <t>Loan repayment</t>
        </is>
      </c>
      <c r="W5" s="5" t="inlineStr">
        <is>
          <t>Loan bal EOP</t>
        </is>
      </c>
      <c r="X5" s="5" t="inlineStr">
        <is>
          <t>Aubrey NOI</t>
        </is>
      </c>
      <c r="Y5" s="5" t="inlineStr">
        <is>
          <t>Evo NOI</t>
        </is>
      </c>
      <c r="Z5" s="5" t="inlineStr">
        <is>
          <t>Pierce net proceeds</t>
        </is>
      </c>
      <c r="AA5" s="5" t="inlineStr">
        <is>
          <t>Asset sale (net)</t>
        </is>
      </c>
      <c r="AB5" s="5" t="inlineStr">
        <is>
          <t>UNLEVERED CF</t>
        </is>
      </c>
      <c r="AC5" s="5" t="inlineStr">
        <is>
          <t>EQUITY CF</t>
        </is>
      </c>
      <c r="AE5" s="4" t="inlineStr">
        <is>
          <t>Curve weight total</t>
        </is>
      </c>
    </row>
    <row r="6">
      <c r="A6" s="42" t="n">
        <v>1</v>
      </c>
      <c r="B6" s="43">
        <f>EDATE(Assumptions!$B$7,A6-1)</f>
        <v/>
      </c>
      <c r="C6" s="30">
        <f>IF(A6&lt;Assumptions!$B$9,"Pre-dev",IF(A6&lt;$AE$2,"Construction",IF(A6&lt;=Assumptions!$B$59,"Lease-up / exit","Tail")))</f>
        <v/>
      </c>
      <c r="D6" s="42">
        <f>IF(AND(A6&gt;=Assumptions!$B$9,A6&lt;$AE$2),(A6-Assumptions!$B$9+1)*($AE$2-A6),0)</f>
        <v/>
      </c>
      <c r="E6" s="44">
        <f>IFERROR(D6/$AE$6,0)</f>
        <v/>
      </c>
      <c r="F6" s="21">
        <f>IF(A6=1,DevBudget!$B$5,0)</f>
        <v/>
      </c>
      <c r="G6" s="21">
        <f>E6*DevBudget!$B$6</f>
        <v/>
      </c>
      <c r="H6" s="21">
        <f>E6*DevBudget!$B$7</f>
        <v/>
      </c>
      <c r="I6" s="21">
        <f>E6*DevBudget!$B$8</f>
        <v/>
      </c>
      <c r="J6" s="21">
        <f>E6*(DevBudget!$B$9+DevBudget!$B$10)</f>
        <v/>
      </c>
      <c r="K6" s="21">
        <f>E6*DevBudget!$B$12</f>
        <v/>
      </c>
      <c r="L6" s="21">
        <f>E6*DevBudget!$B$13</f>
        <v/>
      </c>
      <c r="M6" s="21">
        <f>IF(A6=Assumptions!$B$9,Assumptions!$B$69+Assumptions!$B$72,0)+IF(A6=$AE$4,Assumptions!$B$70+Assumptions!$B$71+Assumptions!$B$73,0)</f>
        <v/>
      </c>
      <c r="N6" s="21">
        <f>E6*DevBudget!$B$16</f>
        <v/>
      </c>
      <c r="O6" s="21">
        <f>SUM(F6:N6)</f>
        <v/>
      </c>
      <c r="P6" s="21">
        <f>0+O6</f>
        <v/>
      </c>
      <c r="Q6" s="21">
        <f>MIN(O6,MAX(0,DevBudget!$B$19-0))</f>
        <v/>
      </c>
      <c r="R6" s="21">
        <f>0+Q6</f>
        <v/>
      </c>
      <c r="S6" s="21">
        <f>MIN(MAX(0,O6-Q6),MAX(0,Assumptions!$B$24-T6-U6))</f>
        <v/>
      </c>
      <c r="T6" s="21">
        <f>0</f>
        <v/>
      </c>
      <c r="U6" s="21">
        <f>T6*Assumptions!$B$25/12</f>
        <v/>
      </c>
      <c r="V6" s="21">
        <f>MIN(T6+U6+S6,MAX(0,Z6+AA6))</f>
        <v/>
      </c>
      <c r="W6" s="21">
        <f>T6+S6+U6-V6</f>
        <v/>
      </c>
      <c r="X6" s="21">
        <f>IF(AND(A6&gt;=$AE$2,A6&lt;=Assumptions!$B$58),(MIN(Program!$D$5,MAX(0,(A6-$AE$2+1)*Assumptions!$B$39))*Assumptions!$B$29*(1+Assumptions!$B$31)*(1-Assumptions!$B$32)+Program!$D$9*Assumptions!$B$43*Assumptions!$B$44/12+Program!$D$5*Assumptions!$B$35*Assumptions!$B$34-Program!$D$5*Assumptions!$B$33/12-Assumptions!$B$36*Assumptions!$B$38/12),0)</f>
        <v/>
      </c>
      <c r="Y6" s="21">
        <f>IF(AND(A6&gt;=$AE$4,A6&lt;=Assumptions!$B$59),(MIN(Program!$C$5,MAX(0,(A6-$AE$4+1)*Assumptions!$B$39))*Assumptions!$B$30*(1+Assumptions!$B$31)*(1-Assumptions!$B$32)+Program!$C$9*Assumptions!$B$43*Assumptions!$B$44/12+Program!$C$5*Assumptions!$B$35*Assumptions!$B$34-Program!$C$5*Assumptions!$B$33/12-Assumptions!$B$37*Assumptions!$B$38/12),0)</f>
        <v/>
      </c>
      <c r="Z6" s="31">
        <f>SUMIF(Sellout!$A$6:$A$35,A6,Sellout!$D$6:$D$35)*(1-Assumptions!$B$49)</f>
        <v/>
      </c>
      <c r="AA6" s="31">
        <f>IF(A6=Assumptions!$B$58,Ops!$B$23,0)+IF(A6=Assumptions!$B$59,Ops!$C$23,0)</f>
        <v/>
      </c>
      <c r="AB6" s="21">
        <f>-O6+X6+Y6+Z6+AA6</f>
        <v/>
      </c>
      <c r="AC6" s="21">
        <f>AB6+S6-V6</f>
        <v/>
      </c>
      <c r="AE6" s="42">
        <f>SUM(D6:D165)</f>
        <v/>
      </c>
    </row>
    <row r="7">
      <c r="A7" s="42" t="n">
        <v>2</v>
      </c>
      <c r="B7" s="43">
        <f>EDATE(Assumptions!$B$7,A7-1)</f>
        <v/>
      </c>
      <c r="C7" s="30">
        <f>IF(A7&lt;Assumptions!$B$9,"Pre-dev",IF(A7&lt;$AE$2,"Construction",IF(A7&lt;=Assumptions!$B$59,"Lease-up / exit","Tail")))</f>
        <v/>
      </c>
      <c r="D7" s="42">
        <f>IF(AND(A7&gt;=Assumptions!$B$9,A7&lt;$AE$2),(A7-Assumptions!$B$9+1)*($AE$2-A7),0)</f>
        <v/>
      </c>
      <c r="E7" s="44">
        <f>IFERROR(D7/$AE$6,0)</f>
        <v/>
      </c>
      <c r="F7" s="21">
        <f>IF(A7=1,DevBudget!$B$5,0)</f>
        <v/>
      </c>
      <c r="G7" s="21">
        <f>E7*DevBudget!$B$6</f>
        <v/>
      </c>
      <c r="H7" s="21">
        <f>E7*DevBudget!$B$7</f>
        <v/>
      </c>
      <c r="I7" s="21">
        <f>E7*DevBudget!$B$8</f>
        <v/>
      </c>
      <c r="J7" s="21">
        <f>E7*(DevBudget!$B$9+DevBudget!$B$10)</f>
        <v/>
      </c>
      <c r="K7" s="21">
        <f>E7*DevBudget!$B$12</f>
        <v/>
      </c>
      <c r="L7" s="21">
        <f>E7*DevBudget!$B$13</f>
        <v/>
      </c>
      <c r="M7" s="21">
        <f>IF(A7=Assumptions!$B$9,Assumptions!$B$69+Assumptions!$B$72,0)+IF(A7=$AE$4,Assumptions!$B$70+Assumptions!$B$71+Assumptions!$B$73,0)</f>
        <v/>
      </c>
      <c r="N7" s="21">
        <f>E7*DevBudget!$B$16</f>
        <v/>
      </c>
      <c r="O7" s="21">
        <f>SUM(F7:N7)</f>
        <v/>
      </c>
      <c r="P7" s="21">
        <f>P6+O7</f>
        <v/>
      </c>
      <c r="Q7" s="21">
        <f>MIN(O7,MAX(0,DevBudget!$B$19-R6))</f>
        <v/>
      </c>
      <c r="R7" s="21">
        <f>R6+Q7</f>
        <v/>
      </c>
      <c r="S7" s="21">
        <f>MIN(MAX(0,O7-Q7),MAX(0,Assumptions!$B$24-T7-U7))</f>
        <v/>
      </c>
      <c r="T7" s="21">
        <f>W6</f>
        <v/>
      </c>
      <c r="U7" s="21">
        <f>T7*Assumptions!$B$25/12</f>
        <v/>
      </c>
      <c r="V7" s="21">
        <f>MIN(T7+U7+S7,MAX(0,Z7+AA7))</f>
        <v/>
      </c>
      <c r="W7" s="21">
        <f>T7+S7+U7-V7</f>
        <v/>
      </c>
      <c r="X7" s="21">
        <f>IF(AND(A7&gt;=$AE$2,A7&lt;=Assumptions!$B$58),(MIN(Program!$D$5,MAX(0,(A7-$AE$2+1)*Assumptions!$B$39))*Assumptions!$B$29*(1+Assumptions!$B$31)*(1-Assumptions!$B$32)+Program!$D$9*Assumptions!$B$43*Assumptions!$B$44/12+Program!$D$5*Assumptions!$B$35*Assumptions!$B$34-Program!$D$5*Assumptions!$B$33/12-Assumptions!$B$36*Assumptions!$B$38/12),0)</f>
        <v/>
      </c>
      <c r="Y7" s="21">
        <f>IF(AND(A7&gt;=$AE$4,A7&lt;=Assumptions!$B$59),(MIN(Program!$C$5,MAX(0,(A7-$AE$4+1)*Assumptions!$B$39))*Assumptions!$B$30*(1+Assumptions!$B$31)*(1-Assumptions!$B$32)+Program!$C$9*Assumptions!$B$43*Assumptions!$B$44/12+Program!$C$5*Assumptions!$B$35*Assumptions!$B$34-Program!$C$5*Assumptions!$B$33/12-Assumptions!$B$37*Assumptions!$B$38/12),0)</f>
        <v/>
      </c>
      <c r="Z7" s="31">
        <f>SUMIF(Sellout!$A$6:$A$35,A7,Sellout!$D$6:$D$35)*(1-Assumptions!$B$49)</f>
        <v/>
      </c>
      <c r="AA7" s="31">
        <f>IF(A7=Assumptions!$B$58,Ops!$B$23,0)+IF(A7=Assumptions!$B$59,Ops!$C$23,0)</f>
        <v/>
      </c>
      <c r="AB7" s="21">
        <f>-O7+X7+Y7+Z7+AA7</f>
        <v/>
      </c>
      <c r="AC7" s="21">
        <f>AB7+S7-V7</f>
        <v/>
      </c>
    </row>
    <row r="8">
      <c r="A8" s="42" t="n">
        <v>3</v>
      </c>
      <c r="B8" s="43">
        <f>EDATE(Assumptions!$B$7,A8-1)</f>
        <v/>
      </c>
      <c r="C8" s="30">
        <f>IF(A8&lt;Assumptions!$B$9,"Pre-dev",IF(A8&lt;$AE$2,"Construction",IF(A8&lt;=Assumptions!$B$59,"Lease-up / exit","Tail")))</f>
        <v/>
      </c>
      <c r="D8" s="42">
        <f>IF(AND(A8&gt;=Assumptions!$B$9,A8&lt;$AE$2),(A8-Assumptions!$B$9+1)*($AE$2-A8),0)</f>
        <v/>
      </c>
      <c r="E8" s="44">
        <f>IFERROR(D8/$AE$6,0)</f>
        <v/>
      </c>
      <c r="F8" s="21">
        <f>IF(A8=1,DevBudget!$B$5,0)</f>
        <v/>
      </c>
      <c r="G8" s="21">
        <f>E8*DevBudget!$B$6</f>
        <v/>
      </c>
      <c r="H8" s="21">
        <f>E8*DevBudget!$B$7</f>
        <v/>
      </c>
      <c r="I8" s="21">
        <f>E8*DevBudget!$B$8</f>
        <v/>
      </c>
      <c r="J8" s="21">
        <f>E8*(DevBudget!$B$9+DevBudget!$B$10)</f>
        <v/>
      </c>
      <c r="K8" s="21">
        <f>E8*DevBudget!$B$12</f>
        <v/>
      </c>
      <c r="L8" s="21">
        <f>E8*DevBudget!$B$13</f>
        <v/>
      </c>
      <c r="M8" s="21">
        <f>IF(A8=Assumptions!$B$9,Assumptions!$B$69+Assumptions!$B$72,0)+IF(A8=$AE$4,Assumptions!$B$70+Assumptions!$B$71+Assumptions!$B$73,0)</f>
        <v/>
      </c>
      <c r="N8" s="21">
        <f>E8*DevBudget!$B$16</f>
        <v/>
      </c>
      <c r="O8" s="21">
        <f>SUM(F8:N8)</f>
        <v/>
      </c>
      <c r="P8" s="21">
        <f>P7+O8</f>
        <v/>
      </c>
      <c r="Q8" s="21">
        <f>MIN(O8,MAX(0,DevBudget!$B$19-R7))</f>
        <v/>
      </c>
      <c r="R8" s="21">
        <f>R7+Q8</f>
        <v/>
      </c>
      <c r="S8" s="21">
        <f>MIN(MAX(0,O8-Q8),MAX(0,Assumptions!$B$24-T8-U8))</f>
        <v/>
      </c>
      <c r="T8" s="21">
        <f>W7</f>
        <v/>
      </c>
      <c r="U8" s="21">
        <f>T8*Assumptions!$B$25/12</f>
        <v/>
      </c>
      <c r="V8" s="21">
        <f>MIN(T8+U8+S8,MAX(0,Z8+AA8))</f>
        <v/>
      </c>
      <c r="W8" s="21">
        <f>T8+S8+U8-V8</f>
        <v/>
      </c>
      <c r="X8" s="21">
        <f>IF(AND(A8&gt;=$AE$2,A8&lt;=Assumptions!$B$58),(MIN(Program!$D$5,MAX(0,(A8-$AE$2+1)*Assumptions!$B$39))*Assumptions!$B$29*(1+Assumptions!$B$31)*(1-Assumptions!$B$32)+Program!$D$9*Assumptions!$B$43*Assumptions!$B$44/12+Program!$D$5*Assumptions!$B$35*Assumptions!$B$34-Program!$D$5*Assumptions!$B$33/12-Assumptions!$B$36*Assumptions!$B$38/12),0)</f>
        <v/>
      </c>
      <c r="Y8" s="21">
        <f>IF(AND(A8&gt;=$AE$4,A8&lt;=Assumptions!$B$59),(MIN(Program!$C$5,MAX(0,(A8-$AE$4+1)*Assumptions!$B$39))*Assumptions!$B$30*(1+Assumptions!$B$31)*(1-Assumptions!$B$32)+Program!$C$9*Assumptions!$B$43*Assumptions!$B$44/12+Program!$C$5*Assumptions!$B$35*Assumptions!$B$34-Program!$C$5*Assumptions!$B$33/12-Assumptions!$B$37*Assumptions!$B$38/12),0)</f>
        <v/>
      </c>
      <c r="Z8" s="31">
        <f>SUMIF(Sellout!$A$6:$A$35,A8,Sellout!$D$6:$D$35)*(1-Assumptions!$B$49)</f>
        <v/>
      </c>
      <c r="AA8" s="31">
        <f>IF(A8=Assumptions!$B$58,Ops!$B$23,0)+IF(A8=Assumptions!$B$59,Ops!$C$23,0)</f>
        <v/>
      </c>
      <c r="AB8" s="21">
        <f>-O8+X8+Y8+Z8+AA8</f>
        <v/>
      </c>
      <c r="AC8" s="21">
        <f>AB8+S8-V8</f>
        <v/>
      </c>
    </row>
    <row r="9">
      <c r="A9" s="42" t="n">
        <v>4</v>
      </c>
      <c r="B9" s="43">
        <f>EDATE(Assumptions!$B$7,A9-1)</f>
        <v/>
      </c>
      <c r="C9" s="30">
        <f>IF(A9&lt;Assumptions!$B$9,"Pre-dev",IF(A9&lt;$AE$2,"Construction",IF(A9&lt;=Assumptions!$B$59,"Lease-up / exit","Tail")))</f>
        <v/>
      </c>
      <c r="D9" s="42">
        <f>IF(AND(A9&gt;=Assumptions!$B$9,A9&lt;$AE$2),(A9-Assumptions!$B$9+1)*($AE$2-A9),0)</f>
        <v/>
      </c>
      <c r="E9" s="44">
        <f>IFERROR(D9/$AE$6,0)</f>
        <v/>
      </c>
      <c r="F9" s="21">
        <f>IF(A9=1,DevBudget!$B$5,0)</f>
        <v/>
      </c>
      <c r="G9" s="21">
        <f>E9*DevBudget!$B$6</f>
        <v/>
      </c>
      <c r="H9" s="21">
        <f>E9*DevBudget!$B$7</f>
        <v/>
      </c>
      <c r="I9" s="21">
        <f>E9*DevBudget!$B$8</f>
        <v/>
      </c>
      <c r="J9" s="21">
        <f>E9*(DevBudget!$B$9+DevBudget!$B$10)</f>
        <v/>
      </c>
      <c r="K9" s="21">
        <f>E9*DevBudget!$B$12</f>
        <v/>
      </c>
      <c r="L9" s="21">
        <f>E9*DevBudget!$B$13</f>
        <v/>
      </c>
      <c r="M9" s="21">
        <f>IF(A9=Assumptions!$B$9,Assumptions!$B$69+Assumptions!$B$72,0)+IF(A9=$AE$4,Assumptions!$B$70+Assumptions!$B$71+Assumptions!$B$73,0)</f>
        <v/>
      </c>
      <c r="N9" s="21">
        <f>E9*DevBudget!$B$16</f>
        <v/>
      </c>
      <c r="O9" s="21">
        <f>SUM(F9:N9)</f>
        <v/>
      </c>
      <c r="P9" s="21">
        <f>P8+O9</f>
        <v/>
      </c>
      <c r="Q9" s="21">
        <f>MIN(O9,MAX(0,DevBudget!$B$19-R8))</f>
        <v/>
      </c>
      <c r="R9" s="21">
        <f>R8+Q9</f>
        <v/>
      </c>
      <c r="S9" s="21">
        <f>MIN(MAX(0,O9-Q9),MAX(0,Assumptions!$B$24-T9-U9))</f>
        <v/>
      </c>
      <c r="T9" s="21">
        <f>W8</f>
        <v/>
      </c>
      <c r="U9" s="21">
        <f>T9*Assumptions!$B$25/12</f>
        <v/>
      </c>
      <c r="V9" s="21">
        <f>MIN(T9+U9+S9,MAX(0,Z9+AA9))</f>
        <v/>
      </c>
      <c r="W9" s="21">
        <f>T9+S9+U9-V9</f>
        <v/>
      </c>
      <c r="X9" s="21">
        <f>IF(AND(A9&gt;=$AE$2,A9&lt;=Assumptions!$B$58),(MIN(Program!$D$5,MAX(0,(A9-$AE$2+1)*Assumptions!$B$39))*Assumptions!$B$29*(1+Assumptions!$B$31)*(1-Assumptions!$B$32)+Program!$D$9*Assumptions!$B$43*Assumptions!$B$44/12+Program!$D$5*Assumptions!$B$35*Assumptions!$B$34-Program!$D$5*Assumptions!$B$33/12-Assumptions!$B$36*Assumptions!$B$38/12),0)</f>
        <v/>
      </c>
      <c r="Y9" s="21">
        <f>IF(AND(A9&gt;=$AE$4,A9&lt;=Assumptions!$B$59),(MIN(Program!$C$5,MAX(0,(A9-$AE$4+1)*Assumptions!$B$39))*Assumptions!$B$30*(1+Assumptions!$B$31)*(1-Assumptions!$B$32)+Program!$C$9*Assumptions!$B$43*Assumptions!$B$44/12+Program!$C$5*Assumptions!$B$35*Assumptions!$B$34-Program!$C$5*Assumptions!$B$33/12-Assumptions!$B$37*Assumptions!$B$38/12),0)</f>
        <v/>
      </c>
      <c r="Z9" s="31">
        <f>SUMIF(Sellout!$A$6:$A$35,A9,Sellout!$D$6:$D$35)*(1-Assumptions!$B$49)</f>
        <v/>
      </c>
      <c r="AA9" s="31">
        <f>IF(A9=Assumptions!$B$58,Ops!$B$23,0)+IF(A9=Assumptions!$B$59,Ops!$C$23,0)</f>
        <v/>
      </c>
      <c r="AB9" s="21">
        <f>-O9+X9+Y9+Z9+AA9</f>
        <v/>
      </c>
      <c r="AC9" s="21">
        <f>AB9+S9-V9</f>
        <v/>
      </c>
    </row>
    <row r="10">
      <c r="A10" s="42" t="n">
        <v>5</v>
      </c>
      <c r="B10" s="43">
        <f>EDATE(Assumptions!$B$7,A10-1)</f>
        <v/>
      </c>
      <c r="C10" s="30">
        <f>IF(A10&lt;Assumptions!$B$9,"Pre-dev",IF(A10&lt;$AE$2,"Construction",IF(A10&lt;=Assumptions!$B$59,"Lease-up / exit","Tail")))</f>
        <v/>
      </c>
      <c r="D10" s="42">
        <f>IF(AND(A10&gt;=Assumptions!$B$9,A10&lt;$AE$2),(A10-Assumptions!$B$9+1)*($AE$2-A10),0)</f>
        <v/>
      </c>
      <c r="E10" s="44">
        <f>IFERROR(D10/$AE$6,0)</f>
        <v/>
      </c>
      <c r="F10" s="21">
        <f>IF(A10=1,DevBudget!$B$5,0)</f>
        <v/>
      </c>
      <c r="G10" s="21">
        <f>E10*DevBudget!$B$6</f>
        <v/>
      </c>
      <c r="H10" s="21">
        <f>E10*DevBudget!$B$7</f>
        <v/>
      </c>
      <c r="I10" s="21">
        <f>E10*DevBudget!$B$8</f>
        <v/>
      </c>
      <c r="J10" s="21">
        <f>E10*(DevBudget!$B$9+DevBudget!$B$10)</f>
        <v/>
      </c>
      <c r="K10" s="21">
        <f>E10*DevBudget!$B$12</f>
        <v/>
      </c>
      <c r="L10" s="21">
        <f>E10*DevBudget!$B$13</f>
        <v/>
      </c>
      <c r="M10" s="21">
        <f>IF(A10=Assumptions!$B$9,Assumptions!$B$69+Assumptions!$B$72,0)+IF(A10=$AE$4,Assumptions!$B$70+Assumptions!$B$71+Assumptions!$B$73,0)</f>
        <v/>
      </c>
      <c r="N10" s="21">
        <f>E10*DevBudget!$B$16</f>
        <v/>
      </c>
      <c r="O10" s="21">
        <f>SUM(F10:N10)</f>
        <v/>
      </c>
      <c r="P10" s="21">
        <f>P9+O10</f>
        <v/>
      </c>
      <c r="Q10" s="21">
        <f>MIN(O10,MAX(0,DevBudget!$B$19-R9))</f>
        <v/>
      </c>
      <c r="R10" s="21">
        <f>R9+Q10</f>
        <v/>
      </c>
      <c r="S10" s="21">
        <f>MIN(MAX(0,O10-Q10),MAX(0,Assumptions!$B$24-T10-U10))</f>
        <v/>
      </c>
      <c r="T10" s="21">
        <f>W9</f>
        <v/>
      </c>
      <c r="U10" s="21">
        <f>T10*Assumptions!$B$25/12</f>
        <v/>
      </c>
      <c r="V10" s="21">
        <f>MIN(T10+U10+S10,MAX(0,Z10+AA10))</f>
        <v/>
      </c>
      <c r="W10" s="21">
        <f>T10+S10+U10-V10</f>
        <v/>
      </c>
      <c r="X10" s="21">
        <f>IF(AND(A10&gt;=$AE$2,A10&lt;=Assumptions!$B$58),(MIN(Program!$D$5,MAX(0,(A10-$AE$2+1)*Assumptions!$B$39))*Assumptions!$B$29*(1+Assumptions!$B$31)*(1-Assumptions!$B$32)+Program!$D$9*Assumptions!$B$43*Assumptions!$B$44/12+Program!$D$5*Assumptions!$B$35*Assumptions!$B$34-Program!$D$5*Assumptions!$B$33/12-Assumptions!$B$36*Assumptions!$B$38/12),0)</f>
        <v/>
      </c>
      <c r="Y10" s="21">
        <f>IF(AND(A10&gt;=$AE$4,A10&lt;=Assumptions!$B$59),(MIN(Program!$C$5,MAX(0,(A10-$AE$4+1)*Assumptions!$B$39))*Assumptions!$B$30*(1+Assumptions!$B$31)*(1-Assumptions!$B$32)+Program!$C$9*Assumptions!$B$43*Assumptions!$B$44/12+Program!$C$5*Assumptions!$B$35*Assumptions!$B$34-Program!$C$5*Assumptions!$B$33/12-Assumptions!$B$37*Assumptions!$B$38/12),0)</f>
        <v/>
      </c>
      <c r="Z10" s="31">
        <f>SUMIF(Sellout!$A$6:$A$35,A10,Sellout!$D$6:$D$35)*(1-Assumptions!$B$49)</f>
        <v/>
      </c>
      <c r="AA10" s="31">
        <f>IF(A10=Assumptions!$B$58,Ops!$B$23,0)+IF(A10=Assumptions!$B$59,Ops!$C$23,0)</f>
        <v/>
      </c>
      <c r="AB10" s="21">
        <f>-O10+X10+Y10+Z10+AA10</f>
        <v/>
      </c>
      <c r="AC10" s="21">
        <f>AB10+S10-V10</f>
        <v/>
      </c>
    </row>
    <row r="11">
      <c r="A11" s="42" t="n">
        <v>6</v>
      </c>
      <c r="B11" s="43">
        <f>EDATE(Assumptions!$B$7,A11-1)</f>
        <v/>
      </c>
      <c r="C11" s="30">
        <f>IF(A11&lt;Assumptions!$B$9,"Pre-dev",IF(A11&lt;$AE$2,"Construction",IF(A11&lt;=Assumptions!$B$59,"Lease-up / exit","Tail")))</f>
        <v/>
      </c>
      <c r="D11" s="42">
        <f>IF(AND(A11&gt;=Assumptions!$B$9,A11&lt;$AE$2),(A11-Assumptions!$B$9+1)*($AE$2-A11),0)</f>
        <v/>
      </c>
      <c r="E11" s="44">
        <f>IFERROR(D11/$AE$6,0)</f>
        <v/>
      </c>
      <c r="F11" s="21">
        <f>IF(A11=1,DevBudget!$B$5,0)</f>
        <v/>
      </c>
      <c r="G11" s="21">
        <f>E11*DevBudget!$B$6</f>
        <v/>
      </c>
      <c r="H11" s="21">
        <f>E11*DevBudget!$B$7</f>
        <v/>
      </c>
      <c r="I11" s="21">
        <f>E11*DevBudget!$B$8</f>
        <v/>
      </c>
      <c r="J11" s="21">
        <f>E11*(DevBudget!$B$9+DevBudget!$B$10)</f>
        <v/>
      </c>
      <c r="K11" s="21">
        <f>E11*DevBudget!$B$12</f>
        <v/>
      </c>
      <c r="L11" s="21">
        <f>E11*DevBudget!$B$13</f>
        <v/>
      </c>
      <c r="M11" s="21">
        <f>IF(A11=Assumptions!$B$9,Assumptions!$B$69+Assumptions!$B$72,0)+IF(A11=$AE$4,Assumptions!$B$70+Assumptions!$B$71+Assumptions!$B$73,0)</f>
        <v/>
      </c>
      <c r="N11" s="21">
        <f>E11*DevBudget!$B$16</f>
        <v/>
      </c>
      <c r="O11" s="21">
        <f>SUM(F11:N11)</f>
        <v/>
      </c>
      <c r="P11" s="21">
        <f>P10+O11</f>
        <v/>
      </c>
      <c r="Q11" s="21">
        <f>MIN(O11,MAX(0,DevBudget!$B$19-R10))</f>
        <v/>
      </c>
      <c r="R11" s="21">
        <f>R10+Q11</f>
        <v/>
      </c>
      <c r="S11" s="21">
        <f>MIN(MAX(0,O11-Q11),MAX(0,Assumptions!$B$24-T11-U11))</f>
        <v/>
      </c>
      <c r="T11" s="21">
        <f>W10</f>
        <v/>
      </c>
      <c r="U11" s="21">
        <f>T11*Assumptions!$B$25/12</f>
        <v/>
      </c>
      <c r="V11" s="21">
        <f>MIN(T11+U11+S11,MAX(0,Z11+AA11))</f>
        <v/>
      </c>
      <c r="W11" s="21">
        <f>T11+S11+U11-V11</f>
        <v/>
      </c>
      <c r="X11" s="21">
        <f>IF(AND(A11&gt;=$AE$2,A11&lt;=Assumptions!$B$58),(MIN(Program!$D$5,MAX(0,(A11-$AE$2+1)*Assumptions!$B$39))*Assumptions!$B$29*(1+Assumptions!$B$31)*(1-Assumptions!$B$32)+Program!$D$9*Assumptions!$B$43*Assumptions!$B$44/12+Program!$D$5*Assumptions!$B$35*Assumptions!$B$34-Program!$D$5*Assumptions!$B$33/12-Assumptions!$B$36*Assumptions!$B$38/12),0)</f>
        <v/>
      </c>
      <c r="Y11" s="21">
        <f>IF(AND(A11&gt;=$AE$4,A11&lt;=Assumptions!$B$59),(MIN(Program!$C$5,MAX(0,(A11-$AE$4+1)*Assumptions!$B$39))*Assumptions!$B$30*(1+Assumptions!$B$31)*(1-Assumptions!$B$32)+Program!$C$9*Assumptions!$B$43*Assumptions!$B$44/12+Program!$C$5*Assumptions!$B$35*Assumptions!$B$34-Program!$C$5*Assumptions!$B$33/12-Assumptions!$B$37*Assumptions!$B$38/12),0)</f>
        <v/>
      </c>
      <c r="Z11" s="31">
        <f>SUMIF(Sellout!$A$6:$A$35,A11,Sellout!$D$6:$D$35)*(1-Assumptions!$B$49)</f>
        <v/>
      </c>
      <c r="AA11" s="31">
        <f>IF(A11=Assumptions!$B$58,Ops!$B$23,0)+IF(A11=Assumptions!$B$59,Ops!$C$23,0)</f>
        <v/>
      </c>
      <c r="AB11" s="21">
        <f>-O11+X11+Y11+Z11+AA11</f>
        <v/>
      </c>
      <c r="AC11" s="21">
        <f>AB11+S11-V11</f>
        <v/>
      </c>
    </row>
    <row r="12">
      <c r="A12" s="42" t="n">
        <v>7</v>
      </c>
      <c r="B12" s="43">
        <f>EDATE(Assumptions!$B$7,A12-1)</f>
        <v/>
      </c>
      <c r="C12" s="30">
        <f>IF(A12&lt;Assumptions!$B$9,"Pre-dev",IF(A12&lt;$AE$2,"Construction",IF(A12&lt;=Assumptions!$B$59,"Lease-up / exit","Tail")))</f>
        <v/>
      </c>
      <c r="D12" s="42">
        <f>IF(AND(A12&gt;=Assumptions!$B$9,A12&lt;$AE$2),(A12-Assumptions!$B$9+1)*($AE$2-A12),0)</f>
        <v/>
      </c>
      <c r="E12" s="44">
        <f>IFERROR(D12/$AE$6,0)</f>
        <v/>
      </c>
      <c r="F12" s="21">
        <f>IF(A12=1,DevBudget!$B$5,0)</f>
        <v/>
      </c>
      <c r="G12" s="21">
        <f>E12*DevBudget!$B$6</f>
        <v/>
      </c>
      <c r="H12" s="21">
        <f>E12*DevBudget!$B$7</f>
        <v/>
      </c>
      <c r="I12" s="21">
        <f>E12*DevBudget!$B$8</f>
        <v/>
      </c>
      <c r="J12" s="21">
        <f>E12*(DevBudget!$B$9+DevBudget!$B$10)</f>
        <v/>
      </c>
      <c r="K12" s="21">
        <f>E12*DevBudget!$B$12</f>
        <v/>
      </c>
      <c r="L12" s="21">
        <f>E12*DevBudget!$B$13</f>
        <v/>
      </c>
      <c r="M12" s="21">
        <f>IF(A12=Assumptions!$B$9,Assumptions!$B$69+Assumptions!$B$72,0)+IF(A12=$AE$4,Assumptions!$B$70+Assumptions!$B$71+Assumptions!$B$73,0)</f>
        <v/>
      </c>
      <c r="N12" s="21">
        <f>E12*DevBudget!$B$16</f>
        <v/>
      </c>
      <c r="O12" s="21">
        <f>SUM(F12:N12)</f>
        <v/>
      </c>
      <c r="P12" s="21">
        <f>P11+O12</f>
        <v/>
      </c>
      <c r="Q12" s="21">
        <f>MIN(O12,MAX(0,DevBudget!$B$19-R11))</f>
        <v/>
      </c>
      <c r="R12" s="21">
        <f>R11+Q12</f>
        <v/>
      </c>
      <c r="S12" s="21">
        <f>MIN(MAX(0,O12-Q12),MAX(0,Assumptions!$B$24-T12-U12))</f>
        <v/>
      </c>
      <c r="T12" s="21">
        <f>W11</f>
        <v/>
      </c>
      <c r="U12" s="21">
        <f>T12*Assumptions!$B$25/12</f>
        <v/>
      </c>
      <c r="V12" s="21">
        <f>MIN(T12+U12+S12,MAX(0,Z12+AA12))</f>
        <v/>
      </c>
      <c r="W12" s="21">
        <f>T12+S12+U12-V12</f>
        <v/>
      </c>
      <c r="X12" s="21">
        <f>IF(AND(A12&gt;=$AE$2,A12&lt;=Assumptions!$B$58),(MIN(Program!$D$5,MAX(0,(A12-$AE$2+1)*Assumptions!$B$39))*Assumptions!$B$29*(1+Assumptions!$B$31)*(1-Assumptions!$B$32)+Program!$D$9*Assumptions!$B$43*Assumptions!$B$44/12+Program!$D$5*Assumptions!$B$35*Assumptions!$B$34-Program!$D$5*Assumptions!$B$33/12-Assumptions!$B$36*Assumptions!$B$38/12),0)</f>
        <v/>
      </c>
      <c r="Y12" s="21">
        <f>IF(AND(A12&gt;=$AE$4,A12&lt;=Assumptions!$B$59),(MIN(Program!$C$5,MAX(0,(A12-$AE$4+1)*Assumptions!$B$39))*Assumptions!$B$30*(1+Assumptions!$B$31)*(1-Assumptions!$B$32)+Program!$C$9*Assumptions!$B$43*Assumptions!$B$44/12+Program!$C$5*Assumptions!$B$35*Assumptions!$B$34-Program!$C$5*Assumptions!$B$33/12-Assumptions!$B$37*Assumptions!$B$38/12),0)</f>
        <v/>
      </c>
      <c r="Z12" s="31">
        <f>SUMIF(Sellout!$A$6:$A$35,A12,Sellout!$D$6:$D$35)*(1-Assumptions!$B$49)</f>
        <v/>
      </c>
      <c r="AA12" s="31">
        <f>IF(A12=Assumptions!$B$58,Ops!$B$23,0)+IF(A12=Assumptions!$B$59,Ops!$C$23,0)</f>
        <v/>
      </c>
      <c r="AB12" s="21">
        <f>-O12+X12+Y12+Z12+AA12</f>
        <v/>
      </c>
      <c r="AC12" s="21">
        <f>AB12+S12-V12</f>
        <v/>
      </c>
    </row>
    <row r="13">
      <c r="A13" s="42" t="n">
        <v>8</v>
      </c>
      <c r="B13" s="43">
        <f>EDATE(Assumptions!$B$7,A13-1)</f>
        <v/>
      </c>
      <c r="C13" s="30">
        <f>IF(A13&lt;Assumptions!$B$9,"Pre-dev",IF(A13&lt;$AE$2,"Construction",IF(A13&lt;=Assumptions!$B$59,"Lease-up / exit","Tail")))</f>
        <v/>
      </c>
      <c r="D13" s="42">
        <f>IF(AND(A13&gt;=Assumptions!$B$9,A13&lt;$AE$2),(A13-Assumptions!$B$9+1)*($AE$2-A13),0)</f>
        <v/>
      </c>
      <c r="E13" s="44">
        <f>IFERROR(D13/$AE$6,0)</f>
        <v/>
      </c>
      <c r="F13" s="21">
        <f>IF(A13=1,DevBudget!$B$5,0)</f>
        <v/>
      </c>
      <c r="G13" s="21">
        <f>E13*DevBudget!$B$6</f>
        <v/>
      </c>
      <c r="H13" s="21">
        <f>E13*DevBudget!$B$7</f>
        <v/>
      </c>
      <c r="I13" s="21">
        <f>E13*DevBudget!$B$8</f>
        <v/>
      </c>
      <c r="J13" s="21">
        <f>E13*(DevBudget!$B$9+DevBudget!$B$10)</f>
        <v/>
      </c>
      <c r="K13" s="21">
        <f>E13*DevBudget!$B$12</f>
        <v/>
      </c>
      <c r="L13" s="21">
        <f>E13*DevBudget!$B$13</f>
        <v/>
      </c>
      <c r="M13" s="21">
        <f>IF(A13=Assumptions!$B$9,Assumptions!$B$69+Assumptions!$B$72,0)+IF(A13=$AE$4,Assumptions!$B$70+Assumptions!$B$71+Assumptions!$B$73,0)</f>
        <v/>
      </c>
      <c r="N13" s="21">
        <f>E13*DevBudget!$B$16</f>
        <v/>
      </c>
      <c r="O13" s="21">
        <f>SUM(F13:N13)</f>
        <v/>
      </c>
      <c r="P13" s="21">
        <f>P12+O13</f>
        <v/>
      </c>
      <c r="Q13" s="21">
        <f>MIN(O13,MAX(0,DevBudget!$B$19-R12))</f>
        <v/>
      </c>
      <c r="R13" s="21">
        <f>R12+Q13</f>
        <v/>
      </c>
      <c r="S13" s="21">
        <f>MIN(MAX(0,O13-Q13),MAX(0,Assumptions!$B$24-T13-U13))</f>
        <v/>
      </c>
      <c r="T13" s="21">
        <f>W12</f>
        <v/>
      </c>
      <c r="U13" s="21">
        <f>T13*Assumptions!$B$25/12</f>
        <v/>
      </c>
      <c r="V13" s="21">
        <f>MIN(T13+U13+S13,MAX(0,Z13+AA13))</f>
        <v/>
      </c>
      <c r="W13" s="21">
        <f>T13+S13+U13-V13</f>
        <v/>
      </c>
      <c r="X13" s="21">
        <f>IF(AND(A13&gt;=$AE$2,A13&lt;=Assumptions!$B$58),(MIN(Program!$D$5,MAX(0,(A13-$AE$2+1)*Assumptions!$B$39))*Assumptions!$B$29*(1+Assumptions!$B$31)*(1-Assumptions!$B$32)+Program!$D$9*Assumptions!$B$43*Assumptions!$B$44/12+Program!$D$5*Assumptions!$B$35*Assumptions!$B$34-Program!$D$5*Assumptions!$B$33/12-Assumptions!$B$36*Assumptions!$B$38/12),0)</f>
        <v/>
      </c>
      <c r="Y13" s="21">
        <f>IF(AND(A13&gt;=$AE$4,A13&lt;=Assumptions!$B$59),(MIN(Program!$C$5,MAX(0,(A13-$AE$4+1)*Assumptions!$B$39))*Assumptions!$B$30*(1+Assumptions!$B$31)*(1-Assumptions!$B$32)+Program!$C$9*Assumptions!$B$43*Assumptions!$B$44/12+Program!$C$5*Assumptions!$B$35*Assumptions!$B$34-Program!$C$5*Assumptions!$B$33/12-Assumptions!$B$37*Assumptions!$B$38/12),0)</f>
        <v/>
      </c>
      <c r="Z13" s="31">
        <f>SUMIF(Sellout!$A$6:$A$35,A13,Sellout!$D$6:$D$35)*(1-Assumptions!$B$49)</f>
        <v/>
      </c>
      <c r="AA13" s="31">
        <f>IF(A13=Assumptions!$B$58,Ops!$B$23,0)+IF(A13=Assumptions!$B$59,Ops!$C$23,0)</f>
        <v/>
      </c>
      <c r="AB13" s="21">
        <f>-O13+X13+Y13+Z13+AA13</f>
        <v/>
      </c>
      <c r="AC13" s="21">
        <f>AB13+S13-V13</f>
        <v/>
      </c>
    </row>
    <row r="14">
      <c r="A14" s="42" t="n">
        <v>9</v>
      </c>
      <c r="B14" s="43">
        <f>EDATE(Assumptions!$B$7,A14-1)</f>
        <v/>
      </c>
      <c r="C14" s="30">
        <f>IF(A14&lt;Assumptions!$B$9,"Pre-dev",IF(A14&lt;$AE$2,"Construction",IF(A14&lt;=Assumptions!$B$59,"Lease-up / exit","Tail")))</f>
        <v/>
      </c>
      <c r="D14" s="42">
        <f>IF(AND(A14&gt;=Assumptions!$B$9,A14&lt;$AE$2),(A14-Assumptions!$B$9+1)*($AE$2-A14),0)</f>
        <v/>
      </c>
      <c r="E14" s="44">
        <f>IFERROR(D14/$AE$6,0)</f>
        <v/>
      </c>
      <c r="F14" s="21">
        <f>IF(A14=1,DevBudget!$B$5,0)</f>
        <v/>
      </c>
      <c r="G14" s="21">
        <f>E14*DevBudget!$B$6</f>
        <v/>
      </c>
      <c r="H14" s="21">
        <f>E14*DevBudget!$B$7</f>
        <v/>
      </c>
      <c r="I14" s="21">
        <f>E14*DevBudget!$B$8</f>
        <v/>
      </c>
      <c r="J14" s="21">
        <f>E14*(DevBudget!$B$9+DevBudget!$B$10)</f>
        <v/>
      </c>
      <c r="K14" s="21">
        <f>E14*DevBudget!$B$12</f>
        <v/>
      </c>
      <c r="L14" s="21">
        <f>E14*DevBudget!$B$13</f>
        <v/>
      </c>
      <c r="M14" s="21">
        <f>IF(A14=Assumptions!$B$9,Assumptions!$B$69+Assumptions!$B$72,0)+IF(A14=$AE$4,Assumptions!$B$70+Assumptions!$B$71+Assumptions!$B$73,0)</f>
        <v/>
      </c>
      <c r="N14" s="21">
        <f>E14*DevBudget!$B$16</f>
        <v/>
      </c>
      <c r="O14" s="21">
        <f>SUM(F14:N14)</f>
        <v/>
      </c>
      <c r="P14" s="21">
        <f>P13+O14</f>
        <v/>
      </c>
      <c r="Q14" s="21">
        <f>MIN(O14,MAX(0,DevBudget!$B$19-R13))</f>
        <v/>
      </c>
      <c r="R14" s="21">
        <f>R13+Q14</f>
        <v/>
      </c>
      <c r="S14" s="21">
        <f>MIN(MAX(0,O14-Q14),MAX(0,Assumptions!$B$24-T14-U14))</f>
        <v/>
      </c>
      <c r="T14" s="21">
        <f>W13</f>
        <v/>
      </c>
      <c r="U14" s="21">
        <f>T14*Assumptions!$B$25/12</f>
        <v/>
      </c>
      <c r="V14" s="21">
        <f>MIN(T14+U14+S14,MAX(0,Z14+AA14))</f>
        <v/>
      </c>
      <c r="W14" s="21">
        <f>T14+S14+U14-V14</f>
        <v/>
      </c>
      <c r="X14" s="21">
        <f>IF(AND(A14&gt;=$AE$2,A14&lt;=Assumptions!$B$58),(MIN(Program!$D$5,MAX(0,(A14-$AE$2+1)*Assumptions!$B$39))*Assumptions!$B$29*(1+Assumptions!$B$31)*(1-Assumptions!$B$32)+Program!$D$9*Assumptions!$B$43*Assumptions!$B$44/12+Program!$D$5*Assumptions!$B$35*Assumptions!$B$34-Program!$D$5*Assumptions!$B$33/12-Assumptions!$B$36*Assumptions!$B$38/12),0)</f>
        <v/>
      </c>
      <c r="Y14" s="21">
        <f>IF(AND(A14&gt;=$AE$4,A14&lt;=Assumptions!$B$59),(MIN(Program!$C$5,MAX(0,(A14-$AE$4+1)*Assumptions!$B$39))*Assumptions!$B$30*(1+Assumptions!$B$31)*(1-Assumptions!$B$32)+Program!$C$9*Assumptions!$B$43*Assumptions!$B$44/12+Program!$C$5*Assumptions!$B$35*Assumptions!$B$34-Program!$C$5*Assumptions!$B$33/12-Assumptions!$B$37*Assumptions!$B$38/12),0)</f>
        <v/>
      </c>
      <c r="Z14" s="31">
        <f>SUMIF(Sellout!$A$6:$A$35,A14,Sellout!$D$6:$D$35)*(1-Assumptions!$B$49)</f>
        <v/>
      </c>
      <c r="AA14" s="31">
        <f>IF(A14=Assumptions!$B$58,Ops!$B$23,0)+IF(A14=Assumptions!$B$59,Ops!$C$23,0)</f>
        <v/>
      </c>
      <c r="AB14" s="21">
        <f>-O14+X14+Y14+Z14+AA14</f>
        <v/>
      </c>
      <c r="AC14" s="21">
        <f>AB14+S14-V14</f>
        <v/>
      </c>
    </row>
    <row r="15">
      <c r="A15" s="42" t="n">
        <v>10</v>
      </c>
      <c r="B15" s="43">
        <f>EDATE(Assumptions!$B$7,A15-1)</f>
        <v/>
      </c>
      <c r="C15" s="30">
        <f>IF(A15&lt;Assumptions!$B$9,"Pre-dev",IF(A15&lt;$AE$2,"Construction",IF(A15&lt;=Assumptions!$B$59,"Lease-up / exit","Tail")))</f>
        <v/>
      </c>
      <c r="D15" s="42">
        <f>IF(AND(A15&gt;=Assumptions!$B$9,A15&lt;$AE$2),(A15-Assumptions!$B$9+1)*($AE$2-A15),0)</f>
        <v/>
      </c>
      <c r="E15" s="44">
        <f>IFERROR(D15/$AE$6,0)</f>
        <v/>
      </c>
      <c r="F15" s="21">
        <f>IF(A15=1,DevBudget!$B$5,0)</f>
        <v/>
      </c>
      <c r="G15" s="21">
        <f>E15*DevBudget!$B$6</f>
        <v/>
      </c>
      <c r="H15" s="21">
        <f>E15*DevBudget!$B$7</f>
        <v/>
      </c>
      <c r="I15" s="21">
        <f>E15*DevBudget!$B$8</f>
        <v/>
      </c>
      <c r="J15" s="21">
        <f>E15*(DevBudget!$B$9+DevBudget!$B$10)</f>
        <v/>
      </c>
      <c r="K15" s="21">
        <f>E15*DevBudget!$B$12</f>
        <v/>
      </c>
      <c r="L15" s="21">
        <f>E15*DevBudget!$B$13</f>
        <v/>
      </c>
      <c r="M15" s="21">
        <f>IF(A15=Assumptions!$B$9,Assumptions!$B$69+Assumptions!$B$72,0)+IF(A15=$AE$4,Assumptions!$B$70+Assumptions!$B$71+Assumptions!$B$73,0)</f>
        <v/>
      </c>
      <c r="N15" s="21">
        <f>E15*DevBudget!$B$16</f>
        <v/>
      </c>
      <c r="O15" s="21">
        <f>SUM(F15:N15)</f>
        <v/>
      </c>
      <c r="P15" s="21">
        <f>P14+O15</f>
        <v/>
      </c>
      <c r="Q15" s="21">
        <f>MIN(O15,MAX(0,DevBudget!$B$19-R14))</f>
        <v/>
      </c>
      <c r="R15" s="21">
        <f>R14+Q15</f>
        <v/>
      </c>
      <c r="S15" s="21">
        <f>MIN(MAX(0,O15-Q15),MAX(0,Assumptions!$B$24-T15-U15))</f>
        <v/>
      </c>
      <c r="T15" s="21">
        <f>W14</f>
        <v/>
      </c>
      <c r="U15" s="21">
        <f>T15*Assumptions!$B$25/12</f>
        <v/>
      </c>
      <c r="V15" s="21">
        <f>MIN(T15+U15+S15,MAX(0,Z15+AA15))</f>
        <v/>
      </c>
      <c r="W15" s="21">
        <f>T15+S15+U15-V15</f>
        <v/>
      </c>
      <c r="X15" s="21">
        <f>IF(AND(A15&gt;=$AE$2,A15&lt;=Assumptions!$B$58),(MIN(Program!$D$5,MAX(0,(A15-$AE$2+1)*Assumptions!$B$39))*Assumptions!$B$29*(1+Assumptions!$B$31)*(1-Assumptions!$B$32)+Program!$D$9*Assumptions!$B$43*Assumptions!$B$44/12+Program!$D$5*Assumptions!$B$35*Assumptions!$B$34-Program!$D$5*Assumptions!$B$33/12-Assumptions!$B$36*Assumptions!$B$38/12),0)</f>
        <v/>
      </c>
      <c r="Y15" s="21">
        <f>IF(AND(A15&gt;=$AE$4,A15&lt;=Assumptions!$B$59),(MIN(Program!$C$5,MAX(0,(A15-$AE$4+1)*Assumptions!$B$39))*Assumptions!$B$30*(1+Assumptions!$B$31)*(1-Assumptions!$B$32)+Program!$C$9*Assumptions!$B$43*Assumptions!$B$44/12+Program!$C$5*Assumptions!$B$35*Assumptions!$B$34-Program!$C$5*Assumptions!$B$33/12-Assumptions!$B$37*Assumptions!$B$38/12),0)</f>
        <v/>
      </c>
      <c r="Z15" s="31">
        <f>SUMIF(Sellout!$A$6:$A$35,A15,Sellout!$D$6:$D$35)*(1-Assumptions!$B$49)</f>
        <v/>
      </c>
      <c r="AA15" s="31">
        <f>IF(A15=Assumptions!$B$58,Ops!$B$23,0)+IF(A15=Assumptions!$B$59,Ops!$C$23,0)</f>
        <v/>
      </c>
      <c r="AB15" s="21">
        <f>-O15+X15+Y15+Z15+AA15</f>
        <v/>
      </c>
      <c r="AC15" s="21">
        <f>AB15+S15-V15</f>
        <v/>
      </c>
    </row>
    <row r="16">
      <c r="A16" s="42" t="n">
        <v>11</v>
      </c>
      <c r="B16" s="43">
        <f>EDATE(Assumptions!$B$7,A16-1)</f>
        <v/>
      </c>
      <c r="C16" s="30">
        <f>IF(A16&lt;Assumptions!$B$9,"Pre-dev",IF(A16&lt;$AE$2,"Construction",IF(A16&lt;=Assumptions!$B$59,"Lease-up / exit","Tail")))</f>
        <v/>
      </c>
      <c r="D16" s="42">
        <f>IF(AND(A16&gt;=Assumptions!$B$9,A16&lt;$AE$2),(A16-Assumptions!$B$9+1)*($AE$2-A16),0)</f>
        <v/>
      </c>
      <c r="E16" s="44">
        <f>IFERROR(D16/$AE$6,0)</f>
        <v/>
      </c>
      <c r="F16" s="21">
        <f>IF(A16=1,DevBudget!$B$5,0)</f>
        <v/>
      </c>
      <c r="G16" s="21">
        <f>E16*DevBudget!$B$6</f>
        <v/>
      </c>
      <c r="H16" s="21">
        <f>E16*DevBudget!$B$7</f>
        <v/>
      </c>
      <c r="I16" s="21">
        <f>E16*DevBudget!$B$8</f>
        <v/>
      </c>
      <c r="J16" s="21">
        <f>E16*(DevBudget!$B$9+DevBudget!$B$10)</f>
        <v/>
      </c>
      <c r="K16" s="21">
        <f>E16*DevBudget!$B$12</f>
        <v/>
      </c>
      <c r="L16" s="21">
        <f>E16*DevBudget!$B$13</f>
        <v/>
      </c>
      <c r="M16" s="21">
        <f>IF(A16=Assumptions!$B$9,Assumptions!$B$69+Assumptions!$B$72,0)+IF(A16=$AE$4,Assumptions!$B$70+Assumptions!$B$71+Assumptions!$B$73,0)</f>
        <v/>
      </c>
      <c r="N16" s="21">
        <f>E16*DevBudget!$B$16</f>
        <v/>
      </c>
      <c r="O16" s="21">
        <f>SUM(F16:N16)</f>
        <v/>
      </c>
      <c r="P16" s="21">
        <f>P15+O16</f>
        <v/>
      </c>
      <c r="Q16" s="21">
        <f>MIN(O16,MAX(0,DevBudget!$B$19-R15))</f>
        <v/>
      </c>
      <c r="R16" s="21">
        <f>R15+Q16</f>
        <v/>
      </c>
      <c r="S16" s="21">
        <f>MIN(MAX(0,O16-Q16),MAX(0,Assumptions!$B$24-T16-U16))</f>
        <v/>
      </c>
      <c r="T16" s="21">
        <f>W15</f>
        <v/>
      </c>
      <c r="U16" s="21">
        <f>T16*Assumptions!$B$25/12</f>
        <v/>
      </c>
      <c r="V16" s="21">
        <f>MIN(T16+U16+S16,MAX(0,Z16+AA16))</f>
        <v/>
      </c>
      <c r="W16" s="21">
        <f>T16+S16+U16-V16</f>
        <v/>
      </c>
      <c r="X16" s="21">
        <f>IF(AND(A16&gt;=$AE$2,A16&lt;=Assumptions!$B$58),(MIN(Program!$D$5,MAX(0,(A16-$AE$2+1)*Assumptions!$B$39))*Assumptions!$B$29*(1+Assumptions!$B$31)*(1-Assumptions!$B$32)+Program!$D$9*Assumptions!$B$43*Assumptions!$B$44/12+Program!$D$5*Assumptions!$B$35*Assumptions!$B$34-Program!$D$5*Assumptions!$B$33/12-Assumptions!$B$36*Assumptions!$B$38/12),0)</f>
        <v/>
      </c>
      <c r="Y16" s="21">
        <f>IF(AND(A16&gt;=$AE$4,A16&lt;=Assumptions!$B$59),(MIN(Program!$C$5,MAX(0,(A16-$AE$4+1)*Assumptions!$B$39))*Assumptions!$B$30*(1+Assumptions!$B$31)*(1-Assumptions!$B$32)+Program!$C$9*Assumptions!$B$43*Assumptions!$B$44/12+Program!$C$5*Assumptions!$B$35*Assumptions!$B$34-Program!$C$5*Assumptions!$B$33/12-Assumptions!$B$37*Assumptions!$B$38/12),0)</f>
        <v/>
      </c>
      <c r="Z16" s="31">
        <f>SUMIF(Sellout!$A$6:$A$35,A16,Sellout!$D$6:$D$35)*(1-Assumptions!$B$49)</f>
        <v/>
      </c>
      <c r="AA16" s="31">
        <f>IF(A16=Assumptions!$B$58,Ops!$B$23,0)+IF(A16=Assumptions!$B$59,Ops!$C$23,0)</f>
        <v/>
      </c>
      <c r="AB16" s="21">
        <f>-O16+X16+Y16+Z16+AA16</f>
        <v/>
      </c>
      <c r="AC16" s="21">
        <f>AB16+S16-V16</f>
        <v/>
      </c>
    </row>
    <row r="17">
      <c r="A17" s="42" t="n">
        <v>12</v>
      </c>
      <c r="B17" s="43">
        <f>EDATE(Assumptions!$B$7,A17-1)</f>
        <v/>
      </c>
      <c r="C17" s="30">
        <f>IF(A17&lt;Assumptions!$B$9,"Pre-dev",IF(A17&lt;$AE$2,"Construction",IF(A17&lt;=Assumptions!$B$59,"Lease-up / exit","Tail")))</f>
        <v/>
      </c>
      <c r="D17" s="42">
        <f>IF(AND(A17&gt;=Assumptions!$B$9,A17&lt;$AE$2),(A17-Assumptions!$B$9+1)*($AE$2-A17),0)</f>
        <v/>
      </c>
      <c r="E17" s="44">
        <f>IFERROR(D17/$AE$6,0)</f>
        <v/>
      </c>
      <c r="F17" s="21">
        <f>IF(A17=1,DevBudget!$B$5,0)</f>
        <v/>
      </c>
      <c r="G17" s="21">
        <f>E17*DevBudget!$B$6</f>
        <v/>
      </c>
      <c r="H17" s="21">
        <f>E17*DevBudget!$B$7</f>
        <v/>
      </c>
      <c r="I17" s="21">
        <f>E17*DevBudget!$B$8</f>
        <v/>
      </c>
      <c r="J17" s="21">
        <f>E17*(DevBudget!$B$9+DevBudget!$B$10)</f>
        <v/>
      </c>
      <c r="K17" s="21">
        <f>E17*DevBudget!$B$12</f>
        <v/>
      </c>
      <c r="L17" s="21">
        <f>E17*DevBudget!$B$13</f>
        <v/>
      </c>
      <c r="M17" s="21">
        <f>IF(A17=Assumptions!$B$9,Assumptions!$B$69+Assumptions!$B$72,0)+IF(A17=$AE$4,Assumptions!$B$70+Assumptions!$B$71+Assumptions!$B$73,0)</f>
        <v/>
      </c>
      <c r="N17" s="21">
        <f>E17*DevBudget!$B$16</f>
        <v/>
      </c>
      <c r="O17" s="21">
        <f>SUM(F17:N17)</f>
        <v/>
      </c>
      <c r="P17" s="21">
        <f>P16+O17</f>
        <v/>
      </c>
      <c r="Q17" s="21">
        <f>MIN(O17,MAX(0,DevBudget!$B$19-R16))</f>
        <v/>
      </c>
      <c r="R17" s="21">
        <f>R16+Q17</f>
        <v/>
      </c>
      <c r="S17" s="21">
        <f>MIN(MAX(0,O17-Q17),MAX(0,Assumptions!$B$24-T17-U17))</f>
        <v/>
      </c>
      <c r="T17" s="21">
        <f>W16</f>
        <v/>
      </c>
      <c r="U17" s="21">
        <f>T17*Assumptions!$B$25/12</f>
        <v/>
      </c>
      <c r="V17" s="21">
        <f>MIN(T17+U17+S17,MAX(0,Z17+AA17))</f>
        <v/>
      </c>
      <c r="W17" s="21">
        <f>T17+S17+U17-V17</f>
        <v/>
      </c>
      <c r="X17" s="21">
        <f>IF(AND(A17&gt;=$AE$2,A17&lt;=Assumptions!$B$58),(MIN(Program!$D$5,MAX(0,(A17-$AE$2+1)*Assumptions!$B$39))*Assumptions!$B$29*(1+Assumptions!$B$31)*(1-Assumptions!$B$32)+Program!$D$9*Assumptions!$B$43*Assumptions!$B$44/12+Program!$D$5*Assumptions!$B$35*Assumptions!$B$34-Program!$D$5*Assumptions!$B$33/12-Assumptions!$B$36*Assumptions!$B$38/12),0)</f>
        <v/>
      </c>
      <c r="Y17" s="21">
        <f>IF(AND(A17&gt;=$AE$4,A17&lt;=Assumptions!$B$59),(MIN(Program!$C$5,MAX(0,(A17-$AE$4+1)*Assumptions!$B$39))*Assumptions!$B$30*(1+Assumptions!$B$31)*(1-Assumptions!$B$32)+Program!$C$9*Assumptions!$B$43*Assumptions!$B$44/12+Program!$C$5*Assumptions!$B$35*Assumptions!$B$34-Program!$C$5*Assumptions!$B$33/12-Assumptions!$B$37*Assumptions!$B$38/12),0)</f>
        <v/>
      </c>
      <c r="Z17" s="31">
        <f>SUMIF(Sellout!$A$6:$A$35,A17,Sellout!$D$6:$D$35)*(1-Assumptions!$B$49)</f>
        <v/>
      </c>
      <c r="AA17" s="31">
        <f>IF(A17=Assumptions!$B$58,Ops!$B$23,0)+IF(A17=Assumptions!$B$59,Ops!$C$23,0)</f>
        <v/>
      </c>
      <c r="AB17" s="21">
        <f>-O17+X17+Y17+Z17+AA17</f>
        <v/>
      </c>
      <c r="AC17" s="21">
        <f>AB17+S17-V17</f>
        <v/>
      </c>
    </row>
    <row r="18">
      <c r="A18" s="42" t="n">
        <v>13</v>
      </c>
      <c r="B18" s="43">
        <f>EDATE(Assumptions!$B$7,A18-1)</f>
        <v/>
      </c>
      <c r="C18" s="30">
        <f>IF(A18&lt;Assumptions!$B$9,"Pre-dev",IF(A18&lt;$AE$2,"Construction",IF(A18&lt;=Assumptions!$B$59,"Lease-up / exit","Tail")))</f>
        <v/>
      </c>
      <c r="D18" s="42">
        <f>IF(AND(A18&gt;=Assumptions!$B$9,A18&lt;$AE$2),(A18-Assumptions!$B$9+1)*($AE$2-A18),0)</f>
        <v/>
      </c>
      <c r="E18" s="44">
        <f>IFERROR(D18/$AE$6,0)</f>
        <v/>
      </c>
      <c r="F18" s="21">
        <f>IF(A18=1,DevBudget!$B$5,0)</f>
        <v/>
      </c>
      <c r="G18" s="21">
        <f>E18*DevBudget!$B$6</f>
        <v/>
      </c>
      <c r="H18" s="21">
        <f>E18*DevBudget!$B$7</f>
        <v/>
      </c>
      <c r="I18" s="21">
        <f>E18*DevBudget!$B$8</f>
        <v/>
      </c>
      <c r="J18" s="21">
        <f>E18*(DevBudget!$B$9+DevBudget!$B$10)</f>
        <v/>
      </c>
      <c r="K18" s="21">
        <f>E18*DevBudget!$B$12</f>
        <v/>
      </c>
      <c r="L18" s="21">
        <f>E18*DevBudget!$B$13</f>
        <v/>
      </c>
      <c r="M18" s="21">
        <f>IF(A18=Assumptions!$B$9,Assumptions!$B$69+Assumptions!$B$72,0)+IF(A18=$AE$4,Assumptions!$B$70+Assumptions!$B$71+Assumptions!$B$73,0)</f>
        <v/>
      </c>
      <c r="N18" s="21">
        <f>E18*DevBudget!$B$16</f>
        <v/>
      </c>
      <c r="O18" s="21">
        <f>SUM(F18:N18)</f>
        <v/>
      </c>
      <c r="P18" s="21">
        <f>P17+O18</f>
        <v/>
      </c>
      <c r="Q18" s="21">
        <f>MIN(O18,MAX(0,DevBudget!$B$19-R17))</f>
        <v/>
      </c>
      <c r="R18" s="21">
        <f>R17+Q18</f>
        <v/>
      </c>
      <c r="S18" s="21">
        <f>MIN(MAX(0,O18-Q18),MAX(0,Assumptions!$B$24-T18-U18))</f>
        <v/>
      </c>
      <c r="T18" s="21">
        <f>W17</f>
        <v/>
      </c>
      <c r="U18" s="21">
        <f>T18*Assumptions!$B$25/12</f>
        <v/>
      </c>
      <c r="V18" s="21">
        <f>MIN(T18+U18+S18,MAX(0,Z18+AA18))</f>
        <v/>
      </c>
      <c r="W18" s="21">
        <f>T18+S18+U18-V18</f>
        <v/>
      </c>
      <c r="X18" s="21">
        <f>IF(AND(A18&gt;=$AE$2,A18&lt;=Assumptions!$B$58),(MIN(Program!$D$5,MAX(0,(A18-$AE$2+1)*Assumptions!$B$39))*Assumptions!$B$29*(1+Assumptions!$B$31)*(1-Assumptions!$B$32)+Program!$D$9*Assumptions!$B$43*Assumptions!$B$44/12+Program!$D$5*Assumptions!$B$35*Assumptions!$B$34-Program!$D$5*Assumptions!$B$33/12-Assumptions!$B$36*Assumptions!$B$38/12),0)</f>
        <v/>
      </c>
      <c r="Y18" s="21">
        <f>IF(AND(A18&gt;=$AE$4,A18&lt;=Assumptions!$B$59),(MIN(Program!$C$5,MAX(0,(A18-$AE$4+1)*Assumptions!$B$39))*Assumptions!$B$30*(1+Assumptions!$B$31)*(1-Assumptions!$B$32)+Program!$C$9*Assumptions!$B$43*Assumptions!$B$44/12+Program!$C$5*Assumptions!$B$35*Assumptions!$B$34-Program!$C$5*Assumptions!$B$33/12-Assumptions!$B$37*Assumptions!$B$38/12),0)</f>
        <v/>
      </c>
      <c r="Z18" s="31">
        <f>SUMIF(Sellout!$A$6:$A$35,A18,Sellout!$D$6:$D$35)*(1-Assumptions!$B$49)</f>
        <v/>
      </c>
      <c r="AA18" s="31">
        <f>IF(A18=Assumptions!$B$58,Ops!$B$23,0)+IF(A18=Assumptions!$B$59,Ops!$C$23,0)</f>
        <v/>
      </c>
      <c r="AB18" s="21">
        <f>-O18+X18+Y18+Z18+AA18</f>
        <v/>
      </c>
      <c r="AC18" s="21">
        <f>AB18+S18-V18</f>
        <v/>
      </c>
    </row>
    <row r="19">
      <c r="A19" s="42" t="n">
        <v>14</v>
      </c>
      <c r="B19" s="43">
        <f>EDATE(Assumptions!$B$7,A19-1)</f>
        <v/>
      </c>
      <c r="C19" s="30">
        <f>IF(A19&lt;Assumptions!$B$9,"Pre-dev",IF(A19&lt;$AE$2,"Construction",IF(A19&lt;=Assumptions!$B$59,"Lease-up / exit","Tail")))</f>
        <v/>
      </c>
      <c r="D19" s="42">
        <f>IF(AND(A19&gt;=Assumptions!$B$9,A19&lt;$AE$2),(A19-Assumptions!$B$9+1)*($AE$2-A19),0)</f>
        <v/>
      </c>
      <c r="E19" s="44">
        <f>IFERROR(D19/$AE$6,0)</f>
        <v/>
      </c>
      <c r="F19" s="21">
        <f>IF(A19=1,DevBudget!$B$5,0)</f>
        <v/>
      </c>
      <c r="G19" s="21">
        <f>E19*DevBudget!$B$6</f>
        <v/>
      </c>
      <c r="H19" s="21">
        <f>E19*DevBudget!$B$7</f>
        <v/>
      </c>
      <c r="I19" s="21">
        <f>E19*DevBudget!$B$8</f>
        <v/>
      </c>
      <c r="J19" s="21">
        <f>E19*(DevBudget!$B$9+DevBudget!$B$10)</f>
        <v/>
      </c>
      <c r="K19" s="21">
        <f>E19*DevBudget!$B$12</f>
        <v/>
      </c>
      <c r="L19" s="21">
        <f>E19*DevBudget!$B$13</f>
        <v/>
      </c>
      <c r="M19" s="21">
        <f>IF(A19=Assumptions!$B$9,Assumptions!$B$69+Assumptions!$B$72,0)+IF(A19=$AE$4,Assumptions!$B$70+Assumptions!$B$71+Assumptions!$B$73,0)</f>
        <v/>
      </c>
      <c r="N19" s="21">
        <f>E19*DevBudget!$B$16</f>
        <v/>
      </c>
      <c r="O19" s="21">
        <f>SUM(F19:N19)</f>
        <v/>
      </c>
      <c r="P19" s="21">
        <f>P18+O19</f>
        <v/>
      </c>
      <c r="Q19" s="21">
        <f>MIN(O19,MAX(0,DevBudget!$B$19-R18))</f>
        <v/>
      </c>
      <c r="R19" s="21">
        <f>R18+Q19</f>
        <v/>
      </c>
      <c r="S19" s="21">
        <f>MIN(MAX(0,O19-Q19),MAX(0,Assumptions!$B$24-T19-U19))</f>
        <v/>
      </c>
      <c r="T19" s="21">
        <f>W18</f>
        <v/>
      </c>
      <c r="U19" s="21">
        <f>T19*Assumptions!$B$25/12</f>
        <v/>
      </c>
      <c r="V19" s="21">
        <f>MIN(T19+U19+S19,MAX(0,Z19+AA19))</f>
        <v/>
      </c>
      <c r="W19" s="21">
        <f>T19+S19+U19-V19</f>
        <v/>
      </c>
      <c r="X19" s="21">
        <f>IF(AND(A19&gt;=$AE$2,A19&lt;=Assumptions!$B$58),(MIN(Program!$D$5,MAX(0,(A19-$AE$2+1)*Assumptions!$B$39))*Assumptions!$B$29*(1+Assumptions!$B$31)*(1-Assumptions!$B$32)+Program!$D$9*Assumptions!$B$43*Assumptions!$B$44/12+Program!$D$5*Assumptions!$B$35*Assumptions!$B$34-Program!$D$5*Assumptions!$B$33/12-Assumptions!$B$36*Assumptions!$B$38/12),0)</f>
        <v/>
      </c>
      <c r="Y19" s="21">
        <f>IF(AND(A19&gt;=$AE$4,A19&lt;=Assumptions!$B$59),(MIN(Program!$C$5,MAX(0,(A19-$AE$4+1)*Assumptions!$B$39))*Assumptions!$B$30*(1+Assumptions!$B$31)*(1-Assumptions!$B$32)+Program!$C$9*Assumptions!$B$43*Assumptions!$B$44/12+Program!$C$5*Assumptions!$B$35*Assumptions!$B$34-Program!$C$5*Assumptions!$B$33/12-Assumptions!$B$37*Assumptions!$B$38/12),0)</f>
        <v/>
      </c>
      <c r="Z19" s="31">
        <f>SUMIF(Sellout!$A$6:$A$35,A19,Sellout!$D$6:$D$35)*(1-Assumptions!$B$49)</f>
        <v/>
      </c>
      <c r="AA19" s="31">
        <f>IF(A19=Assumptions!$B$58,Ops!$B$23,0)+IF(A19=Assumptions!$B$59,Ops!$C$23,0)</f>
        <v/>
      </c>
      <c r="AB19" s="21">
        <f>-O19+X19+Y19+Z19+AA19</f>
        <v/>
      </c>
      <c r="AC19" s="21">
        <f>AB19+S19-V19</f>
        <v/>
      </c>
    </row>
    <row r="20">
      <c r="A20" s="42" t="n">
        <v>15</v>
      </c>
      <c r="B20" s="43">
        <f>EDATE(Assumptions!$B$7,A20-1)</f>
        <v/>
      </c>
      <c r="C20" s="30">
        <f>IF(A20&lt;Assumptions!$B$9,"Pre-dev",IF(A20&lt;$AE$2,"Construction",IF(A20&lt;=Assumptions!$B$59,"Lease-up / exit","Tail")))</f>
        <v/>
      </c>
      <c r="D20" s="42">
        <f>IF(AND(A20&gt;=Assumptions!$B$9,A20&lt;$AE$2),(A20-Assumptions!$B$9+1)*($AE$2-A20),0)</f>
        <v/>
      </c>
      <c r="E20" s="44">
        <f>IFERROR(D20/$AE$6,0)</f>
        <v/>
      </c>
      <c r="F20" s="21">
        <f>IF(A20=1,DevBudget!$B$5,0)</f>
        <v/>
      </c>
      <c r="G20" s="21">
        <f>E20*DevBudget!$B$6</f>
        <v/>
      </c>
      <c r="H20" s="21">
        <f>E20*DevBudget!$B$7</f>
        <v/>
      </c>
      <c r="I20" s="21">
        <f>E20*DevBudget!$B$8</f>
        <v/>
      </c>
      <c r="J20" s="21">
        <f>E20*(DevBudget!$B$9+DevBudget!$B$10)</f>
        <v/>
      </c>
      <c r="K20" s="21">
        <f>E20*DevBudget!$B$12</f>
        <v/>
      </c>
      <c r="L20" s="21">
        <f>E20*DevBudget!$B$13</f>
        <v/>
      </c>
      <c r="M20" s="21">
        <f>IF(A20=Assumptions!$B$9,Assumptions!$B$69+Assumptions!$B$72,0)+IF(A20=$AE$4,Assumptions!$B$70+Assumptions!$B$71+Assumptions!$B$73,0)</f>
        <v/>
      </c>
      <c r="N20" s="21">
        <f>E20*DevBudget!$B$16</f>
        <v/>
      </c>
      <c r="O20" s="21">
        <f>SUM(F20:N20)</f>
        <v/>
      </c>
      <c r="P20" s="21">
        <f>P19+O20</f>
        <v/>
      </c>
      <c r="Q20" s="21">
        <f>MIN(O20,MAX(0,DevBudget!$B$19-R19))</f>
        <v/>
      </c>
      <c r="R20" s="21">
        <f>R19+Q20</f>
        <v/>
      </c>
      <c r="S20" s="21">
        <f>MIN(MAX(0,O20-Q20),MAX(0,Assumptions!$B$24-T20-U20))</f>
        <v/>
      </c>
      <c r="T20" s="21">
        <f>W19</f>
        <v/>
      </c>
      <c r="U20" s="21">
        <f>T20*Assumptions!$B$25/12</f>
        <v/>
      </c>
      <c r="V20" s="21">
        <f>MIN(T20+U20+S20,MAX(0,Z20+AA20))</f>
        <v/>
      </c>
      <c r="W20" s="21">
        <f>T20+S20+U20-V20</f>
        <v/>
      </c>
      <c r="X20" s="21">
        <f>IF(AND(A20&gt;=$AE$2,A20&lt;=Assumptions!$B$58),(MIN(Program!$D$5,MAX(0,(A20-$AE$2+1)*Assumptions!$B$39))*Assumptions!$B$29*(1+Assumptions!$B$31)*(1-Assumptions!$B$32)+Program!$D$9*Assumptions!$B$43*Assumptions!$B$44/12+Program!$D$5*Assumptions!$B$35*Assumptions!$B$34-Program!$D$5*Assumptions!$B$33/12-Assumptions!$B$36*Assumptions!$B$38/12),0)</f>
        <v/>
      </c>
      <c r="Y20" s="21">
        <f>IF(AND(A20&gt;=$AE$4,A20&lt;=Assumptions!$B$59),(MIN(Program!$C$5,MAX(0,(A20-$AE$4+1)*Assumptions!$B$39))*Assumptions!$B$30*(1+Assumptions!$B$31)*(1-Assumptions!$B$32)+Program!$C$9*Assumptions!$B$43*Assumptions!$B$44/12+Program!$C$5*Assumptions!$B$35*Assumptions!$B$34-Program!$C$5*Assumptions!$B$33/12-Assumptions!$B$37*Assumptions!$B$38/12),0)</f>
        <v/>
      </c>
      <c r="Z20" s="31">
        <f>SUMIF(Sellout!$A$6:$A$35,A20,Sellout!$D$6:$D$35)*(1-Assumptions!$B$49)</f>
        <v/>
      </c>
      <c r="AA20" s="31">
        <f>IF(A20=Assumptions!$B$58,Ops!$B$23,0)+IF(A20=Assumptions!$B$59,Ops!$C$23,0)</f>
        <v/>
      </c>
      <c r="AB20" s="21">
        <f>-O20+X20+Y20+Z20+AA20</f>
        <v/>
      </c>
      <c r="AC20" s="21">
        <f>AB20+S20-V20</f>
        <v/>
      </c>
    </row>
    <row r="21">
      <c r="A21" s="42" t="n">
        <v>16</v>
      </c>
      <c r="B21" s="43">
        <f>EDATE(Assumptions!$B$7,A21-1)</f>
        <v/>
      </c>
      <c r="C21" s="30">
        <f>IF(A21&lt;Assumptions!$B$9,"Pre-dev",IF(A21&lt;$AE$2,"Construction",IF(A21&lt;=Assumptions!$B$59,"Lease-up / exit","Tail")))</f>
        <v/>
      </c>
      <c r="D21" s="42">
        <f>IF(AND(A21&gt;=Assumptions!$B$9,A21&lt;$AE$2),(A21-Assumptions!$B$9+1)*($AE$2-A21),0)</f>
        <v/>
      </c>
      <c r="E21" s="44">
        <f>IFERROR(D21/$AE$6,0)</f>
        <v/>
      </c>
      <c r="F21" s="21">
        <f>IF(A21=1,DevBudget!$B$5,0)</f>
        <v/>
      </c>
      <c r="G21" s="21">
        <f>E21*DevBudget!$B$6</f>
        <v/>
      </c>
      <c r="H21" s="21">
        <f>E21*DevBudget!$B$7</f>
        <v/>
      </c>
      <c r="I21" s="21">
        <f>E21*DevBudget!$B$8</f>
        <v/>
      </c>
      <c r="J21" s="21">
        <f>E21*(DevBudget!$B$9+DevBudget!$B$10)</f>
        <v/>
      </c>
      <c r="K21" s="21">
        <f>E21*DevBudget!$B$12</f>
        <v/>
      </c>
      <c r="L21" s="21">
        <f>E21*DevBudget!$B$13</f>
        <v/>
      </c>
      <c r="M21" s="21">
        <f>IF(A21=Assumptions!$B$9,Assumptions!$B$69+Assumptions!$B$72,0)+IF(A21=$AE$4,Assumptions!$B$70+Assumptions!$B$71+Assumptions!$B$73,0)</f>
        <v/>
      </c>
      <c r="N21" s="21">
        <f>E21*DevBudget!$B$16</f>
        <v/>
      </c>
      <c r="O21" s="21">
        <f>SUM(F21:N21)</f>
        <v/>
      </c>
      <c r="P21" s="21">
        <f>P20+O21</f>
        <v/>
      </c>
      <c r="Q21" s="21">
        <f>MIN(O21,MAX(0,DevBudget!$B$19-R20))</f>
        <v/>
      </c>
      <c r="R21" s="21">
        <f>R20+Q21</f>
        <v/>
      </c>
      <c r="S21" s="21">
        <f>MIN(MAX(0,O21-Q21),MAX(0,Assumptions!$B$24-T21-U21))</f>
        <v/>
      </c>
      <c r="T21" s="21">
        <f>W20</f>
        <v/>
      </c>
      <c r="U21" s="21">
        <f>T21*Assumptions!$B$25/12</f>
        <v/>
      </c>
      <c r="V21" s="21">
        <f>MIN(T21+U21+S21,MAX(0,Z21+AA21))</f>
        <v/>
      </c>
      <c r="W21" s="21">
        <f>T21+S21+U21-V21</f>
        <v/>
      </c>
      <c r="X21" s="21">
        <f>IF(AND(A21&gt;=$AE$2,A21&lt;=Assumptions!$B$58),(MIN(Program!$D$5,MAX(0,(A21-$AE$2+1)*Assumptions!$B$39))*Assumptions!$B$29*(1+Assumptions!$B$31)*(1-Assumptions!$B$32)+Program!$D$9*Assumptions!$B$43*Assumptions!$B$44/12+Program!$D$5*Assumptions!$B$35*Assumptions!$B$34-Program!$D$5*Assumptions!$B$33/12-Assumptions!$B$36*Assumptions!$B$38/12),0)</f>
        <v/>
      </c>
      <c r="Y21" s="21">
        <f>IF(AND(A21&gt;=$AE$4,A21&lt;=Assumptions!$B$59),(MIN(Program!$C$5,MAX(0,(A21-$AE$4+1)*Assumptions!$B$39))*Assumptions!$B$30*(1+Assumptions!$B$31)*(1-Assumptions!$B$32)+Program!$C$9*Assumptions!$B$43*Assumptions!$B$44/12+Program!$C$5*Assumptions!$B$35*Assumptions!$B$34-Program!$C$5*Assumptions!$B$33/12-Assumptions!$B$37*Assumptions!$B$38/12),0)</f>
        <v/>
      </c>
      <c r="Z21" s="31">
        <f>SUMIF(Sellout!$A$6:$A$35,A21,Sellout!$D$6:$D$35)*(1-Assumptions!$B$49)</f>
        <v/>
      </c>
      <c r="AA21" s="31">
        <f>IF(A21=Assumptions!$B$58,Ops!$B$23,0)+IF(A21=Assumptions!$B$59,Ops!$C$23,0)</f>
        <v/>
      </c>
      <c r="AB21" s="21">
        <f>-O21+X21+Y21+Z21+AA21</f>
        <v/>
      </c>
      <c r="AC21" s="21">
        <f>AB21+S21-V21</f>
        <v/>
      </c>
    </row>
    <row r="22">
      <c r="A22" s="42" t="n">
        <v>17</v>
      </c>
      <c r="B22" s="43">
        <f>EDATE(Assumptions!$B$7,A22-1)</f>
        <v/>
      </c>
      <c r="C22" s="30">
        <f>IF(A22&lt;Assumptions!$B$9,"Pre-dev",IF(A22&lt;$AE$2,"Construction",IF(A22&lt;=Assumptions!$B$59,"Lease-up / exit","Tail")))</f>
        <v/>
      </c>
      <c r="D22" s="42">
        <f>IF(AND(A22&gt;=Assumptions!$B$9,A22&lt;$AE$2),(A22-Assumptions!$B$9+1)*($AE$2-A22),0)</f>
        <v/>
      </c>
      <c r="E22" s="44">
        <f>IFERROR(D22/$AE$6,0)</f>
        <v/>
      </c>
      <c r="F22" s="21">
        <f>IF(A22=1,DevBudget!$B$5,0)</f>
        <v/>
      </c>
      <c r="G22" s="21">
        <f>E22*DevBudget!$B$6</f>
        <v/>
      </c>
      <c r="H22" s="21">
        <f>E22*DevBudget!$B$7</f>
        <v/>
      </c>
      <c r="I22" s="21">
        <f>E22*DevBudget!$B$8</f>
        <v/>
      </c>
      <c r="J22" s="21">
        <f>E22*(DevBudget!$B$9+DevBudget!$B$10)</f>
        <v/>
      </c>
      <c r="K22" s="21">
        <f>E22*DevBudget!$B$12</f>
        <v/>
      </c>
      <c r="L22" s="21">
        <f>E22*DevBudget!$B$13</f>
        <v/>
      </c>
      <c r="M22" s="21">
        <f>IF(A22=Assumptions!$B$9,Assumptions!$B$69+Assumptions!$B$72,0)+IF(A22=$AE$4,Assumptions!$B$70+Assumptions!$B$71+Assumptions!$B$73,0)</f>
        <v/>
      </c>
      <c r="N22" s="21">
        <f>E22*DevBudget!$B$16</f>
        <v/>
      </c>
      <c r="O22" s="21">
        <f>SUM(F22:N22)</f>
        <v/>
      </c>
      <c r="P22" s="21">
        <f>P21+O22</f>
        <v/>
      </c>
      <c r="Q22" s="21">
        <f>MIN(O22,MAX(0,DevBudget!$B$19-R21))</f>
        <v/>
      </c>
      <c r="R22" s="21">
        <f>R21+Q22</f>
        <v/>
      </c>
      <c r="S22" s="21">
        <f>MIN(MAX(0,O22-Q22),MAX(0,Assumptions!$B$24-T22-U22))</f>
        <v/>
      </c>
      <c r="T22" s="21">
        <f>W21</f>
        <v/>
      </c>
      <c r="U22" s="21">
        <f>T22*Assumptions!$B$25/12</f>
        <v/>
      </c>
      <c r="V22" s="21">
        <f>MIN(T22+U22+S22,MAX(0,Z22+AA22))</f>
        <v/>
      </c>
      <c r="W22" s="21">
        <f>T22+S22+U22-V22</f>
        <v/>
      </c>
      <c r="X22" s="21">
        <f>IF(AND(A22&gt;=$AE$2,A22&lt;=Assumptions!$B$58),(MIN(Program!$D$5,MAX(0,(A22-$AE$2+1)*Assumptions!$B$39))*Assumptions!$B$29*(1+Assumptions!$B$31)*(1-Assumptions!$B$32)+Program!$D$9*Assumptions!$B$43*Assumptions!$B$44/12+Program!$D$5*Assumptions!$B$35*Assumptions!$B$34-Program!$D$5*Assumptions!$B$33/12-Assumptions!$B$36*Assumptions!$B$38/12),0)</f>
        <v/>
      </c>
      <c r="Y22" s="21">
        <f>IF(AND(A22&gt;=$AE$4,A22&lt;=Assumptions!$B$59),(MIN(Program!$C$5,MAX(0,(A22-$AE$4+1)*Assumptions!$B$39))*Assumptions!$B$30*(1+Assumptions!$B$31)*(1-Assumptions!$B$32)+Program!$C$9*Assumptions!$B$43*Assumptions!$B$44/12+Program!$C$5*Assumptions!$B$35*Assumptions!$B$34-Program!$C$5*Assumptions!$B$33/12-Assumptions!$B$37*Assumptions!$B$38/12),0)</f>
        <v/>
      </c>
      <c r="Z22" s="31">
        <f>SUMIF(Sellout!$A$6:$A$35,A22,Sellout!$D$6:$D$35)*(1-Assumptions!$B$49)</f>
        <v/>
      </c>
      <c r="AA22" s="31">
        <f>IF(A22=Assumptions!$B$58,Ops!$B$23,0)+IF(A22=Assumptions!$B$59,Ops!$C$23,0)</f>
        <v/>
      </c>
      <c r="AB22" s="21">
        <f>-O22+X22+Y22+Z22+AA22</f>
        <v/>
      </c>
      <c r="AC22" s="21">
        <f>AB22+S22-V22</f>
        <v/>
      </c>
    </row>
    <row r="23">
      <c r="A23" s="42" t="n">
        <v>18</v>
      </c>
      <c r="B23" s="43">
        <f>EDATE(Assumptions!$B$7,A23-1)</f>
        <v/>
      </c>
      <c r="C23" s="30">
        <f>IF(A23&lt;Assumptions!$B$9,"Pre-dev",IF(A23&lt;$AE$2,"Construction",IF(A23&lt;=Assumptions!$B$59,"Lease-up / exit","Tail")))</f>
        <v/>
      </c>
      <c r="D23" s="42">
        <f>IF(AND(A23&gt;=Assumptions!$B$9,A23&lt;$AE$2),(A23-Assumptions!$B$9+1)*($AE$2-A23),0)</f>
        <v/>
      </c>
      <c r="E23" s="44">
        <f>IFERROR(D23/$AE$6,0)</f>
        <v/>
      </c>
      <c r="F23" s="21">
        <f>IF(A23=1,DevBudget!$B$5,0)</f>
        <v/>
      </c>
      <c r="G23" s="21">
        <f>E23*DevBudget!$B$6</f>
        <v/>
      </c>
      <c r="H23" s="21">
        <f>E23*DevBudget!$B$7</f>
        <v/>
      </c>
      <c r="I23" s="21">
        <f>E23*DevBudget!$B$8</f>
        <v/>
      </c>
      <c r="J23" s="21">
        <f>E23*(DevBudget!$B$9+DevBudget!$B$10)</f>
        <v/>
      </c>
      <c r="K23" s="21">
        <f>E23*DevBudget!$B$12</f>
        <v/>
      </c>
      <c r="L23" s="21">
        <f>E23*DevBudget!$B$13</f>
        <v/>
      </c>
      <c r="M23" s="21">
        <f>IF(A23=Assumptions!$B$9,Assumptions!$B$69+Assumptions!$B$72,0)+IF(A23=$AE$4,Assumptions!$B$70+Assumptions!$B$71+Assumptions!$B$73,0)</f>
        <v/>
      </c>
      <c r="N23" s="21">
        <f>E23*DevBudget!$B$16</f>
        <v/>
      </c>
      <c r="O23" s="21">
        <f>SUM(F23:N23)</f>
        <v/>
      </c>
      <c r="P23" s="21">
        <f>P22+O23</f>
        <v/>
      </c>
      <c r="Q23" s="21">
        <f>MIN(O23,MAX(0,DevBudget!$B$19-R22))</f>
        <v/>
      </c>
      <c r="R23" s="21">
        <f>R22+Q23</f>
        <v/>
      </c>
      <c r="S23" s="21">
        <f>MIN(MAX(0,O23-Q23),MAX(0,Assumptions!$B$24-T23-U23))</f>
        <v/>
      </c>
      <c r="T23" s="21">
        <f>W22</f>
        <v/>
      </c>
      <c r="U23" s="21">
        <f>T23*Assumptions!$B$25/12</f>
        <v/>
      </c>
      <c r="V23" s="21">
        <f>MIN(T23+U23+S23,MAX(0,Z23+AA23))</f>
        <v/>
      </c>
      <c r="W23" s="21">
        <f>T23+S23+U23-V23</f>
        <v/>
      </c>
      <c r="X23" s="21">
        <f>IF(AND(A23&gt;=$AE$2,A23&lt;=Assumptions!$B$58),(MIN(Program!$D$5,MAX(0,(A23-$AE$2+1)*Assumptions!$B$39))*Assumptions!$B$29*(1+Assumptions!$B$31)*(1-Assumptions!$B$32)+Program!$D$9*Assumptions!$B$43*Assumptions!$B$44/12+Program!$D$5*Assumptions!$B$35*Assumptions!$B$34-Program!$D$5*Assumptions!$B$33/12-Assumptions!$B$36*Assumptions!$B$38/12),0)</f>
        <v/>
      </c>
      <c r="Y23" s="21">
        <f>IF(AND(A23&gt;=$AE$4,A23&lt;=Assumptions!$B$59),(MIN(Program!$C$5,MAX(0,(A23-$AE$4+1)*Assumptions!$B$39))*Assumptions!$B$30*(1+Assumptions!$B$31)*(1-Assumptions!$B$32)+Program!$C$9*Assumptions!$B$43*Assumptions!$B$44/12+Program!$C$5*Assumptions!$B$35*Assumptions!$B$34-Program!$C$5*Assumptions!$B$33/12-Assumptions!$B$37*Assumptions!$B$38/12),0)</f>
        <v/>
      </c>
      <c r="Z23" s="31">
        <f>SUMIF(Sellout!$A$6:$A$35,A23,Sellout!$D$6:$D$35)*(1-Assumptions!$B$49)</f>
        <v/>
      </c>
      <c r="AA23" s="31">
        <f>IF(A23=Assumptions!$B$58,Ops!$B$23,0)+IF(A23=Assumptions!$B$59,Ops!$C$23,0)</f>
        <v/>
      </c>
      <c r="AB23" s="21">
        <f>-O23+X23+Y23+Z23+AA23</f>
        <v/>
      </c>
      <c r="AC23" s="21">
        <f>AB23+S23-V23</f>
        <v/>
      </c>
    </row>
    <row r="24">
      <c r="A24" s="42" t="n">
        <v>19</v>
      </c>
      <c r="B24" s="43">
        <f>EDATE(Assumptions!$B$7,A24-1)</f>
        <v/>
      </c>
      <c r="C24" s="30">
        <f>IF(A24&lt;Assumptions!$B$9,"Pre-dev",IF(A24&lt;$AE$2,"Construction",IF(A24&lt;=Assumptions!$B$59,"Lease-up / exit","Tail")))</f>
        <v/>
      </c>
      <c r="D24" s="42">
        <f>IF(AND(A24&gt;=Assumptions!$B$9,A24&lt;$AE$2),(A24-Assumptions!$B$9+1)*($AE$2-A24),0)</f>
        <v/>
      </c>
      <c r="E24" s="44">
        <f>IFERROR(D24/$AE$6,0)</f>
        <v/>
      </c>
      <c r="F24" s="21">
        <f>IF(A24=1,DevBudget!$B$5,0)</f>
        <v/>
      </c>
      <c r="G24" s="21">
        <f>E24*DevBudget!$B$6</f>
        <v/>
      </c>
      <c r="H24" s="21">
        <f>E24*DevBudget!$B$7</f>
        <v/>
      </c>
      <c r="I24" s="21">
        <f>E24*DevBudget!$B$8</f>
        <v/>
      </c>
      <c r="J24" s="21">
        <f>E24*(DevBudget!$B$9+DevBudget!$B$10)</f>
        <v/>
      </c>
      <c r="K24" s="21">
        <f>E24*DevBudget!$B$12</f>
        <v/>
      </c>
      <c r="L24" s="21">
        <f>E24*DevBudget!$B$13</f>
        <v/>
      </c>
      <c r="M24" s="21">
        <f>IF(A24=Assumptions!$B$9,Assumptions!$B$69+Assumptions!$B$72,0)+IF(A24=$AE$4,Assumptions!$B$70+Assumptions!$B$71+Assumptions!$B$73,0)</f>
        <v/>
      </c>
      <c r="N24" s="21">
        <f>E24*DevBudget!$B$16</f>
        <v/>
      </c>
      <c r="O24" s="21">
        <f>SUM(F24:N24)</f>
        <v/>
      </c>
      <c r="P24" s="21">
        <f>P23+O24</f>
        <v/>
      </c>
      <c r="Q24" s="21">
        <f>MIN(O24,MAX(0,DevBudget!$B$19-R23))</f>
        <v/>
      </c>
      <c r="R24" s="21">
        <f>R23+Q24</f>
        <v/>
      </c>
      <c r="S24" s="21">
        <f>MIN(MAX(0,O24-Q24),MAX(0,Assumptions!$B$24-T24-U24))</f>
        <v/>
      </c>
      <c r="T24" s="21">
        <f>W23</f>
        <v/>
      </c>
      <c r="U24" s="21">
        <f>T24*Assumptions!$B$25/12</f>
        <v/>
      </c>
      <c r="V24" s="21">
        <f>MIN(T24+U24+S24,MAX(0,Z24+AA24))</f>
        <v/>
      </c>
      <c r="W24" s="21">
        <f>T24+S24+U24-V24</f>
        <v/>
      </c>
      <c r="X24" s="21">
        <f>IF(AND(A24&gt;=$AE$2,A24&lt;=Assumptions!$B$58),(MIN(Program!$D$5,MAX(0,(A24-$AE$2+1)*Assumptions!$B$39))*Assumptions!$B$29*(1+Assumptions!$B$31)*(1-Assumptions!$B$32)+Program!$D$9*Assumptions!$B$43*Assumptions!$B$44/12+Program!$D$5*Assumptions!$B$35*Assumptions!$B$34-Program!$D$5*Assumptions!$B$33/12-Assumptions!$B$36*Assumptions!$B$38/12),0)</f>
        <v/>
      </c>
      <c r="Y24" s="21">
        <f>IF(AND(A24&gt;=$AE$4,A24&lt;=Assumptions!$B$59),(MIN(Program!$C$5,MAX(0,(A24-$AE$4+1)*Assumptions!$B$39))*Assumptions!$B$30*(1+Assumptions!$B$31)*(1-Assumptions!$B$32)+Program!$C$9*Assumptions!$B$43*Assumptions!$B$44/12+Program!$C$5*Assumptions!$B$35*Assumptions!$B$34-Program!$C$5*Assumptions!$B$33/12-Assumptions!$B$37*Assumptions!$B$38/12),0)</f>
        <v/>
      </c>
      <c r="Z24" s="31">
        <f>SUMIF(Sellout!$A$6:$A$35,A24,Sellout!$D$6:$D$35)*(1-Assumptions!$B$49)</f>
        <v/>
      </c>
      <c r="AA24" s="31">
        <f>IF(A24=Assumptions!$B$58,Ops!$B$23,0)+IF(A24=Assumptions!$B$59,Ops!$C$23,0)</f>
        <v/>
      </c>
      <c r="AB24" s="21">
        <f>-O24+X24+Y24+Z24+AA24</f>
        <v/>
      </c>
      <c r="AC24" s="21">
        <f>AB24+S24-V24</f>
        <v/>
      </c>
    </row>
    <row r="25">
      <c r="A25" s="42" t="n">
        <v>20</v>
      </c>
      <c r="B25" s="43">
        <f>EDATE(Assumptions!$B$7,A25-1)</f>
        <v/>
      </c>
      <c r="C25" s="30">
        <f>IF(A25&lt;Assumptions!$B$9,"Pre-dev",IF(A25&lt;$AE$2,"Construction",IF(A25&lt;=Assumptions!$B$59,"Lease-up / exit","Tail")))</f>
        <v/>
      </c>
      <c r="D25" s="42">
        <f>IF(AND(A25&gt;=Assumptions!$B$9,A25&lt;$AE$2),(A25-Assumptions!$B$9+1)*($AE$2-A25),0)</f>
        <v/>
      </c>
      <c r="E25" s="44">
        <f>IFERROR(D25/$AE$6,0)</f>
        <v/>
      </c>
      <c r="F25" s="21">
        <f>IF(A25=1,DevBudget!$B$5,0)</f>
        <v/>
      </c>
      <c r="G25" s="21">
        <f>E25*DevBudget!$B$6</f>
        <v/>
      </c>
      <c r="H25" s="21">
        <f>E25*DevBudget!$B$7</f>
        <v/>
      </c>
      <c r="I25" s="21">
        <f>E25*DevBudget!$B$8</f>
        <v/>
      </c>
      <c r="J25" s="21">
        <f>E25*(DevBudget!$B$9+DevBudget!$B$10)</f>
        <v/>
      </c>
      <c r="K25" s="21">
        <f>E25*DevBudget!$B$12</f>
        <v/>
      </c>
      <c r="L25" s="21">
        <f>E25*DevBudget!$B$13</f>
        <v/>
      </c>
      <c r="M25" s="21">
        <f>IF(A25=Assumptions!$B$9,Assumptions!$B$69+Assumptions!$B$72,0)+IF(A25=$AE$4,Assumptions!$B$70+Assumptions!$B$71+Assumptions!$B$73,0)</f>
        <v/>
      </c>
      <c r="N25" s="21">
        <f>E25*DevBudget!$B$16</f>
        <v/>
      </c>
      <c r="O25" s="21">
        <f>SUM(F25:N25)</f>
        <v/>
      </c>
      <c r="P25" s="21">
        <f>P24+O25</f>
        <v/>
      </c>
      <c r="Q25" s="21">
        <f>MIN(O25,MAX(0,DevBudget!$B$19-R24))</f>
        <v/>
      </c>
      <c r="R25" s="21">
        <f>R24+Q25</f>
        <v/>
      </c>
      <c r="S25" s="21">
        <f>MIN(MAX(0,O25-Q25),MAX(0,Assumptions!$B$24-T25-U25))</f>
        <v/>
      </c>
      <c r="T25" s="21">
        <f>W24</f>
        <v/>
      </c>
      <c r="U25" s="21">
        <f>T25*Assumptions!$B$25/12</f>
        <v/>
      </c>
      <c r="V25" s="21">
        <f>MIN(T25+U25+S25,MAX(0,Z25+AA25))</f>
        <v/>
      </c>
      <c r="W25" s="21">
        <f>T25+S25+U25-V25</f>
        <v/>
      </c>
      <c r="X25" s="21">
        <f>IF(AND(A25&gt;=$AE$2,A25&lt;=Assumptions!$B$58),(MIN(Program!$D$5,MAX(0,(A25-$AE$2+1)*Assumptions!$B$39))*Assumptions!$B$29*(1+Assumptions!$B$31)*(1-Assumptions!$B$32)+Program!$D$9*Assumptions!$B$43*Assumptions!$B$44/12+Program!$D$5*Assumptions!$B$35*Assumptions!$B$34-Program!$D$5*Assumptions!$B$33/12-Assumptions!$B$36*Assumptions!$B$38/12),0)</f>
        <v/>
      </c>
      <c r="Y25" s="21">
        <f>IF(AND(A25&gt;=$AE$4,A25&lt;=Assumptions!$B$59),(MIN(Program!$C$5,MAX(0,(A25-$AE$4+1)*Assumptions!$B$39))*Assumptions!$B$30*(1+Assumptions!$B$31)*(1-Assumptions!$B$32)+Program!$C$9*Assumptions!$B$43*Assumptions!$B$44/12+Program!$C$5*Assumptions!$B$35*Assumptions!$B$34-Program!$C$5*Assumptions!$B$33/12-Assumptions!$B$37*Assumptions!$B$38/12),0)</f>
        <v/>
      </c>
      <c r="Z25" s="31">
        <f>SUMIF(Sellout!$A$6:$A$35,A25,Sellout!$D$6:$D$35)*(1-Assumptions!$B$49)</f>
        <v/>
      </c>
      <c r="AA25" s="31">
        <f>IF(A25=Assumptions!$B$58,Ops!$B$23,0)+IF(A25=Assumptions!$B$59,Ops!$C$23,0)</f>
        <v/>
      </c>
      <c r="AB25" s="21">
        <f>-O25+X25+Y25+Z25+AA25</f>
        <v/>
      </c>
      <c r="AC25" s="21">
        <f>AB25+S25-V25</f>
        <v/>
      </c>
    </row>
    <row r="26">
      <c r="A26" s="42" t="n">
        <v>21</v>
      </c>
      <c r="B26" s="43">
        <f>EDATE(Assumptions!$B$7,A26-1)</f>
        <v/>
      </c>
      <c r="C26" s="30">
        <f>IF(A26&lt;Assumptions!$B$9,"Pre-dev",IF(A26&lt;$AE$2,"Construction",IF(A26&lt;=Assumptions!$B$59,"Lease-up / exit","Tail")))</f>
        <v/>
      </c>
      <c r="D26" s="42">
        <f>IF(AND(A26&gt;=Assumptions!$B$9,A26&lt;$AE$2),(A26-Assumptions!$B$9+1)*($AE$2-A26),0)</f>
        <v/>
      </c>
      <c r="E26" s="44">
        <f>IFERROR(D26/$AE$6,0)</f>
        <v/>
      </c>
      <c r="F26" s="21">
        <f>IF(A26=1,DevBudget!$B$5,0)</f>
        <v/>
      </c>
      <c r="G26" s="21">
        <f>E26*DevBudget!$B$6</f>
        <v/>
      </c>
      <c r="H26" s="21">
        <f>E26*DevBudget!$B$7</f>
        <v/>
      </c>
      <c r="I26" s="21">
        <f>E26*DevBudget!$B$8</f>
        <v/>
      </c>
      <c r="J26" s="21">
        <f>E26*(DevBudget!$B$9+DevBudget!$B$10)</f>
        <v/>
      </c>
      <c r="K26" s="21">
        <f>E26*DevBudget!$B$12</f>
        <v/>
      </c>
      <c r="L26" s="21">
        <f>E26*DevBudget!$B$13</f>
        <v/>
      </c>
      <c r="M26" s="21">
        <f>IF(A26=Assumptions!$B$9,Assumptions!$B$69+Assumptions!$B$72,0)+IF(A26=$AE$4,Assumptions!$B$70+Assumptions!$B$71+Assumptions!$B$73,0)</f>
        <v/>
      </c>
      <c r="N26" s="21">
        <f>E26*DevBudget!$B$16</f>
        <v/>
      </c>
      <c r="O26" s="21">
        <f>SUM(F26:N26)</f>
        <v/>
      </c>
      <c r="P26" s="21">
        <f>P25+O26</f>
        <v/>
      </c>
      <c r="Q26" s="21">
        <f>MIN(O26,MAX(0,DevBudget!$B$19-R25))</f>
        <v/>
      </c>
      <c r="R26" s="21">
        <f>R25+Q26</f>
        <v/>
      </c>
      <c r="S26" s="21">
        <f>MIN(MAX(0,O26-Q26),MAX(0,Assumptions!$B$24-T26-U26))</f>
        <v/>
      </c>
      <c r="T26" s="21">
        <f>W25</f>
        <v/>
      </c>
      <c r="U26" s="21">
        <f>T26*Assumptions!$B$25/12</f>
        <v/>
      </c>
      <c r="V26" s="21">
        <f>MIN(T26+U26+S26,MAX(0,Z26+AA26))</f>
        <v/>
      </c>
      <c r="W26" s="21">
        <f>T26+S26+U26-V26</f>
        <v/>
      </c>
      <c r="X26" s="21">
        <f>IF(AND(A26&gt;=$AE$2,A26&lt;=Assumptions!$B$58),(MIN(Program!$D$5,MAX(0,(A26-$AE$2+1)*Assumptions!$B$39))*Assumptions!$B$29*(1+Assumptions!$B$31)*(1-Assumptions!$B$32)+Program!$D$9*Assumptions!$B$43*Assumptions!$B$44/12+Program!$D$5*Assumptions!$B$35*Assumptions!$B$34-Program!$D$5*Assumptions!$B$33/12-Assumptions!$B$36*Assumptions!$B$38/12),0)</f>
        <v/>
      </c>
      <c r="Y26" s="21">
        <f>IF(AND(A26&gt;=$AE$4,A26&lt;=Assumptions!$B$59),(MIN(Program!$C$5,MAX(0,(A26-$AE$4+1)*Assumptions!$B$39))*Assumptions!$B$30*(1+Assumptions!$B$31)*(1-Assumptions!$B$32)+Program!$C$9*Assumptions!$B$43*Assumptions!$B$44/12+Program!$C$5*Assumptions!$B$35*Assumptions!$B$34-Program!$C$5*Assumptions!$B$33/12-Assumptions!$B$37*Assumptions!$B$38/12),0)</f>
        <v/>
      </c>
      <c r="Z26" s="31">
        <f>SUMIF(Sellout!$A$6:$A$35,A26,Sellout!$D$6:$D$35)*(1-Assumptions!$B$49)</f>
        <v/>
      </c>
      <c r="AA26" s="31">
        <f>IF(A26=Assumptions!$B$58,Ops!$B$23,0)+IF(A26=Assumptions!$B$59,Ops!$C$23,0)</f>
        <v/>
      </c>
      <c r="AB26" s="21">
        <f>-O26+X26+Y26+Z26+AA26</f>
        <v/>
      </c>
      <c r="AC26" s="21">
        <f>AB26+S26-V26</f>
        <v/>
      </c>
    </row>
    <row r="27">
      <c r="A27" s="42" t="n">
        <v>22</v>
      </c>
      <c r="B27" s="43">
        <f>EDATE(Assumptions!$B$7,A27-1)</f>
        <v/>
      </c>
      <c r="C27" s="30">
        <f>IF(A27&lt;Assumptions!$B$9,"Pre-dev",IF(A27&lt;$AE$2,"Construction",IF(A27&lt;=Assumptions!$B$59,"Lease-up / exit","Tail")))</f>
        <v/>
      </c>
      <c r="D27" s="42">
        <f>IF(AND(A27&gt;=Assumptions!$B$9,A27&lt;$AE$2),(A27-Assumptions!$B$9+1)*($AE$2-A27),0)</f>
        <v/>
      </c>
      <c r="E27" s="44">
        <f>IFERROR(D27/$AE$6,0)</f>
        <v/>
      </c>
      <c r="F27" s="21">
        <f>IF(A27=1,DevBudget!$B$5,0)</f>
        <v/>
      </c>
      <c r="G27" s="21">
        <f>E27*DevBudget!$B$6</f>
        <v/>
      </c>
      <c r="H27" s="21">
        <f>E27*DevBudget!$B$7</f>
        <v/>
      </c>
      <c r="I27" s="21">
        <f>E27*DevBudget!$B$8</f>
        <v/>
      </c>
      <c r="J27" s="21">
        <f>E27*(DevBudget!$B$9+DevBudget!$B$10)</f>
        <v/>
      </c>
      <c r="K27" s="21">
        <f>E27*DevBudget!$B$12</f>
        <v/>
      </c>
      <c r="L27" s="21">
        <f>E27*DevBudget!$B$13</f>
        <v/>
      </c>
      <c r="M27" s="21">
        <f>IF(A27=Assumptions!$B$9,Assumptions!$B$69+Assumptions!$B$72,0)+IF(A27=$AE$4,Assumptions!$B$70+Assumptions!$B$71+Assumptions!$B$73,0)</f>
        <v/>
      </c>
      <c r="N27" s="21">
        <f>E27*DevBudget!$B$16</f>
        <v/>
      </c>
      <c r="O27" s="21">
        <f>SUM(F27:N27)</f>
        <v/>
      </c>
      <c r="P27" s="21">
        <f>P26+O27</f>
        <v/>
      </c>
      <c r="Q27" s="21">
        <f>MIN(O27,MAX(0,DevBudget!$B$19-R26))</f>
        <v/>
      </c>
      <c r="R27" s="21">
        <f>R26+Q27</f>
        <v/>
      </c>
      <c r="S27" s="21">
        <f>MIN(MAX(0,O27-Q27),MAX(0,Assumptions!$B$24-T27-U27))</f>
        <v/>
      </c>
      <c r="T27" s="21">
        <f>W26</f>
        <v/>
      </c>
      <c r="U27" s="21">
        <f>T27*Assumptions!$B$25/12</f>
        <v/>
      </c>
      <c r="V27" s="21">
        <f>MIN(T27+U27+S27,MAX(0,Z27+AA27))</f>
        <v/>
      </c>
      <c r="W27" s="21">
        <f>T27+S27+U27-V27</f>
        <v/>
      </c>
      <c r="X27" s="21">
        <f>IF(AND(A27&gt;=$AE$2,A27&lt;=Assumptions!$B$58),(MIN(Program!$D$5,MAX(0,(A27-$AE$2+1)*Assumptions!$B$39))*Assumptions!$B$29*(1+Assumptions!$B$31)*(1-Assumptions!$B$32)+Program!$D$9*Assumptions!$B$43*Assumptions!$B$44/12+Program!$D$5*Assumptions!$B$35*Assumptions!$B$34-Program!$D$5*Assumptions!$B$33/12-Assumptions!$B$36*Assumptions!$B$38/12),0)</f>
        <v/>
      </c>
      <c r="Y27" s="21">
        <f>IF(AND(A27&gt;=$AE$4,A27&lt;=Assumptions!$B$59),(MIN(Program!$C$5,MAX(0,(A27-$AE$4+1)*Assumptions!$B$39))*Assumptions!$B$30*(1+Assumptions!$B$31)*(1-Assumptions!$B$32)+Program!$C$9*Assumptions!$B$43*Assumptions!$B$44/12+Program!$C$5*Assumptions!$B$35*Assumptions!$B$34-Program!$C$5*Assumptions!$B$33/12-Assumptions!$B$37*Assumptions!$B$38/12),0)</f>
        <v/>
      </c>
      <c r="Z27" s="31">
        <f>SUMIF(Sellout!$A$6:$A$35,A27,Sellout!$D$6:$D$35)*(1-Assumptions!$B$49)</f>
        <v/>
      </c>
      <c r="AA27" s="31">
        <f>IF(A27=Assumptions!$B$58,Ops!$B$23,0)+IF(A27=Assumptions!$B$59,Ops!$C$23,0)</f>
        <v/>
      </c>
      <c r="AB27" s="21">
        <f>-O27+X27+Y27+Z27+AA27</f>
        <v/>
      </c>
      <c r="AC27" s="21">
        <f>AB27+S27-V27</f>
        <v/>
      </c>
    </row>
    <row r="28">
      <c r="A28" s="42" t="n">
        <v>23</v>
      </c>
      <c r="B28" s="43">
        <f>EDATE(Assumptions!$B$7,A28-1)</f>
        <v/>
      </c>
      <c r="C28" s="30">
        <f>IF(A28&lt;Assumptions!$B$9,"Pre-dev",IF(A28&lt;$AE$2,"Construction",IF(A28&lt;=Assumptions!$B$59,"Lease-up / exit","Tail")))</f>
        <v/>
      </c>
      <c r="D28" s="42">
        <f>IF(AND(A28&gt;=Assumptions!$B$9,A28&lt;$AE$2),(A28-Assumptions!$B$9+1)*($AE$2-A28),0)</f>
        <v/>
      </c>
      <c r="E28" s="44">
        <f>IFERROR(D28/$AE$6,0)</f>
        <v/>
      </c>
      <c r="F28" s="21">
        <f>IF(A28=1,DevBudget!$B$5,0)</f>
        <v/>
      </c>
      <c r="G28" s="21">
        <f>E28*DevBudget!$B$6</f>
        <v/>
      </c>
      <c r="H28" s="21">
        <f>E28*DevBudget!$B$7</f>
        <v/>
      </c>
      <c r="I28" s="21">
        <f>E28*DevBudget!$B$8</f>
        <v/>
      </c>
      <c r="J28" s="21">
        <f>E28*(DevBudget!$B$9+DevBudget!$B$10)</f>
        <v/>
      </c>
      <c r="K28" s="21">
        <f>E28*DevBudget!$B$12</f>
        <v/>
      </c>
      <c r="L28" s="21">
        <f>E28*DevBudget!$B$13</f>
        <v/>
      </c>
      <c r="M28" s="21">
        <f>IF(A28=Assumptions!$B$9,Assumptions!$B$69+Assumptions!$B$72,0)+IF(A28=$AE$4,Assumptions!$B$70+Assumptions!$B$71+Assumptions!$B$73,0)</f>
        <v/>
      </c>
      <c r="N28" s="21">
        <f>E28*DevBudget!$B$16</f>
        <v/>
      </c>
      <c r="O28" s="21">
        <f>SUM(F28:N28)</f>
        <v/>
      </c>
      <c r="P28" s="21">
        <f>P27+O28</f>
        <v/>
      </c>
      <c r="Q28" s="21">
        <f>MIN(O28,MAX(0,DevBudget!$B$19-R27))</f>
        <v/>
      </c>
      <c r="R28" s="21">
        <f>R27+Q28</f>
        <v/>
      </c>
      <c r="S28" s="21">
        <f>MIN(MAX(0,O28-Q28),MAX(0,Assumptions!$B$24-T28-U28))</f>
        <v/>
      </c>
      <c r="T28" s="21">
        <f>W27</f>
        <v/>
      </c>
      <c r="U28" s="21">
        <f>T28*Assumptions!$B$25/12</f>
        <v/>
      </c>
      <c r="V28" s="21">
        <f>MIN(T28+U28+S28,MAX(0,Z28+AA28))</f>
        <v/>
      </c>
      <c r="W28" s="21">
        <f>T28+S28+U28-V28</f>
        <v/>
      </c>
      <c r="X28" s="21">
        <f>IF(AND(A28&gt;=$AE$2,A28&lt;=Assumptions!$B$58),(MIN(Program!$D$5,MAX(0,(A28-$AE$2+1)*Assumptions!$B$39))*Assumptions!$B$29*(1+Assumptions!$B$31)*(1-Assumptions!$B$32)+Program!$D$9*Assumptions!$B$43*Assumptions!$B$44/12+Program!$D$5*Assumptions!$B$35*Assumptions!$B$34-Program!$D$5*Assumptions!$B$33/12-Assumptions!$B$36*Assumptions!$B$38/12),0)</f>
        <v/>
      </c>
      <c r="Y28" s="21">
        <f>IF(AND(A28&gt;=$AE$4,A28&lt;=Assumptions!$B$59),(MIN(Program!$C$5,MAX(0,(A28-$AE$4+1)*Assumptions!$B$39))*Assumptions!$B$30*(1+Assumptions!$B$31)*(1-Assumptions!$B$32)+Program!$C$9*Assumptions!$B$43*Assumptions!$B$44/12+Program!$C$5*Assumptions!$B$35*Assumptions!$B$34-Program!$C$5*Assumptions!$B$33/12-Assumptions!$B$37*Assumptions!$B$38/12),0)</f>
        <v/>
      </c>
      <c r="Z28" s="31">
        <f>SUMIF(Sellout!$A$6:$A$35,A28,Sellout!$D$6:$D$35)*(1-Assumptions!$B$49)</f>
        <v/>
      </c>
      <c r="AA28" s="31">
        <f>IF(A28=Assumptions!$B$58,Ops!$B$23,0)+IF(A28=Assumptions!$B$59,Ops!$C$23,0)</f>
        <v/>
      </c>
      <c r="AB28" s="21">
        <f>-O28+X28+Y28+Z28+AA28</f>
        <v/>
      </c>
      <c r="AC28" s="21">
        <f>AB28+S28-V28</f>
        <v/>
      </c>
    </row>
    <row r="29">
      <c r="A29" s="42" t="n">
        <v>24</v>
      </c>
      <c r="B29" s="43">
        <f>EDATE(Assumptions!$B$7,A29-1)</f>
        <v/>
      </c>
      <c r="C29" s="30">
        <f>IF(A29&lt;Assumptions!$B$9,"Pre-dev",IF(A29&lt;$AE$2,"Construction",IF(A29&lt;=Assumptions!$B$59,"Lease-up / exit","Tail")))</f>
        <v/>
      </c>
      <c r="D29" s="42">
        <f>IF(AND(A29&gt;=Assumptions!$B$9,A29&lt;$AE$2),(A29-Assumptions!$B$9+1)*($AE$2-A29),0)</f>
        <v/>
      </c>
      <c r="E29" s="44">
        <f>IFERROR(D29/$AE$6,0)</f>
        <v/>
      </c>
      <c r="F29" s="21">
        <f>IF(A29=1,DevBudget!$B$5,0)</f>
        <v/>
      </c>
      <c r="G29" s="21">
        <f>E29*DevBudget!$B$6</f>
        <v/>
      </c>
      <c r="H29" s="21">
        <f>E29*DevBudget!$B$7</f>
        <v/>
      </c>
      <c r="I29" s="21">
        <f>E29*DevBudget!$B$8</f>
        <v/>
      </c>
      <c r="J29" s="21">
        <f>E29*(DevBudget!$B$9+DevBudget!$B$10)</f>
        <v/>
      </c>
      <c r="K29" s="21">
        <f>E29*DevBudget!$B$12</f>
        <v/>
      </c>
      <c r="L29" s="21">
        <f>E29*DevBudget!$B$13</f>
        <v/>
      </c>
      <c r="M29" s="21">
        <f>IF(A29=Assumptions!$B$9,Assumptions!$B$69+Assumptions!$B$72,0)+IF(A29=$AE$4,Assumptions!$B$70+Assumptions!$B$71+Assumptions!$B$73,0)</f>
        <v/>
      </c>
      <c r="N29" s="21">
        <f>E29*DevBudget!$B$16</f>
        <v/>
      </c>
      <c r="O29" s="21">
        <f>SUM(F29:N29)</f>
        <v/>
      </c>
      <c r="P29" s="21">
        <f>P28+O29</f>
        <v/>
      </c>
      <c r="Q29" s="21">
        <f>MIN(O29,MAX(0,DevBudget!$B$19-R28))</f>
        <v/>
      </c>
      <c r="R29" s="21">
        <f>R28+Q29</f>
        <v/>
      </c>
      <c r="S29" s="21">
        <f>MIN(MAX(0,O29-Q29),MAX(0,Assumptions!$B$24-T29-U29))</f>
        <v/>
      </c>
      <c r="T29" s="21">
        <f>W28</f>
        <v/>
      </c>
      <c r="U29" s="21">
        <f>T29*Assumptions!$B$25/12</f>
        <v/>
      </c>
      <c r="V29" s="21">
        <f>MIN(T29+U29+S29,MAX(0,Z29+AA29))</f>
        <v/>
      </c>
      <c r="W29" s="21">
        <f>T29+S29+U29-V29</f>
        <v/>
      </c>
      <c r="X29" s="21">
        <f>IF(AND(A29&gt;=$AE$2,A29&lt;=Assumptions!$B$58),(MIN(Program!$D$5,MAX(0,(A29-$AE$2+1)*Assumptions!$B$39))*Assumptions!$B$29*(1+Assumptions!$B$31)*(1-Assumptions!$B$32)+Program!$D$9*Assumptions!$B$43*Assumptions!$B$44/12+Program!$D$5*Assumptions!$B$35*Assumptions!$B$34-Program!$D$5*Assumptions!$B$33/12-Assumptions!$B$36*Assumptions!$B$38/12),0)</f>
        <v/>
      </c>
      <c r="Y29" s="21">
        <f>IF(AND(A29&gt;=$AE$4,A29&lt;=Assumptions!$B$59),(MIN(Program!$C$5,MAX(0,(A29-$AE$4+1)*Assumptions!$B$39))*Assumptions!$B$30*(1+Assumptions!$B$31)*(1-Assumptions!$B$32)+Program!$C$9*Assumptions!$B$43*Assumptions!$B$44/12+Program!$C$5*Assumptions!$B$35*Assumptions!$B$34-Program!$C$5*Assumptions!$B$33/12-Assumptions!$B$37*Assumptions!$B$38/12),0)</f>
        <v/>
      </c>
      <c r="Z29" s="31">
        <f>SUMIF(Sellout!$A$6:$A$35,A29,Sellout!$D$6:$D$35)*(1-Assumptions!$B$49)</f>
        <v/>
      </c>
      <c r="AA29" s="31">
        <f>IF(A29=Assumptions!$B$58,Ops!$B$23,0)+IF(A29=Assumptions!$B$59,Ops!$C$23,0)</f>
        <v/>
      </c>
      <c r="AB29" s="21">
        <f>-O29+X29+Y29+Z29+AA29</f>
        <v/>
      </c>
      <c r="AC29" s="21">
        <f>AB29+S29-V29</f>
        <v/>
      </c>
    </row>
    <row r="30">
      <c r="A30" s="42" t="n">
        <v>25</v>
      </c>
      <c r="B30" s="43">
        <f>EDATE(Assumptions!$B$7,A30-1)</f>
        <v/>
      </c>
      <c r="C30" s="30">
        <f>IF(A30&lt;Assumptions!$B$9,"Pre-dev",IF(A30&lt;$AE$2,"Construction",IF(A30&lt;=Assumptions!$B$59,"Lease-up / exit","Tail")))</f>
        <v/>
      </c>
      <c r="D30" s="42">
        <f>IF(AND(A30&gt;=Assumptions!$B$9,A30&lt;$AE$2),(A30-Assumptions!$B$9+1)*($AE$2-A30),0)</f>
        <v/>
      </c>
      <c r="E30" s="44">
        <f>IFERROR(D30/$AE$6,0)</f>
        <v/>
      </c>
      <c r="F30" s="21">
        <f>IF(A30=1,DevBudget!$B$5,0)</f>
        <v/>
      </c>
      <c r="G30" s="21">
        <f>E30*DevBudget!$B$6</f>
        <v/>
      </c>
      <c r="H30" s="21">
        <f>E30*DevBudget!$B$7</f>
        <v/>
      </c>
      <c r="I30" s="21">
        <f>E30*DevBudget!$B$8</f>
        <v/>
      </c>
      <c r="J30" s="21">
        <f>E30*(DevBudget!$B$9+DevBudget!$B$10)</f>
        <v/>
      </c>
      <c r="K30" s="21">
        <f>E30*DevBudget!$B$12</f>
        <v/>
      </c>
      <c r="L30" s="21">
        <f>E30*DevBudget!$B$13</f>
        <v/>
      </c>
      <c r="M30" s="21">
        <f>IF(A30=Assumptions!$B$9,Assumptions!$B$69+Assumptions!$B$72,0)+IF(A30=$AE$4,Assumptions!$B$70+Assumptions!$B$71+Assumptions!$B$73,0)</f>
        <v/>
      </c>
      <c r="N30" s="21">
        <f>E30*DevBudget!$B$16</f>
        <v/>
      </c>
      <c r="O30" s="21">
        <f>SUM(F30:N30)</f>
        <v/>
      </c>
      <c r="P30" s="21">
        <f>P29+O30</f>
        <v/>
      </c>
      <c r="Q30" s="21">
        <f>MIN(O30,MAX(0,DevBudget!$B$19-R29))</f>
        <v/>
      </c>
      <c r="R30" s="21">
        <f>R29+Q30</f>
        <v/>
      </c>
      <c r="S30" s="21">
        <f>MIN(MAX(0,O30-Q30),MAX(0,Assumptions!$B$24-T30-U30))</f>
        <v/>
      </c>
      <c r="T30" s="21">
        <f>W29</f>
        <v/>
      </c>
      <c r="U30" s="21">
        <f>T30*Assumptions!$B$25/12</f>
        <v/>
      </c>
      <c r="V30" s="21">
        <f>MIN(T30+U30+S30,MAX(0,Z30+AA30))</f>
        <v/>
      </c>
      <c r="W30" s="21">
        <f>T30+S30+U30-V30</f>
        <v/>
      </c>
      <c r="X30" s="21">
        <f>IF(AND(A30&gt;=$AE$2,A30&lt;=Assumptions!$B$58),(MIN(Program!$D$5,MAX(0,(A30-$AE$2+1)*Assumptions!$B$39))*Assumptions!$B$29*(1+Assumptions!$B$31)*(1-Assumptions!$B$32)+Program!$D$9*Assumptions!$B$43*Assumptions!$B$44/12+Program!$D$5*Assumptions!$B$35*Assumptions!$B$34-Program!$D$5*Assumptions!$B$33/12-Assumptions!$B$36*Assumptions!$B$38/12),0)</f>
        <v/>
      </c>
      <c r="Y30" s="21">
        <f>IF(AND(A30&gt;=$AE$4,A30&lt;=Assumptions!$B$59),(MIN(Program!$C$5,MAX(0,(A30-$AE$4+1)*Assumptions!$B$39))*Assumptions!$B$30*(1+Assumptions!$B$31)*(1-Assumptions!$B$32)+Program!$C$9*Assumptions!$B$43*Assumptions!$B$44/12+Program!$C$5*Assumptions!$B$35*Assumptions!$B$34-Program!$C$5*Assumptions!$B$33/12-Assumptions!$B$37*Assumptions!$B$38/12),0)</f>
        <v/>
      </c>
      <c r="Z30" s="31">
        <f>SUMIF(Sellout!$A$6:$A$35,A30,Sellout!$D$6:$D$35)*(1-Assumptions!$B$49)</f>
        <v/>
      </c>
      <c r="AA30" s="31">
        <f>IF(A30=Assumptions!$B$58,Ops!$B$23,0)+IF(A30=Assumptions!$B$59,Ops!$C$23,0)</f>
        <v/>
      </c>
      <c r="AB30" s="21">
        <f>-O30+X30+Y30+Z30+AA30</f>
        <v/>
      </c>
      <c r="AC30" s="21">
        <f>AB30+S30-V30</f>
        <v/>
      </c>
    </row>
    <row r="31">
      <c r="A31" s="42" t="n">
        <v>26</v>
      </c>
      <c r="B31" s="43">
        <f>EDATE(Assumptions!$B$7,A31-1)</f>
        <v/>
      </c>
      <c r="C31" s="30">
        <f>IF(A31&lt;Assumptions!$B$9,"Pre-dev",IF(A31&lt;$AE$2,"Construction",IF(A31&lt;=Assumptions!$B$59,"Lease-up / exit","Tail")))</f>
        <v/>
      </c>
      <c r="D31" s="42">
        <f>IF(AND(A31&gt;=Assumptions!$B$9,A31&lt;$AE$2),(A31-Assumptions!$B$9+1)*($AE$2-A31),0)</f>
        <v/>
      </c>
      <c r="E31" s="44">
        <f>IFERROR(D31/$AE$6,0)</f>
        <v/>
      </c>
      <c r="F31" s="21">
        <f>IF(A31=1,DevBudget!$B$5,0)</f>
        <v/>
      </c>
      <c r="G31" s="21">
        <f>E31*DevBudget!$B$6</f>
        <v/>
      </c>
      <c r="H31" s="21">
        <f>E31*DevBudget!$B$7</f>
        <v/>
      </c>
      <c r="I31" s="21">
        <f>E31*DevBudget!$B$8</f>
        <v/>
      </c>
      <c r="J31" s="21">
        <f>E31*(DevBudget!$B$9+DevBudget!$B$10)</f>
        <v/>
      </c>
      <c r="K31" s="21">
        <f>E31*DevBudget!$B$12</f>
        <v/>
      </c>
      <c r="L31" s="21">
        <f>E31*DevBudget!$B$13</f>
        <v/>
      </c>
      <c r="M31" s="21">
        <f>IF(A31=Assumptions!$B$9,Assumptions!$B$69+Assumptions!$B$72,0)+IF(A31=$AE$4,Assumptions!$B$70+Assumptions!$B$71+Assumptions!$B$73,0)</f>
        <v/>
      </c>
      <c r="N31" s="21">
        <f>E31*DevBudget!$B$16</f>
        <v/>
      </c>
      <c r="O31" s="21">
        <f>SUM(F31:N31)</f>
        <v/>
      </c>
      <c r="P31" s="21">
        <f>P30+O31</f>
        <v/>
      </c>
      <c r="Q31" s="21">
        <f>MIN(O31,MAX(0,DevBudget!$B$19-R30))</f>
        <v/>
      </c>
      <c r="R31" s="21">
        <f>R30+Q31</f>
        <v/>
      </c>
      <c r="S31" s="21">
        <f>MIN(MAX(0,O31-Q31),MAX(0,Assumptions!$B$24-T31-U31))</f>
        <v/>
      </c>
      <c r="T31" s="21">
        <f>W30</f>
        <v/>
      </c>
      <c r="U31" s="21">
        <f>T31*Assumptions!$B$25/12</f>
        <v/>
      </c>
      <c r="V31" s="21">
        <f>MIN(T31+U31+S31,MAX(0,Z31+AA31))</f>
        <v/>
      </c>
      <c r="W31" s="21">
        <f>T31+S31+U31-V31</f>
        <v/>
      </c>
      <c r="X31" s="21">
        <f>IF(AND(A31&gt;=$AE$2,A31&lt;=Assumptions!$B$58),(MIN(Program!$D$5,MAX(0,(A31-$AE$2+1)*Assumptions!$B$39))*Assumptions!$B$29*(1+Assumptions!$B$31)*(1-Assumptions!$B$32)+Program!$D$9*Assumptions!$B$43*Assumptions!$B$44/12+Program!$D$5*Assumptions!$B$35*Assumptions!$B$34-Program!$D$5*Assumptions!$B$33/12-Assumptions!$B$36*Assumptions!$B$38/12),0)</f>
        <v/>
      </c>
      <c r="Y31" s="21">
        <f>IF(AND(A31&gt;=$AE$4,A31&lt;=Assumptions!$B$59),(MIN(Program!$C$5,MAX(0,(A31-$AE$4+1)*Assumptions!$B$39))*Assumptions!$B$30*(1+Assumptions!$B$31)*(1-Assumptions!$B$32)+Program!$C$9*Assumptions!$B$43*Assumptions!$B$44/12+Program!$C$5*Assumptions!$B$35*Assumptions!$B$34-Program!$C$5*Assumptions!$B$33/12-Assumptions!$B$37*Assumptions!$B$38/12),0)</f>
        <v/>
      </c>
      <c r="Z31" s="31">
        <f>SUMIF(Sellout!$A$6:$A$35,A31,Sellout!$D$6:$D$35)*(1-Assumptions!$B$49)</f>
        <v/>
      </c>
      <c r="AA31" s="31">
        <f>IF(A31=Assumptions!$B$58,Ops!$B$23,0)+IF(A31=Assumptions!$B$59,Ops!$C$23,0)</f>
        <v/>
      </c>
      <c r="AB31" s="21">
        <f>-O31+X31+Y31+Z31+AA31</f>
        <v/>
      </c>
      <c r="AC31" s="21">
        <f>AB31+S31-V31</f>
        <v/>
      </c>
    </row>
    <row r="32">
      <c r="A32" s="42" t="n">
        <v>27</v>
      </c>
      <c r="B32" s="43">
        <f>EDATE(Assumptions!$B$7,A32-1)</f>
        <v/>
      </c>
      <c r="C32" s="30">
        <f>IF(A32&lt;Assumptions!$B$9,"Pre-dev",IF(A32&lt;$AE$2,"Construction",IF(A32&lt;=Assumptions!$B$59,"Lease-up / exit","Tail")))</f>
        <v/>
      </c>
      <c r="D32" s="42">
        <f>IF(AND(A32&gt;=Assumptions!$B$9,A32&lt;$AE$2),(A32-Assumptions!$B$9+1)*($AE$2-A32),0)</f>
        <v/>
      </c>
      <c r="E32" s="44">
        <f>IFERROR(D32/$AE$6,0)</f>
        <v/>
      </c>
      <c r="F32" s="21">
        <f>IF(A32=1,DevBudget!$B$5,0)</f>
        <v/>
      </c>
      <c r="G32" s="21">
        <f>E32*DevBudget!$B$6</f>
        <v/>
      </c>
      <c r="H32" s="21">
        <f>E32*DevBudget!$B$7</f>
        <v/>
      </c>
      <c r="I32" s="21">
        <f>E32*DevBudget!$B$8</f>
        <v/>
      </c>
      <c r="J32" s="21">
        <f>E32*(DevBudget!$B$9+DevBudget!$B$10)</f>
        <v/>
      </c>
      <c r="K32" s="21">
        <f>E32*DevBudget!$B$12</f>
        <v/>
      </c>
      <c r="L32" s="21">
        <f>E32*DevBudget!$B$13</f>
        <v/>
      </c>
      <c r="M32" s="21">
        <f>IF(A32=Assumptions!$B$9,Assumptions!$B$69+Assumptions!$B$72,0)+IF(A32=$AE$4,Assumptions!$B$70+Assumptions!$B$71+Assumptions!$B$73,0)</f>
        <v/>
      </c>
      <c r="N32" s="21">
        <f>E32*DevBudget!$B$16</f>
        <v/>
      </c>
      <c r="O32" s="21">
        <f>SUM(F32:N32)</f>
        <v/>
      </c>
      <c r="P32" s="21">
        <f>P31+O32</f>
        <v/>
      </c>
      <c r="Q32" s="21">
        <f>MIN(O32,MAX(0,DevBudget!$B$19-R31))</f>
        <v/>
      </c>
      <c r="R32" s="21">
        <f>R31+Q32</f>
        <v/>
      </c>
      <c r="S32" s="21">
        <f>MIN(MAX(0,O32-Q32),MAX(0,Assumptions!$B$24-T32-U32))</f>
        <v/>
      </c>
      <c r="T32" s="21">
        <f>W31</f>
        <v/>
      </c>
      <c r="U32" s="21">
        <f>T32*Assumptions!$B$25/12</f>
        <v/>
      </c>
      <c r="V32" s="21">
        <f>MIN(T32+U32+S32,MAX(0,Z32+AA32))</f>
        <v/>
      </c>
      <c r="W32" s="21">
        <f>T32+S32+U32-V32</f>
        <v/>
      </c>
      <c r="X32" s="21">
        <f>IF(AND(A32&gt;=$AE$2,A32&lt;=Assumptions!$B$58),(MIN(Program!$D$5,MAX(0,(A32-$AE$2+1)*Assumptions!$B$39))*Assumptions!$B$29*(1+Assumptions!$B$31)*(1-Assumptions!$B$32)+Program!$D$9*Assumptions!$B$43*Assumptions!$B$44/12+Program!$D$5*Assumptions!$B$35*Assumptions!$B$34-Program!$D$5*Assumptions!$B$33/12-Assumptions!$B$36*Assumptions!$B$38/12),0)</f>
        <v/>
      </c>
      <c r="Y32" s="21">
        <f>IF(AND(A32&gt;=$AE$4,A32&lt;=Assumptions!$B$59),(MIN(Program!$C$5,MAX(0,(A32-$AE$4+1)*Assumptions!$B$39))*Assumptions!$B$30*(1+Assumptions!$B$31)*(1-Assumptions!$B$32)+Program!$C$9*Assumptions!$B$43*Assumptions!$B$44/12+Program!$C$5*Assumptions!$B$35*Assumptions!$B$34-Program!$C$5*Assumptions!$B$33/12-Assumptions!$B$37*Assumptions!$B$38/12),0)</f>
        <v/>
      </c>
      <c r="Z32" s="31">
        <f>SUMIF(Sellout!$A$6:$A$35,A32,Sellout!$D$6:$D$35)*(1-Assumptions!$B$49)</f>
        <v/>
      </c>
      <c r="AA32" s="31">
        <f>IF(A32=Assumptions!$B$58,Ops!$B$23,0)+IF(A32=Assumptions!$B$59,Ops!$C$23,0)</f>
        <v/>
      </c>
      <c r="AB32" s="21">
        <f>-O32+X32+Y32+Z32+AA32</f>
        <v/>
      </c>
      <c r="AC32" s="21">
        <f>AB32+S32-V32</f>
        <v/>
      </c>
    </row>
    <row r="33">
      <c r="A33" s="42" t="n">
        <v>28</v>
      </c>
      <c r="B33" s="43">
        <f>EDATE(Assumptions!$B$7,A33-1)</f>
        <v/>
      </c>
      <c r="C33" s="30">
        <f>IF(A33&lt;Assumptions!$B$9,"Pre-dev",IF(A33&lt;$AE$2,"Construction",IF(A33&lt;=Assumptions!$B$59,"Lease-up / exit","Tail")))</f>
        <v/>
      </c>
      <c r="D33" s="42">
        <f>IF(AND(A33&gt;=Assumptions!$B$9,A33&lt;$AE$2),(A33-Assumptions!$B$9+1)*($AE$2-A33),0)</f>
        <v/>
      </c>
      <c r="E33" s="44">
        <f>IFERROR(D33/$AE$6,0)</f>
        <v/>
      </c>
      <c r="F33" s="21">
        <f>IF(A33=1,DevBudget!$B$5,0)</f>
        <v/>
      </c>
      <c r="G33" s="21">
        <f>E33*DevBudget!$B$6</f>
        <v/>
      </c>
      <c r="H33" s="21">
        <f>E33*DevBudget!$B$7</f>
        <v/>
      </c>
      <c r="I33" s="21">
        <f>E33*DevBudget!$B$8</f>
        <v/>
      </c>
      <c r="J33" s="21">
        <f>E33*(DevBudget!$B$9+DevBudget!$B$10)</f>
        <v/>
      </c>
      <c r="K33" s="21">
        <f>E33*DevBudget!$B$12</f>
        <v/>
      </c>
      <c r="L33" s="21">
        <f>E33*DevBudget!$B$13</f>
        <v/>
      </c>
      <c r="M33" s="21">
        <f>IF(A33=Assumptions!$B$9,Assumptions!$B$69+Assumptions!$B$72,0)+IF(A33=$AE$4,Assumptions!$B$70+Assumptions!$B$71+Assumptions!$B$73,0)</f>
        <v/>
      </c>
      <c r="N33" s="21">
        <f>E33*DevBudget!$B$16</f>
        <v/>
      </c>
      <c r="O33" s="21">
        <f>SUM(F33:N33)</f>
        <v/>
      </c>
      <c r="P33" s="21">
        <f>P32+O33</f>
        <v/>
      </c>
      <c r="Q33" s="21">
        <f>MIN(O33,MAX(0,DevBudget!$B$19-R32))</f>
        <v/>
      </c>
      <c r="R33" s="21">
        <f>R32+Q33</f>
        <v/>
      </c>
      <c r="S33" s="21">
        <f>MIN(MAX(0,O33-Q33),MAX(0,Assumptions!$B$24-T33-U33))</f>
        <v/>
      </c>
      <c r="T33" s="21">
        <f>W32</f>
        <v/>
      </c>
      <c r="U33" s="21">
        <f>T33*Assumptions!$B$25/12</f>
        <v/>
      </c>
      <c r="V33" s="21">
        <f>MIN(T33+U33+S33,MAX(0,Z33+AA33))</f>
        <v/>
      </c>
      <c r="W33" s="21">
        <f>T33+S33+U33-V33</f>
        <v/>
      </c>
      <c r="X33" s="21">
        <f>IF(AND(A33&gt;=$AE$2,A33&lt;=Assumptions!$B$58),(MIN(Program!$D$5,MAX(0,(A33-$AE$2+1)*Assumptions!$B$39))*Assumptions!$B$29*(1+Assumptions!$B$31)*(1-Assumptions!$B$32)+Program!$D$9*Assumptions!$B$43*Assumptions!$B$44/12+Program!$D$5*Assumptions!$B$35*Assumptions!$B$34-Program!$D$5*Assumptions!$B$33/12-Assumptions!$B$36*Assumptions!$B$38/12),0)</f>
        <v/>
      </c>
      <c r="Y33" s="21">
        <f>IF(AND(A33&gt;=$AE$4,A33&lt;=Assumptions!$B$59),(MIN(Program!$C$5,MAX(0,(A33-$AE$4+1)*Assumptions!$B$39))*Assumptions!$B$30*(1+Assumptions!$B$31)*(1-Assumptions!$B$32)+Program!$C$9*Assumptions!$B$43*Assumptions!$B$44/12+Program!$C$5*Assumptions!$B$35*Assumptions!$B$34-Program!$C$5*Assumptions!$B$33/12-Assumptions!$B$37*Assumptions!$B$38/12),0)</f>
        <v/>
      </c>
      <c r="Z33" s="31">
        <f>SUMIF(Sellout!$A$6:$A$35,A33,Sellout!$D$6:$D$35)*(1-Assumptions!$B$49)</f>
        <v/>
      </c>
      <c r="AA33" s="31">
        <f>IF(A33=Assumptions!$B$58,Ops!$B$23,0)+IF(A33=Assumptions!$B$59,Ops!$C$23,0)</f>
        <v/>
      </c>
      <c r="AB33" s="21">
        <f>-O33+X33+Y33+Z33+AA33</f>
        <v/>
      </c>
      <c r="AC33" s="21">
        <f>AB33+S33-V33</f>
        <v/>
      </c>
    </row>
    <row r="34">
      <c r="A34" s="42" t="n">
        <v>29</v>
      </c>
      <c r="B34" s="43">
        <f>EDATE(Assumptions!$B$7,A34-1)</f>
        <v/>
      </c>
      <c r="C34" s="30">
        <f>IF(A34&lt;Assumptions!$B$9,"Pre-dev",IF(A34&lt;$AE$2,"Construction",IF(A34&lt;=Assumptions!$B$59,"Lease-up / exit","Tail")))</f>
        <v/>
      </c>
      <c r="D34" s="42">
        <f>IF(AND(A34&gt;=Assumptions!$B$9,A34&lt;$AE$2),(A34-Assumptions!$B$9+1)*($AE$2-A34),0)</f>
        <v/>
      </c>
      <c r="E34" s="44">
        <f>IFERROR(D34/$AE$6,0)</f>
        <v/>
      </c>
      <c r="F34" s="21">
        <f>IF(A34=1,DevBudget!$B$5,0)</f>
        <v/>
      </c>
      <c r="G34" s="21">
        <f>E34*DevBudget!$B$6</f>
        <v/>
      </c>
      <c r="H34" s="21">
        <f>E34*DevBudget!$B$7</f>
        <v/>
      </c>
      <c r="I34" s="21">
        <f>E34*DevBudget!$B$8</f>
        <v/>
      </c>
      <c r="J34" s="21">
        <f>E34*(DevBudget!$B$9+DevBudget!$B$10)</f>
        <v/>
      </c>
      <c r="K34" s="21">
        <f>E34*DevBudget!$B$12</f>
        <v/>
      </c>
      <c r="L34" s="21">
        <f>E34*DevBudget!$B$13</f>
        <v/>
      </c>
      <c r="M34" s="21">
        <f>IF(A34=Assumptions!$B$9,Assumptions!$B$69+Assumptions!$B$72,0)+IF(A34=$AE$4,Assumptions!$B$70+Assumptions!$B$71+Assumptions!$B$73,0)</f>
        <v/>
      </c>
      <c r="N34" s="21">
        <f>E34*DevBudget!$B$16</f>
        <v/>
      </c>
      <c r="O34" s="21">
        <f>SUM(F34:N34)</f>
        <v/>
      </c>
      <c r="P34" s="21">
        <f>P33+O34</f>
        <v/>
      </c>
      <c r="Q34" s="21">
        <f>MIN(O34,MAX(0,DevBudget!$B$19-R33))</f>
        <v/>
      </c>
      <c r="R34" s="21">
        <f>R33+Q34</f>
        <v/>
      </c>
      <c r="S34" s="21">
        <f>MIN(MAX(0,O34-Q34),MAX(0,Assumptions!$B$24-T34-U34))</f>
        <v/>
      </c>
      <c r="T34" s="21">
        <f>W33</f>
        <v/>
      </c>
      <c r="U34" s="21">
        <f>T34*Assumptions!$B$25/12</f>
        <v/>
      </c>
      <c r="V34" s="21">
        <f>MIN(T34+U34+S34,MAX(0,Z34+AA34))</f>
        <v/>
      </c>
      <c r="W34" s="21">
        <f>T34+S34+U34-V34</f>
        <v/>
      </c>
      <c r="X34" s="21">
        <f>IF(AND(A34&gt;=$AE$2,A34&lt;=Assumptions!$B$58),(MIN(Program!$D$5,MAX(0,(A34-$AE$2+1)*Assumptions!$B$39))*Assumptions!$B$29*(1+Assumptions!$B$31)*(1-Assumptions!$B$32)+Program!$D$9*Assumptions!$B$43*Assumptions!$B$44/12+Program!$D$5*Assumptions!$B$35*Assumptions!$B$34-Program!$D$5*Assumptions!$B$33/12-Assumptions!$B$36*Assumptions!$B$38/12),0)</f>
        <v/>
      </c>
      <c r="Y34" s="21">
        <f>IF(AND(A34&gt;=$AE$4,A34&lt;=Assumptions!$B$59),(MIN(Program!$C$5,MAX(0,(A34-$AE$4+1)*Assumptions!$B$39))*Assumptions!$B$30*(1+Assumptions!$B$31)*(1-Assumptions!$B$32)+Program!$C$9*Assumptions!$B$43*Assumptions!$B$44/12+Program!$C$5*Assumptions!$B$35*Assumptions!$B$34-Program!$C$5*Assumptions!$B$33/12-Assumptions!$B$37*Assumptions!$B$38/12),0)</f>
        <v/>
      </c>
      <c r="Z34" s="31">
        <f>SUMIF(Sellout!$A$6:$A$35,A34,Sellout!$D$6:$D$35)*(1-Assumptions!$B$49)</f>
        <v/>
      </c>
      <c r="AA34" s="31">
        <f>IF(A34=Assumptions!$B$58,Ops!$B$23,0)+IF(A34=Assumptions!$B$59,Ops!$C$23,0)</f>
        <v/>
      </c>
      <c r="AB34" s="21">
        <f>-O34+X34+Y34+Z34+AA34</f>
        <v/>
      </c>
      <c r="AC34" s="21">
        <f>AB34+S34-V34</f>
        <v/>
      </c>
    </row>
    <row r="35">
      <c r="A35" s="42" t="n">
        <v>30</v>
      </c>
      <c r="B35" s="43">
        <f>EDATE(Assumptions!$B$7,A35-1)</f>
        <v/>
      </c>
      <c r="C35" s="30">
        <f>IF(A35&lt;Assumptions!$B$9,"Pre-dev",IF(A35&lt;$AE$2,"Construction",IF(A35&lt;=Assumptions!$B$59,"Lease-up / exit","Tail")))</f>
        <v/>
      </c>
      <c r="D35" s="42">
        <f>IF(AND(A35&gt;=Assumptions!$B$9,A35&lt;$AE$2),(A35-Assumptions!$B$9+1)*($AE$2-A35),0)</f>
        <v/>
      </c>
      <c r="E35" s="44">
        <f>IFERROR(D35/$AE$6,0)</f>
        <v/>
      </c>
      <c r="F35" s="21">
        <f>IF(A35=1,DevBudget!$B$5,0)</f>
        <v/>
      </c>
      <c r="G35" s="21">
        <f>E35*DevBudget!$B$6</f>
        <v/>
      </c>
      <c r="H35" s="21">
        <f>E35*DevBudget!$B$7</f>
        <v/>
      </c>
      <c r="I35" s="21">
        <f>E35*DevBudget!$B$8</f>
        <v/>
      </c>
      <c r="J35" s="21">
        <f>E35*(DevBudget!$B$9+DevBudget!$B$10)</f>
        <v/>
      </c>
      <c r="K35" s="21">
        <f>E35*DevBudget!$B$12</f>
        <v/>
      </c>
      <c r="L35" s="21">
        <f>E35*DevBudget!$B$13</f>
        <v/>
      </c>
      <c r="M35" s="21">
        <f>IF(A35=Assumptions!$B$9,Assumptions!$B$69+Assumptions!$B$72,0)+IF(A35=$AE$4,Assumptions!$B$70+Assumptions!$B$71+Assumptions!$B$73,0)</f>
        <v/>
      </c>
      <c r="N35" s="21">
        <f>E35*DevBudget!$B$16</f>
        <v/>
      </c>
      <c r="O35" s="21">
        <f>SUM(F35:N35)</f>
        <v/>
      </c>
      <c r="P35" s="21">
        <f>P34+O35</f>
        <v/>
      </c>
      <c r="Q35" s="21">
        <f>MIN(O35,MAX(0,DevBudget!$B$19-R34))</f>
        <v/>
      </c>
      <c r="R35" s="21">
        <f>R34+Q35</f>
        <v/>
      </c>
      <c r="S35" s="21">
        <f>MIN(MAX(0,O35-Q35),MAX(0,Assumptions!$B$24-T35-U35))</f>
        <v/>
      </c>
      <c r="T35" s="21">
        <f>W34</f>
        <v/>
      </c>
      <c r="U35" s="21">
        <f>T35*Assumptions!$B$25/12</f>
        <v/>
      </c>
      <c r="V35" s="21">
        <f>MIN(T35+U35+S35,MAX(0,Z35+AA35))</f>
        <v/>
      </c>
      <c r="W35" s="21">
        <f>T35+S35+U35-V35</f>
        <v/>
      </c>
      <c r="X35" s="21">
        <f>IF(AND(A35&gt;=$AE$2,A35&lt;=Assumptions!$B$58),(MIN(Program!$D$5,MAX(0,(A35-$AE$2+1)*Assumptions!$B$39))*Assumptions!$B$29*(1+Assumptions!$B$31)*(1-Assumptions!$B$32)+Program!$D$9*Assumptions!$B$43*Assumptions!$B$44/12+Program!$D$5*Assumptions!$B$35*Assumptions!$B$34-Program!$D$5*Assumptions!$B$33/12-Assumptions!$B$36*Assumptions!$B$38/12),0)</f>
        <v/>
      </c>
      <c r="Y35" s="21">
        <f>IF(AND(A35&gt;=$AE$4,A35&lt;=Assumptions!$B$59),(MIN(Program!$C$5,MAX(0,(A35-$AE$4+1)*Assumptions!$B$39))*Assumptions!$B$30*(1+Assumptions!$B$31)*(1-Assumptions!$B$32)+Program!$C$9*Assumptions!$B$43*Assumptions!$B$44/12+Program!$C$5*Assumptions!$B$35*Assumptions!$B$34-Program!$C$5*Assumptions!$B$33/12-Assumptions!$B$37*Assumptions!$B$38/12),0)</f>
        <v/>
      </c>
      <c r="Z35" s="31">
        <f>SUMIF(Sellout!$A$6:$A$35,A35,Sellout!$D$6:$D$35)*(1-Assumptions!$B$49)</f>
        <v/>
      </c>
      <c r="AA35" s="31">
        <f>IF(A35=Assumptions!$B$58,Ops!$B$23,0)+IF(A35=Assumptions!$B$59,Ops!$C$23,0)</f>
        <v/>
      </c>
      <c r="AB35" s="21">
        <f>-O35+X35+Y35+Z35+AA35</f>
        <v/>
      </c>
      <c r="AC35" s="21">
        <f>AB35+S35-V35</f>
        <v/>
      </c>
    </row>
    <row r="36">
      <c r="A36" s="42" t="n">
        <v>31</v>
      </c>
      <c r="B36" s="43">
        <f>EDATE(Assumptions!$B$7,A36-1)</f>
        <v/>
      </c>
      <c r="C36" s="30">
        <f>IF(A36&lt;Assumptions!$B$9,"Pre-dev",IF(A36&lt;$AE$2,"Construction",IF(A36&lt;=Assumptions!$B$59,"Lease-up / exit","Tail")))</f>
        <v/>
      </c>
      <c r="D36" s="42">
        <f>IF(AND(A36&gt;=Assumptions!$B$9,A36&lt;$AE$2),(A36-Assumptions!$B$9+1)*($AE$2-A36),0)</f>
        <v/>
      </c>
      <c r="E36" s="44">
        <f>IFERROR(D36/$AE$6,0)</f>
        <v/>
      </c>
      <c r="F36" s="21">
        <f>IF(A36=1,DevBudget!$B$5,0)</f>
        <v/>
      </c>
      <c r="G36" s="21">
        <f>E36*DevBudget!$B$6</f>
        <v/>
      </c>
      <c r="H36" s="21">
        <f>E36*DevBudget!$B$7</f>
        <v/>
      </c>
      <c r="I36" s="21">
        <f>E36*DevBudget!$B$8</f>
        <v/>
      </c>
      <c r="J36" s="21">
        <f>E36*(DevBudget!$B$9+DevBudget!$B$10)</f>
        <v/>
      </c>
      <c r="K36" s="21">
        <f>E36*DevBudget!$B$12</f>
        <v/>
      </c>
      <c r="L36" s="21">
        <f>E36*DevBudget!$B$13</f>
        <v/>
      </c>
      <c r="M36" s="21">
        <f>IF(A36=Assumptions!$B$9,Assumptions!$B$69+Assumptions!$B$72,0)+IF(A36=$AE$4,Assumptions!$B$70+Assumptions!$B$71+Assumptions!$B$73,0)</f>
        <v/>
      </c>
      <c r="N36" s="21">
        <f>E36*DevBudget!$B$16</f>
        <v/>
      </c>
      <c r="O36" s="21">
        <f>SUM(F36:N36)</f>
        <v/>
      </c>
      <c r="P36" s="21">
        <f>P35+O36</f>
        <v/>
      </c>
      <c r="Q36" s="21">
        <f>MIN(O36,MAX(0,DevBudget!$B$19-R35))</f>
        <v/>
      </c>
      <c r="R36" s="21">
        <f>R35+Q36</f>
        <v/>
      </c>
      <c r="S36" s="21">
        <f>MIN(MAX(0,O36-Q36),MAX(0,Assumptions!$B$24-T36-U36))</f>
        <v/>
      </c>
      <c r="T36" s="21">
        <f>W35</f>
        <v/>
      </c>
      <c r="U36" s="21">
        <f>T36*Assumptions!$B$25/12</f>
        <v/>
      </c>
      <c r="V36" s="21">
        <f>MIN(T36+U36+S36,MAX(0,Z36+AA36))</f>
        <v/>
      </c>
      <c r="W36" s="21">
        <f>T36+S36+U36-V36</f>
        <v/>
      </c>
      <c r="X36" s="21">
        <f>IF(AND(A36&gt;=$AE$2,A36&lt;=Assumptions!$B$58),(MIN(Program!$D$5,MAX(0,(A36-$AE$2+1)*Assumptions!$B$39))*Assumptions!$B$29*(1+Assumptions!$B$31)*(1-Assumptions!$B$32)+Program!$D$9*Assumptions!$B$43*Assumptions!$B$44/12+Program!$D$5*Assumptions!$B$35*Assumptions!$B$34-Program!$D$5*Assumptions!$B$33/12-Assumptions!$B$36*Assumptions!$B$38/12),0)</f>
        <v/>
      </c>
      <c r="Y36" s="21">
        <f>IF(AND(A36&gt;=$AE$4,A36&lt;=Assumptions!$B$59),(MIN(Program!$C$5,MAX(0,(A36-$AE$4+1)*Assumptions!$B$39))*Assumptions!$B$30*(1+Assumptions!$B$31)*(1-Assumptions!$B$32)+Program!$C$9*Assumptions!$B$43*Assumptions!$B$44/12+Program!$C$5*Assumptions!$B$35*Assumptions!$B$34-Program!$C$5*Assumptions!$B$33/12-Assumptions!$B$37*Assumptions!$B$38/12),0)</f>
        <v/>
      </c>
      <c r="Z36" s="31">
        <f>SUMIF(Sellout!$A$6:$A$35,A36,Sellout!$D$6:$D$35)*(1-Assumptions!$B$49)</f>
        <v/>
      </c>
      <c r="AA36" s="31">
        <f>IF(A36=Assumptions!$B$58,Ops!$B$23,0)+IF(A36=Assumptions!$B$59,Ops!$C$23,0)</f>
        <v/>
      </c>
      <c r="AB36" s="21">
        <f>-O36+X36+Y36+Z36+AA36</f>
        <v/>
      </c>
      <c r="AC36" s="21">
        <f>AB36+S36-V36</f>
        <v/>
      </c>
    </row>
    <row r="37">
      <c r="A37" s="42" t="n">
        <v>32</v>
      </c>
      <c r="B37" s="43">
        <f>EDATE(Assumptions!$B$7,A37-1)</f>
        <v/>
      </c>
      <c r="C37" s="30">
        <f>IF(A37&lt;Assumptions!$B$9,"Pre-dev",IF(A37&lt;$AE$2,"Construction",IF(A37&lt;=Assumptions!$B$59,"Lease-up / exit","Tail")))</f>
        <v/>
      </c>
      <c r="D37" s="42">
        <f>IF(AND(A37&gt;=Assumptions!$B$9,A37&lt;$AE$2),(A37-Assumptions!$B$9+1)*($AE$2-A37),0)</f>
        <v/>
      </c>
      <c r="E37" s="44">
        <f>IFERROR(D37/$AE$6,0)</f>
        <v/>
      </c>
      <c r="F37" s="21">
        <f>IF(A37=1,DevBudget!$B$5,0)</f>
        <v/>
      </c>
      <c r="G37" s="21">
        <f>E37*DevBudget!$B$6</f>
        <v/>
      </c>
      <c r="H37" s="21">
        <f>E37*DevBudget!$B$7</f>
        <v/>
      </c>
      <c r="I37" s="21">
        <f>E37*DevBudget!$B$8</f>
        <v/>
      </c>
      <c r="J37" s="21">
        <f>E37*(DevBudget!$B$9+DevBudget!$B$10)</f>
        <v/>
      </c>
      <c r="K37" s="21">
        <f>E37*DevBudget!$B$12</f>
        <v/>
      </c>
      <c r="L37" s="21">
        <f>E37*DevBudget!$B$13</f>
        <v/>
      </c>
      <c r="M37" s="21">
        <f>IF(A37=Assumptions!$B$9,Assumptions!$B$69+Assumptions!$B$72,0)+IF(A37=$AE$4,Assumptions!$B$70+Assumptions!$B$71+Assumptions!$B$73,0)</f>
        <v/>
      </c>
      <c r="N37" s="21">
        <f>E37*DevBudget!$B$16</f>
        <v/>
      </c>
      <c r="O37" s="21">
        <f>SUM(F37:N37)</f>
        <v/>
      </c>
      <c r="P37" s="21">
        <f>P36+O37</f>
        <v/>
      </c>
      <c r="Q37" s="21">
        <f>MIN(O37,MAX(0,DevBudget!$B$19-R36))</f>
        <v/>
      </c>
      <c r="R37" s="21">
        <f>R36+Q37</f>
        <v/>
      </c>
      <c r="S37" s="21">
        <f>MIN(MAX(0,O37-Q37),MAX(0,Assumptions!$B$24-T37-U37))</f>
        <v/>
      </c>
      <c r="T37" s="21">
        <f>W36</f>
        <v/>
      </c>
      <c r="U37" s="21">
        <f>T37*Assumptions!$B$25/12</f>
        <v/>
      </c>
      <c r="V37" s="21">
        <f>MIN(T37+U37+S37,MAX(0,Z37+AA37))</f>
        <v/>
      </c>
      <c r="W37" s="21">
        <f>T37+S37+U37-V37</f>
        <v/>
      </c>
      <c r="X37" s="21">
        <f>IF(AND(A37&gt;=$AE$2,A37&lt;=Assumptions!$B$58),(MIN(Program!$D$5,MAX(0,(A37-$AE$2+1)*Assumptions!$B$39))*Assumptions!$B$29*(1+Assumptions!$B$31)*(1-Assumptions!$B$32)+Program!$D$9*Assumptions!$B$43*Assumptions!$B$44/12+Program!$D$5*Assumptions!$B$35*Assumptions!$B$34-Program!$D$5*Assumptions!$B$33/12-Assumptions!$B$36*Assumptions!$B$38/12),0)</f>
        <v/>
      </c>
      <c r="Y37" s="21">
        <f>IF(AND(A37&gt;=$AE$4,A37&lt;=Assumptions!$B$59),(MIN(Program!$C$5,MAX(0,(A37-$AE$4+1)*Assumptions!$B$39))*Assumptions!$B$30*(1+Assumptions!$B$31)*(1-Assumptions!$B$32)+Program!$C$9*Assumptions!$B$43*Assumptions!$B$44/12+Program!$C$5*Assumptions!$B$35*Assumptions!$B$34-Program!$C$5*Assumptions!$B$33/12-Assumptions!$B$37*Assumptions!$B$38/12),0)</f>
        <v/>
      </c>
      <c r="Z37" s="31">
        <f>SUMIF(Sellout!$A$6:$A$35,A37,Sellout!$D$6:$D$35)*(1-Assumptions!$B$49)</f>
        <v/>
      </c>
      <c r="AA37" s="31">
        <f>IF(A37=Assumptions!$B$58,Ops!$B$23,0)+IF(A37=Assumptions!$B$59,Ops!$C$23,0)</f>
        <v/>
      </c>
      <c r="AB37" s="21">
        <f>-O37+X37+Y37+Z37+AA37</f>
        <v/>
      </c>
      <c r="AC37" s="21">
        <f>AB37+S37-V37</f>
        <v/>
      </c>
    </row>
    <row r="38">
      <c r="A38" s="42" t="n">
        <v>33</v>
      </c>
      <c r="B38" s="43">
        <f>EDATE(Assumptions!$B$7,A38-1)</f>
        <v/>
      </c>
      <c r="C38" s="30">
        <f>IF(A38&lt;Assumptions!$B$9,"Pre-dev",IF(A38&lt;$AE$2,"Construction",IF(A38&lt;=Assumptions!$B$59,"Lease-up / exit","Tail")))</f>
        <v/>
      </c>
      <c r="D38" s="42">
        <f>IF(AND(A38&gt;=Assumptions!$B$9,A38&lt;$AE$2),(A38-Assumptions!$B$9+1)*($AE$2-A38),0)</f>
        <v/>
      </c>
      <c r="E38" s="44">
        <f>IFERROR(D38/$AE$6,0)</f>
        <v/>
      </c>
      <c r="F38" s="21">
        <f>IF(A38=1,DevBudget!$B$5,0)</f>
        <v/>
      </c>
      <c r="G38" s="21">
        <f>E38*DevBudget!$B$6</f>
        <v/>
      </c>
      <c r="H38" s="21">
        <f>E38*DevBudget!$B$7</f>
        <v/>
      </c>
      <c r="I38" s="21">
        <f>E38*DevBudget!$B$8</f>
        <v/>
      </c>
      <c r="J38" s="21">
        <f>E38*(DevBudget!$B$9+DevBudget!$B$10)</f>
        <v/>
      </c>
      <c r="K38" s="21">
        <f>E38*DevBudget!$B$12</f>
        <v/>
      </c>
      <c r="L38" s="21">
        <f>E38*DevBudget!$B$13</f>
        <v/>
      </c>
      <c r="M38" s="21">
        <f>IF(A38=Assumptions!$B$9,Assumptions!$B$69+Assumptions!$B$72,0)+IF(A38=$AE$4,Assumptions!$B$70+Assumptions!$B$71+Assumptions!$B$73,0)</f>
        <v/>
      </c>
      <c r="N38" s="21">
        <f>E38*DevBudget!$B$16</f>
        <v/>
      </c>
      <c r="O38" s="21">
        <f>SUM(F38:N38)</f>
        <v/>
      </c>
      <c r="P38" s="21">
        <f>P37+O38</f>
        <v/>
      </c>
      <c r="Q38" s="21">
        <f>MIN(O38,MAX(0,DevBudget!$B$19-R37))</f>
        <v/>
      </c>
      <c r="R38" s="21">
        <f>R37+Q38</f>
        <v/>
      </c>
      <c r="S38" s="21">
        <f>MIN(MAX(0,O38-Q38),MAX(0,Assumptions!$B$24-T38-U38))</f>
        <v/>
      </c>
      <c r="T38" s="21">
        <f>W37</f>
        <v/>
      </c>
      <c r="U38" s="21">
        <f>T38*Assumptions!$B$25/12</f>
        <v/>
      </c>
      <c r="V38" s="21">
        <f>MIN(T38+U38+S38,MAX(0,Z38+AA38))</f>
        <v/>
      </c>
      <c r="W38" s="21">
        <f>T38+S38+U38-V38</f>
        <v/>
      </c>
      <c r="X38" s="21">
        <f>IF(AND(A38&gt;=$AE$2,A38&lt;=Assumptions!$B$58),(MIN(Program!$D$5,MAX(0,(A38-$AE$2+1)*Assumptions!$B$39))*Assumptions!$B$29*(1+Assumptions!$B$31)*(1-Assumptions!$B$32)+Program!$D$9*Assumptions!$B$43*Assumptions!$B$44/12+Program!$D$5*Assumptions!$B$35*Assumptions!$B$34-Program!$D$5*Assumptions!$B$33/12-Assumptions!$B$36*Assumptions!$B$38/12),0)</f>
        <v/>
      </c>
      <c r="Y38" s="21">
        <f>IF(AND(A38&gt;=$AE$4,A38&lt;=Assumptions!$B$59),(MIN(Program!$C$5,MAX(0,(A38-$AE$4+1)*Assumptions!$B$39))*Assumptions!$B$30*(1+Assumptions!$B$31)*(1-Assumptions!$B$32)+Program!$C$9*Assumptions!$B$43*Assumptions!$B$44/12+Program!$C$5*Assumptions!$B$35*Assumptions!$B$34-Program!$C$5*Assumptions!$B$33/12-Assumptions!$B$37*Assumptions!$B$38/12),0)</f>
        <v/>
      </c>
      <c r="Z38" s="31">
        <f>SUMIF(Sellout!$A$6:$A$35,A38,Sellout!$D$6:$D$35)*(1-Assumptions!$B$49)</f>
        <v/>
      </c>
      <c r="AA38" s="31">
        <f>IF(A38=Assumptions!$B$58,Ops!$B$23,0)+IF(A38=Assumptions!$B$59,Ops!$C$23,0)</f>
        <v/>
      </c>
      <c r="AB38" s="21">
        <f>-O38+X38+Y38+Z38+AA38</f>
        <v/>
      </c>
      <c r="AC38" s="21">
        <f>AB38+S38-V38</f>
        <v/>
      </c>
    </row>
    <row r="39">
      <c r="A39" s="42" t="n">
        <v>34</v>
      </c>
      <c r="B39" s="43">
        <f>EDATE(Assumptions!$B$7,A39-1)</f>
        <v/>
      </c>
      <c r="C39" s="30">
        <f>IF(A39&lt;Assumptions!$B$9,"Pre-dev",IF(A39&lt;$AE$2,"Construction",IF(A39&lt;=Assumptions!$B$59,"Lease-up / exit","Tail")))</f>
        <v/>
      </c>
      <c r="D39" s="42">
        <f>IF(AND(A39&gt;=Assumptions!$B$9,A39&lt;$AE$2),(A39-Assumptions!$B$9+1)*($AE$2-A39),0)</f>
        <v/>
      </c>
      <c r="E39" s="44">
        <f>IFERROR(D39/$AE$6,0)</f>
        <v/>
      </c>
      <c r="F39" s="21">
        <f>IF(A39=1,DevBudget!$B$5,0)</f>
        <v/>
      </c>
      <c r="G39" s="21">
        <f>E39*DevBudget!$B$6</f>
        <v/>
      </c>
      <c r="H39" s="21">
        <f>E39*DevBudget!$B$7</f>
        <v/>
      </c>
      <c r="I39" s="21">
        <f>E39*DevBudget!$B$8</f>
        <v/>
      </c>
      <c r="J39" s="21">
        <f>E39*(DevBudget!$B$9+DevBudget!$B$10)</f>
        <v/>
      </c>
      <c r="K39" s="21">
        <f>E39*DevBudget!$B$12</f>
        <v/>
      </c>
      <c r="L39" s="21">
        <f>E39*DevBudget!$B$13</f>
        <v/>
      </c>
      <c r="M39" s="21">
        <f>IF(A39=Assumptions!$B$9,Assumptions!$B$69+Assumptions!$B$72,0)+IF(A39=$AE$4,Assumptions!$B$70+Assumptions!$B$71+Assumptions!$B$73,0)</f>
        <v/>
      </c>
      <c r="N39" s="21">
        <f>E39*DevBudget!$B$16</f>
        <v/>
      </c>
      <c r="O39" s="21">
        <f>SUM(F39:N39)</f>
        <v/>
      </c>
      <c r="P39" s="21">
        <f>P38+O39</f>
        <v/>
      </c>
      <c r="Q39" s="21">
        <f>MIN(O39,MAX(0,DevBudget!$B$19-R38))</f>
        <v/>
      </c>
      <c r="R39" s="21">
        <f>R38+Q39</f>
        <v/>
      </c>
      <c r="S39" s="21">
        <f>MIN(MAX(0,O39-Q39),MAX(0,Assumptions!$B$24-T39-U39))</f>
        <v/>
      </c>
      <c r="T39" s="21">
        <f>W38</f>
        <v/>
      </c>
      <c r="U39" s="21">
        <f>T39*Assumptions!$B$25/12</f>
        <v/>
      </c>
      <c r="V39" s="21">
        <f>MIN(T39+U39+S39,MAX(0,Z39+AA39))</f>
        <v/>
      </c>
      <c r="W39" s="21">
        <f>T39+S39+U39-V39</f>
        <v/>
      </c>
      <c r="X39" s="21">
        <f>IF(AND(A39&gt;=$AE$2,A39&lt;=Assumptions!$B$58),(MIN(Program!$D$5,MAX(0,(A39-$AE$2+1)*Assumptions!$B$39))*Assumptions!$B$29*(1+Assumptions!$B$31)*(1-Assumptions!$B$32)+Program!$D$9*Assumptions!$B$43*Assumptions!$B$44/12+Program!$D$5*Assumptions!$B$35*Assumptions!$B$34-Program!$D$5*Assumptions!$B$33/12-Assumptions!$B$36*Assumptions!$B$38/12),0)</f>
        <v/>
      </c>
      <c r="Y39" s="21">
        <f>IF(AND(A39&gt;=$AE$4,A39&lt;=Assumptions!$B$59),(MIN(Program!$C$5,MAX(0,(A39-$AE$4+1)*Assumptions!$B$39))*Assumptions!$B$30*(1+Assumptions!$B$31)*(1-Assumptions!$B$32)+Program!$C$9*Assumptions!$B$43*Assumptions!$B$44/12+Program!$C$5*Assumptions!$B$35*Assumptions!$B$34-Program!$C$5*Assumptions!$B$33/12-Assumptions!$B$37*Assumptions!$B$38/12),0)</f>
        <v/>
      </c>
      <c r="Z39" s="31">
        <f>SUMIF(Sellout!$A$6:$A$35,A39,Sellout!$D$6:$D$35)*(1-Assumptions!$B$49)</f>
        <v/>
      </c>
      <c r="AA39" s="31">
        <f>IF(A39=Assumptions!$B$58,Ops!$B$23,0)+IF(A39=Assumptions!$B$59,Ops!$C$23,0)</f>
        <v/>
      </c>
      <c r="AB39" s="21">
        <f>-O39+X39+Y39+Z39+AA39</f>
        <v/>
      </c>
      <c r="AC39" s="21">
        <f>AB39+S39-V39</f>
        <v/>
      </c>
    </row>
    <row r="40">
      <c r="A40" s="42" t="n">
        <v>35</v>
      </c>
      <c r="B40" s="43">
        <f>EDATE(Assumptions!$B$7,A40-1)</f>
        <v/>
      </c>
      <c r="C40" s="30">
        <f>IF(A40&lt;Assumptions!$B$9,"Pre-dev",IF(A40&lt;$AE$2,"Construction",IF(A40&lt;=Assumptions!$B$59,"Lease-up / exit","Tail")))</f>
        <v/>
      </c>
      <c r="D40" s="42">
        <f>IF(AND(A40&gt;=Assumptions!$B$9,A40&lt;$AE$2),(A40-Assumptions!$B$9+1)*($AE$2-A40),0)</f>
        <v/>
      </c>
      <c r="E40" s="44">
        <f>IFERROR(D40/$AE$6,0)</f>
        <v/>
      </c>
      <c r="F40" s="21">
        <f>IF(A40=1,DevBudget!$B$5,0)</f>
        <v/>
      </c>
      <c r="G40" s="21">
        <f>E40*DevBudget!$B$6</f>
        <v/>
      </c>
      <c r="H40" s="21">
        <f>E40*DevBudget!$B$7</f>
        <v/>
      </c>
      <c r="I40" s="21">
        <f>E40*DevBudget!$B$8</f>
        <v/>
      </c>
      <c r="J40" s="21">
        <f>E40*(DevBudget!$B$9+DevBudget!$B$10)</f>
        <v/>
      </c>
      <c r="K40" s="21">
        <f>E40*DevBudget!$B$12</f>
        <v/>
      </c>
      <c r="L40" s="21">
        <f>E40*DevBudget!$B$13</f>
        <v/>
      </c>
      <c r="M40" s="21">
        <f>IF(A40=Assumptions!$B$9,Assumptions!$B$69+Assumptions!$B$72,0)+IF(A40=$AE$4,Assumptions!$B$70+Assumptions!$B$71+Assumptions!$B$73,0)</f>
        <v/>
      </c>
      <c r="N40" s="21">
        <f>E40*DevBudget!$B$16</f>
        <v/>
      </c>
      <c r="O40" s="21">
        <f>SUM(F40:N40)</f>
        <v/>
      </c>
      <c r="P40" s="21">
        <f>P39+O40</f>
        <v/>
      </c>
      <c r="Q40" s="21">
        <f>MIN(O40,MAX(0,DevBudget!$B$19-R39))</f>
        <v/>
      </c>
      <c r="R40" s="21">
        <f>R39+Q40</f>
        <v/>
      </c>
      <c r="S40" s="21">
        <f>MIN(MAX(0,O40-Q40),MAX(0,Assumptions!$B$24-T40-U40))</f>
        <v/>
      </c>
      <c r="T40" s="21">
        <f>W39</f>
        <v/>
      </c>
      <c r="U40" s="21">
        <f>T40*Assumptions!$B$25/12</f>
        <v/>
      </c>
      <c r="V40" s="21">
        <f>MIN(T40+U40+S40,MAX(0,Z40+AA40))</f>
        <v/>
      </c>
      <c r="W40" s="21">
        <f>T40+S40+U40-V40</f>
        <v/>
      </c>
      <c r="X40" s="21">
        <f>IF(AND(A40&gt;=$AE$2,A40&lt;=Assumptions!$B$58),(MIN(Program!$D$5,MAX(0,(A40-$AE$2+1)*Assumptions!$B$39))*Assumptions!$B$29*(1+Assumptions!$B$31)*(1-Assumptions!$B$32)+Program!$D$9*Assumptions!$B$43*Assumptions!$B$44/12+Program!$D$5*Assumptions!$B$35*Assumptions!$B$34-Program!$D$5*Assumptions!$B$33/12-Assumptions!$B$36*Assumptions!$B$38/12),0)</f>
        <v/>
      </c>
      <c r="Y40" s="21">
        <f>IF(AND(A40&gt;=$AE$4,A40&lt;=Assumptions!$B$59),(MIN(Program!$C$5,MAX(0,(A40-$AE$4+1)*Assumptions!$B$39))*Assumptions!$B$30*(1+Assumptions!$B$31)*(1-Assumptions!$B$32)+Program!$C$9*Assumptions!$B$43*Assumptions!$B$44/12+Program!$C$5*Assumptions!$B$35*Assumptions!$B$34-Program!$C$5*Assumptions!$B$33/12-Assumptions!$B$37*Assumptions!$B$38/12),0)</f>
        <v/>
      </c>
      <c r="Z40" s="31">
        <f>SUMIF(Sellout!$A$6:$A$35,A40,Sellout!$D$6:$D$35)*(1-Assumptions!$B$49)</f>
        <v/>
      </c>
      <c r="AA40" s="31">
        <f>IF(A40=Assumptions!$B$58,Ops!$B$23,0)+IF(A40=Assumptions!$B$59,Ops!$C$23,0)</f>
        <v/>
      </c>
      <c r="AB40" s="21">
        <f>-O40+X40+Y40+Z40+AA40</f>
        <v/>
      </c>
      <c r="AC40" s="21">
        <f>AB40+S40-V40</f>
        <v/>
      </c>
    </row>
    <row r="41">
      <c r="A41" s="42" t="n">
        <v>36</v>
      </c>
      <c r="B41" s="43">
        <f>EDATE(Assumptions!$B$7,A41-1)</f>
        <v/>
      </c>
      <c r="C41" s="30">
        <f>IF(A41&lt;Assumptions!$B$9,"Pre-dev",IF(A41&lt;$AE$2,"Construction",IF(A41&lt;=Assumptions!$B$59,"Lease-up / exit","Tail")))</f>
        <v/>
      </c>
      <c r="D41" s="42">
        <f>IF(AND(A41&gt;=Assumptions!$B$9,A41&lt;$AE$2),(A41-Assumptions!$B$9+1)*($AE$2-A41),0)</f>
        <v/>
      </c>
      <c r="E41" s="44">
        <f>IFERROR(D41/$AE$6,0)</f>
        <v/>
      </c>
      <c r="F41" s="21">
        <f>IF(A41=1,DevBudget!$B$5,0)</f>
        <v/>
      </c>
      <c r="G41" s="21">
        <f>E41*DevBudget!$B$6</f>
        <v/>
      </c>
      <c r="H41" s="21">
        <f>E41*DevBudget!$B$7</f>
        <v/>
      </c>
      <c r="I41" s="21">
        <f>E41*DevBudget!$B$8</f>
        <v/>
      </c>
      <c r="J41" s="21">
        <f>E41*(DevBudget!$B$9+DevBudget!$B$10)</f>
        <v/>
      </c>
      <c r="K41" s="21">
        <f>E41*DevBudget!$B$12</f>
        <v/>
      </c>
      <c r="L41" s="21">
        <f>E41*DevBudget!$B$13</f>
        <v/>
      </c>
      <c r="M41" s="21">
        <f>IF(A41=Assumptions!$B$9,Assumptions!$B$69+Assumptions!$B$72,0)+IF(A41=$AE$4,Assumptions!$B$70+Assumptions!$B$71+Assumptions!$B$73,0)</f>
        <v/>
      </c>
      <c r="N41" s="21">
        <f>E41*DevBudget!$B$16</f>
        <v/>
      </c>
      <c r="O41" s="21">
        <f>SUM(F41:N41)</f>
        <v/>
      </c>
      <c r="P41" s="21">
        <f>P40+O41</f>
        <v/>
      </c>
      <c r="Q41" s="21">
        <f>MIN(O41,MAX(0,DevBudget!$B$19-R40))</f>
        <v/>
      </c>
      <c r="R41" s="21">
        <f>R40+Q41</f>
        <v/>
      </c>
      <c r="S41" s="21">
        <f>MIN(MAX(0,O41-Q41),MAX(0,Assumptions!$B$24-T41-U41))</f>
        <v/>
      </c>
      <c r="T41" s="21">
        <f>W40</f>
        <v/>
      </c>
      <c r="U41" s="21">
        <f>T41*Assumptions!$B$25/12</f>
        <v/>
      </c>
      <c r="V41" s="21">
        <f>MIN(T41+U41+S41,MAX(0,Z41+AA41))</f>
        <v/>
      </c>
      <c r="W41" s="21">
        <f>T41+S41+U41-V41</f>
        <v/>
      </c>
      <c r="X41" s="21">
        <f>IF(AND(A41&gt;=$AE$2,A41&lt;=Assumptions!$B$58),(MIN(Program!$D$5,MAX(0,(A41-$AE$2+1)*Assumptions!$B$39))*Assumptions!$B$29*(1+Assumptions!$B$31)*(1-Assumptions!$B$32)+Program!$D$9*Assumptions!$B$43*Assumptions!$B$44/12+Program!$D$5*Assumptions!$B$35*Assumptions!$B$34-Program!$D$5*Assumptions!$B$33/12-Assumptions!$B$36*Assumptions!$B$38/12),0)</f>
        <v/>
      </c>
      <c r="Y41" s="21">
        <f>IF(AND(A41&gt;=$AE$4,A41&lt;=Assumptions!$B$59),(MIN(Program!$C$5,MAX(0,(A41-$AE$4+1)*Assumptions!$B$39))*Assumptions!$B$30*(1+Assumptions!$B$31)*(1-Assumptions!$B$32)+Program!$C$9*Assumptions!$B$43*Assumptions!$B$44/12+Program!$C$5*Assumptions!$B$35*Assumptions!$B$34-Program!$C$5*Assumptions!$B$33/12-Assumptions!$B$37*Assumptions!$B$38/12),0)</f>
        <v/>
      </c>
      <c r="Z41" s="31">
        <f>SUMIF(Sellout!$A$6:$A$35,A41,Sellout!$D$6:$D$35)*(1-Assumptions!$B$49)</f>
        <v/>
      </c>
      <c r="AA41" s="31">
        <f>IF(A41=Assumptions!$B$58,Ops!$B$23,0)+IF(A41=Assumptions!$B$59,Ops!$C$23,0)</f>
        <v/>
      </c>
      <c r="AB41" s="21">
        <f>-O41+X41+Y41+Z41+AA41</f>
        <v/>
      </c>
      <c r="AC41" s="21">
        <f>AB41+S41-V41</f>
        <v/>
      </c>
    </row>
    <row r="42">
      <c r="A42" s="42" t="n">
        <v>37</v>
      </c>
      <c r="B42" s="43">
        <f>EDATE(Assumptions!$B$7,A42-1)</f>
        <v/>
      </c>
      <c r="C42" s="30">
        <f>IF(A42&lt;Assumptions!$B$9,"Pre-dev",IF(A42&lt;$AE$2,"Construction",IF(A42&lt;=Assumptions!$B$59,"Lease-up / exit","Tail")))</f>
        <v/>
      </c>
      <c r="D42" s="42">
        <f>IF(AND(A42&gt;=Assumptions!$B$9,A42&lt;$AE$2),(A42-Assumptions!$B$9+1)*($AE$2-A42),0)</f>
        <v/>
      </c>
      <c r="E42" s="44">
        <f>IFERROR(D42/$AE$6,0)</f>
        <v/>
      </c>
      <c r="F42" s="21">
        <f>IF(A42=1,DevBudget!$B$5,0)</f>
        <v/>
      </c>
      <c r="G42" s="21">
        <f>E42*DevBudget!$B$6</f>
        <v/>
      </c>
      <c r="H42" s="21">
        <f>E42*DevBudget!$B$7</f>
        <v/>
      </c>
      <c r="I42" s="21">
        <f>E42*DevBudget!$B$8</f>
        <v/>
      </c>
      <c r="J42" s="21">
        <f>E42*(DevBudget!$B$9+DevBudget!$B$10)</f>
        <v/>
      </c>
      <c r="K42" s="21">
        <f>E42*DevBudget!$B$12</f>
        <v/>
      </c>
      <c r="L42" s="21">
        <f>E42*DevBudget!$B$13</f>
        <v/>
      </c>
      <c r="M42" s="21">
        <f>IF(A42=Assumptions!$B$9,Assumptions!$B$69+Assumptions!$B$72,0)+IF(A42=$AE$4,Assumptions!$B$70+Assumptions!$B$71+Assumptions!$B$73,0)</f>
        <v/>
      </c>
      <c r="N42" s="21">
        <f>E42*DevBudget!$B$16</f>
        <v/>
      </c>
      <c r="O42" s="21">
        <f>SUM(F42:N42)</f>
        <v/>
      </c>
      <c r="P42" s="21">
        <f>P41+O42</f>
        <v/>
      </c>
      <c r="Q42" s="21">
        <f>MIN(O42,MAX(0,DevBudget!$B$19-R41))</f>
        <v/>
      </c>
      <c r="R42" s="21">
        <f>R41+Q42</f>
        <v/>
      </c>
      <c r="S42" s="21">
        <f>MIN(MAX(0,O42-Q42),MAX(0,Assumptions!$B$24-T42-U42))</f>
        <v/>
      </c>
      <c r="T42" s="21">
        <f>W41</f>
        <v/>
      </c>
      <c r="U42" s="21">
        <f>T42*Assumptions!$B$25/12</f>
        <v/>
      </c>
      <c r="V42" s="21">
        <f>MIN(T42+U42+S42,MAX(0,Z42+AA42))</f>
        <v/>
      </c>
      <c r="W42" s="21">
        <f>T42+S42+U42-V42</f>
        <v/>
      </c>
      <c r="X42" s="21">
        <f>IF(AND(A42&gt;=$AE$2,A42&lt;=Assumptions!$B$58),(MIN(Program!$D$5,MAX(0,(A42-$AE$2+1)*Assumptions!$B$39))*Assumptions!$B$29*(1+Assumptions!$B$31)*(1-Assumptions!$B$32)+Program!$D$9*Assumptions!$B$43*Assumptions!$B$44/12+Program!$D$5*Assumptions!$B$35*Assumptions!$B$34-Program!$D$5*Assumptions!$B$33/12-Assumptions!$B$36*Assumptions!$B$38/12),0)</f>
        <v/>
      </c>
      <c r="Y42" s="21">
        <f>IF(AND(A42&gt;=$AE$4,A42&lt;=Assumptions!$B$59),(MIN(Program!$C$5,MAX(0,(A42-$AE$4+1)*Assumptions!$B$39))*Assumptions!$B$30*(1+Assumptions!$B$31)*(1-Assumptions!$B$32)+Program!$C$9*Assumptions!$B$43*Assumptions!$B$44/12+Program!$C$5*Assumptions!$B$35*Assumptions!$B$34-Program!$C$5*Assumptions!$B$33/12-Assumptions!$B$37*Assumptions!$B$38/12),0)</f>
        <v/>
      </c>
      <c r="Z42" s="31">
        <f>SUMIF(Sellout!$A$6:$A$35,A42,Sellout!$D$6:$D$35)*(1-Assumptions!$B$49)</f>
        <v/>
      </c>
      <c r="AA42" s="31">
        <f>IF(A42=Assumptions!$B$58,Ops!$B$23,0)+IF(A42=Assumptions!$B$59,Ops!$C$23,0)</f>
        <v/>
      </c>
      <c r="AB42" s="21">
        <f>-O42+X42+Y42+Z42+AA42</f>
        <v/>
      </c>
      <c r="AC42" s="21">
        <f>AB42+S42-V42</f>
        <v/>
      </c>
    </row>
    <row r="43">
      <c r="A43" s="42" t="n">
        <v>38</v>
      </c>
      <c r="B43" s="43">
        <f>EDATE(Assumptions!$B$7,A43-1)</f>
        <v/>
      </c>
      <c r="C43" s="30">
        <f>IF(A43&lt;Assumptions!$B$9,"Pre-dev",IF(A43&lt;$AE$2,"Construction",IF(A43&lt;=Assumptions!$B$59,"Lease-up / exit","Tail")))</f>
        <v/>
      </c>
      <c r="D43" s="42">
        <f>IF(AND(A43&gt;=Assumptions!$B$9,A43&lt;$AE$2),(A43-Assumptions!$B$9+1)*($AE$2-A43),0)</f>
        <v/>
      </c>
      <c r="E43" s="44">
        <f>IFERROR(D43/$AE$6,0)</f>
        <v/>
      </c>
      <c r="F43" s="21">
        <f>IF(A43=1,DevBudget!$B$5,0)</f>
        <v/>
      </c>
      <c r="G43" s="21">
        <f>E43*DevBudget!$B$6</f>
        <v/>
      </c>
      <c r="H43" s="21">
        <f>E43*DevBudget!$B$7</f>
        <v/>
      </c>
      <c r="I43" s="21">
        <f>E43*DevBudget!$B$8</f>
        <v/>
      </c>
      <c r="J43" s="21">
        <f>E43*(DevBudget!$B$9+DevBudget!$B$10)</f>
        <v/>
      </c>
      <c r="K43" s="21">
        <f>E43*DevBudget!$B$12</f>
        <v/>
      </c>
      <c r="L43" s="21">
        <f>E43*DevBudget!$B$13</f>
        <v/>
      </c>
      <c r="M43" s="21">
        <f>IF(A43=Assumptions!$B$9,Assumptions!$B$69+Assumptions!$B$72,0)+IF(A43=$AE$4,Assumptions!$B$70+Assumptions!$B$71+Assumptions!$B$73,0)</f>
        <v/>
      </c>
      <c r="N43" s="21">
        <f>E43*DevBudget!$B$16</f>
        <v/>
      </c>
      <c r="O43" s="21">
        <f>SUM(F43:N43)</f>
        <v/>
      </c>
      <c r="P43" s="21">
        <f>P42+O43</f>
        <v/>
      </c>
      <c r="Q43" s="21">
        <f>MIN(O43,MAX(0,DevBudget!$B$19-R42))</f>
        <v/>
      </c>
      <c r="R43" s="21">
        <f>R42+Q43</f>
        <v/>
      </c>
      <c r="S43" s="21">
        <f>MIN(MAX(0,O43-Q43),MAX(0,Assumptions!$B$24-T43-U43))</f>
        <v/>
      </c>
      <c r="T43" s="21">
        <f>W42</f>
        <v/>
      </c>
      <c r="U43" s="21">
        <f>T43*Assumptions!$B$25/12</f>
        <v/>
      </c>
      <c r="V43" s="21">
        <f>MIN(T43+U43+S43,MAX(0,Z43+AA43))</f>
        <v/>
      </c>
      <c r="W43" s="21">
        <f>T43+S43+U43-V43</f>
        <v/>
      </c>
      <c r="X43" s="21">
        <f>IF(AND(A43&gt;=$AE$2,A43&lt;=Assumptions!$B$58),(MIN(Program!$D$5,MAX(0,(A43-$AE$2+1)*Assumptions!$B$39))*Assumptions!$B$29*(1+Assumptions!$B$31)*(1-Assumptions!$B$32)+Program!$D$9*Assumptions!$B$43*Assumptions!$B$44/12+Program!$D$5*Assumptions!$B$35*Assumptions!$B$34-Program!$D$5*Assumptions!$B$33/12-Assumptions!$B$36*Assumptions!$B$38/12),0)</f>
        <v/>
      </c>
      <c r="Y43" s="21">
        <f>IF(AND(A43&gt;=$AE$4,A43&lt;=Assumptions!$B$59),(MIN(Program!$C$5,MAX(0,(A43-$AE$4+1)*Assumptions!$B$39))*Assumptions!$B$30*(1+Assumptions!$B$31)*(1-Assumptions!$B$32)+Program!$C$9*Assumptions!$B$43*Assumptions!$B$44/12+Program!$C$5*Assumptions!$B$35*Assumptions!$B$34-Program!$C$5*Assumptions!$B$33/12-Assumptions!$B$37*Assumptions!$B$38/12),0)</f>
        <v/>
      </c>
      <c r="Z43" s="31">
        <f>SUMIF(Sellout!$A$6:$A$35,A43,Sellout!$D$6:$D$35)*(1-Assumptions!$B$49)</f>
        <v/>
      </c>
      <c r="AA43" s="31">
        <f>IF(A43=Assumptions!$B$58,Ops!$B$23,0)+IF(A43=Assumptions!$B$59,Ops!$C$23,0)</f>
        <v/>
      </c>
      <c r="AB43" s="21">
        <f>-O43+X43+Y43+Z43+AA43</f>
        <v/>
      </c>
      <c r="AC43" s="21">
        <f>AB43+S43-V43</f>
        <v/>
      </c>
    </row>
    <row r="44">
      <c r="A44" s="42" t="n">
        <v>39</v>
      </c>
      <c r="B44" s="43">
        <f>EDATE(Assumptions!$B$7,A44-1)</f>
        <v/>
      </c>
      <c r="C44" s="30">
        <f>IF(A44&lt;Assumptions!$B$9,"Pre-dev",IF(A44&lt;$AE$2,"Construction",IF(A44&lt;=Assumptions!$B$59,"Lease-up / exit","Tail")))</f>
        <v/>
      </c>
      <c r="D44" s="42">
        <f>IF(AND(A44&gt;=Assumptions!$B$9,A44&lt;$AE$2),(A44-Assumptions!$B$9+1)*($AE$2-A44),0)</f>
        <v/>
      </c>
      <c r="E44" s="44">
        <f>IFERROR(D44/$AE$6,0)</f>
        <v/>
      </c>
      <c r="F44" s="21">
        <f>IF(A44=1,DevBudget!$B$5,0)</f>
        <v/>
      </c>
      <c r="G44" s="21">
        <f>E44*DevBudget!$B$6</f>
        <v/>
      </c>
      <c r="H44" s="21">
        <f>E44*DevBudget!$B$7</f>
        <v/>
      </c>
      <c r="I44" s="21">
        <f>E44*DevBudget!$B$8</f>
        <v/>
      </c>
      <c r="J44" s="21">
        <f>E44*(DevBudget!$B$9+DevBudget!$B$10)</f>
        <v/>
      </c>
      <c r="K44" s="21">
        <f>E44*DevBudget!$B$12</f>
        <v/>
      </c>
      <c r="L44" s="21">
        <f>E44*DevBudget!$B$13</f>
        <v/>
      </c>
      <c r="M44" s="21">
        <f>IF(A44=Assumptions!$B$9,Assumptions!$B$69+Assumptions!$B$72,0)+IF(A44=$AE$4,Assumptions!$B$70+Assumptions!$B$71+Assumptions!$B$73,0)</f>
        <v/>
      </c>
      <c r="N44" s="21">
        <f>E44*DevBudget!$B$16</f>
        <v/>
      </c>
      <c r="O44" s="21">
        <f>SUM(F44:N44)</f>
        <v/>
      </c>
      <c r="P44" s="21">
        <f>P43+O44</f>
        <v/>
      </c>
      <c r="Q44" s="21">
        <f>MIN(O44,MAX(0,DevBudget!$B$19-R43))</f>
        <v/>
      </c>
      <c r="R44" s="21">
        <f>R43+Q44</f>
        <v/>
      </c>
      <c r="S44" s="21">
        <f>MIN(MAX(0,O44-Q44),MAX(0,Assumptions!$B$24-T44-U44))</f>
        <v/>
      </c>
      <c r="T44" s="21">
        <f>W43</f>
        <v/>
      </c>
      <c r="U44" s="21">
        <f>T44*Assumptions!$B$25/12</f>
        <v/>
      </c>
      <c r="V44" s="21">
        <f>MIN(T44+U44+S44,MAX(0,Z44+AA44))</f>
        <v/>
      </c>
      <c r="W44" s="21">
        <f>T44+S44+U44-V44</f>
        <v/>
      </c>
      <c r="X44" s="21">
        <f>IF(AND(A44&gt;=$AE$2,A44&lt;=Assumptions!$B$58),(MIN(Program!$D$5,MAX(0,(A44-$AE$2+1)*Assumptions!$B$39))*Assumptions!$B$29*(1+Assumptions!$B$31)*(1-Assumptions!$B$32)+Program!$D$9*Assumptions!$B$43*Assumptions!$B$44/12+Program!$D$5*Assumptions!$B$35*Assumptions!$B$34-Program!$D$5*Assumptions!$B$33/12-Assumptions!$B$36*Assumptions!$B$38/12),0)</f>
        <v/>
      </c>
      <c r="Y44" s="21">
        <f>IF(AND(A44&gt;=$AE$4,A44&lt;=Assumptions!$B$59),(MIN(Program!$C$5,MAX(0,(A44-$AE$4+1)*Assumptions!$B$39))*Assumptions!$B$30*(1+Assumptions!$B$31)*(1-Assumptions!$B$32)+Program!$C$9*Assumptions!$B$43*Assumptions!$B$44/12+Program!$C$5*Assumptions!$B$35*Assumptions!$B$34-Program!$C$5*Assumptions!$B$33/12-Assumptions!$B$37*Assumptions!$B$38/12),0)</f>
        <v/>
      </c>
      <c r="Z44" s="31">
        <f>SUMIF(Sellout!$A$6:$A$35,A44,Sellout!$D$6:$D$35)*(1-Assumptions!$B$49)</f>
        <v/>
      </c>
      <c r="AA44" s="31">
        <f>IF(A44=Assumptions!$B$58,Ops!$B$23,0)+IF(A44=Assumptions!$B$59,Ops!$C$23,0)</f>
        <v/>
      </c>
      <c r="AB44" s="21">
        <f>-O44+X44+Y44+Z44+AA44</f>
        <v/>
      </c>
      <c r="AC44" s="21">
        <f>AB44+S44-V44</f>
        <v/>
      </c>
    </row>
    <row r="45">
      <c r="A45" s="42" t="n">
        <v>40</v>
      </c>
      <c r="B45" s="43">
        <f>EDATE(Assumptions!$B$7,A45-1)</f>
        <v/>
      </c>
      <c r="C45" s="30">
        <f>IF(A45&lt;Assumptions!$B$9,"Pre-dev",IF(A45&lt;$AE$2,"Construction",IF(A45&lt;=Assumptions!$B$59,"Lease-up / exit","Tail")))</f>
        <v/>
      </c>
      <c r="D45" s="42">
        <f>IF(AND(A45&gt;=Assumptions!$B$9,A45&lt;$AE$2),(A45-Assumptions!$B$9+1)*($AE$2-A45),0)</f>
        <v/>
      </c>
      <c r="E45" s="44">
        <f>IFERROR(D45/$AE$6,0)</f>
        <v/>
      </c>
      <c r="F45" s="21">
        <f>IF(A45=1,DevBudget!$B$5,0)</f>
        <v/>
      </c>
      <c r="G45" s="21">
        <f>E45*DevBudget!$B$6</f>
        <v/>
      </c>
      <c r="H45" s="21">
        <f>E45*DevBudget!$B$7</f>
        <v/>
      </c>
      <c r="I45" s="21">
        <f>E45*DevBudget!$B$8</f>
        <v/>
      </c>
      <c r="J45" s="21">
        <f>E45*(DevBudget!$B$9+DevBudget!$B$10)</f>
        <v/>
      </c>
      <c r="K45" s="21">
        <f>E45*DevBudget!$B$12</f>
        <v/>
      </c>
      <c r="L45" s="21">
        <f>E45*DevBudget!$B$13</f>
        <v/>
      </c>
      <c r="M45" s="21">
        <f>IF(A45=Assumptions!$B$9,Assumptions!$B$69+Assumptions!$B$72,0)+IF(A45=$AE$4,Assumptions!$B$70+Assumptions!$B$71+Assumptions!$B$73,0)</f>
        <v/>
      </c>
      <c r="N45" s="21">
        <f>E45*DevBudget!$B$16</f>
        <v/>
      </c>
      <c r="O45" s="21">
        <f>SUM(F45:N45)</f>
        <v/>
      </c>
      <c r="P45" s="21">
        <f>P44+O45</f>
        <v/>
      </c>
      <c r="Q45" s="21">
        <f>MIN(O45,MAX(0,DevBudget!$B$19-R44))</f>
        <v/>
      </c>
      <c r="R45" s="21">
        <f>R44+Q45</f>
        <v/>
      </c>
      <c r="S45" s="21">
        <f>MIN(MAX(0,O45-Q45),MAX(0,Assumptions!$B$24-T45-U45))</f>
        <v/>
      </c>
      <c r="T45" s="21">
        <f>W44</f>
        <v/>
      </c>
      <c r="U45" s="21">
        <f>T45*Assumptions!$B$25/12</f>
        <v/>
      </c>
      <c r="V45" s="21">
        <f>MIN(T45+U45+S45,MAX(0,Z45+AA45))</f>
        <v/>
      </c>
      <c r="W45" s="21">
        <f>T45+S45+U45-V45</f>
        <v/>
      </c>
      <c r="X45" s="21">
        <f>IF(AND(A45&gt;=$AE$2,A45&lt;=Assumptions!$B$58),(MIN(Program!$D$5,MAX(0,(A45-$AE$2+1)*Assumptions!$B$39))*Assumptions!$B$29*(1+Assumptions!$B$31)*(1-Assumptions!$B$32)+Program!$D$9*Assumptions!$B$43*Assumptions!$B$44/12+Program!$D$5*Assumptions!$B$35*Assumptions!$B$34-Program!$D$5*Assumptions!$B$33/12-Assumptions!$B$36*Assumptions!$B$38/12),0)</f>
        <v/>
      </c>
      <c r="Y45" s="21">
        <f>IF(AND(A45&gt;=$AE$4,A45&lt;=Assumptions!$B$59),(MIN(Program!$C$5,MAX(0,(A45-$AE$4+1)*Assumptions!$B$39))*Assumptions!$B$30*(1+Assumptions!$B$31)*(1-Assumptions!$B$32)+Program!$C$9*Assumptions!$B$43*Assumptions!$B$44/12+Program!$C$5*Assumptions!$B$35*Assumptions!$B$34-Program!$C$5*Assumptions!$B$33/12-Assumptions!$B$37*Assumptions!$B$38/12),0)</f>
        <v/>
      </c>
      <c r="Z45" s="31">
        <f>SUMIF(Sellout!$A$6:$A$35,A45,Sellout!$D$6:$D$35)*(1-Assumptions!$B$49)</f>
        <v/>
      </c>
      <c r="AA45" s="31">
        <f>IF(A45=Assumptions!$B$58,Ops!$B$23,0)+IF(A45=Assumptions!$B$59,Ops!$C$23,0)</f>
        <v/>
      </c>
      <c r="AB45" s="21">
        <f>-O45+X45+Y45+Z45+AA45</f>
        <v/>
      </c>
      <c r="AC45" s="21">
        <f>AB45+S45-V45</f>
        <v/>
      </c>
    </row>
    <row r="46">
      <c r="A46" s="42" t="n">
        <v>41</v>
      </c>
      <c r="B46" s="43">
        <f>EDATE(Assumptions!$B$7,A46-1)</f>
        <v/>
      </c>
      <c r="C46" s="30">
        <f>IF(A46&lt;Assumptions!$B$9,"Pre-dev",IF(A46&lt;$AE$2,"Construction",IF(A46&lt;=Assumptions!$B$59,"Lease-up / exit","Tail")))</f>
        <v/>
      </c>
      <c r="D46" s="42">
        <f>IF(AND(A46&gt;=Assumptions!$B$9,A46&lt;$AE$2),(A46-Assumptions!$B$9+1)*($AE$2-A46),0)</f>
        <v/>
      </c>
      <c r="E46" s="44">
        <f>IFERROR(D46/$AE$6,0)</f>
        <v/>
      </c>
      <c r="F46" s="21">
        <f>IF(A46=1,DevBudget!$B$5,0)</f>
        <v/>
      </c>
      <c r="G46" s="21">
        <f>E46*DevBudget!$B$6</f>
        <v/>
      </c>
      <c r="H46" s="21">
        <f>E46*DevBudget!$B$7</f>
        <v/>
      </c>
      <c r="I46" s="21">
        <f>E46*DevBudget!$B$8</f>
        <v/>
      </c>
      <c r="J46" s="21">
        <f>E46*(DevBudget!$B$9+DevBudget!$B$10)</f>
        <v/>
      </c>
      <c r="K46" s="21">
        <f>E46*DevBudget!$B$12</f>
        <v/>
      </c>
      <c r="L46" s="21">
        <f>E46*DevBudget!$B$13</f>
        <v/>
      </c>
      <c r="M46" s="21">
        <f>IF(A46=Assumptions!$B$9,Assumptions!$B$69+Assumptions!$B$72,0)+IF(A46=$AE$4,Assumptions!$B$70+Assumptions!$B$71+Assumptions!$B$73,0)</f>
        <v/>
      </c>
      <c r="N46" s="21">
        <f>E46*DevBudget!$B$16</f>
        <v/>
      </c>
      <c r="O46" s="21">
        <f>SUM(F46:N46)</f>
        <v/>
      </c>
      <c r="P46" s="21">
        <f>P45+O46</f>
        <v/>
      </c>
      <c r="Q46" s="21">
        <f>MIN(O46,MAX(0,DevBudget!$B$19-R45))</f>
        <v/>
      </c>
      <c r="R46" s="21">
        <f>R45+Q46</f>
        <v/>
      </c>
      <c r="S46" s="21">
        <f>MIN(MAX(0,O46-Q46),MAX(0,Assumptions!$B$24-T46-U46))</f>
        <v/>
      </c>
      <c r="T46" s="21">
        <f>W45</f>
        <v/>
      </c>
      <c r="U46" s="21">
        <f>T46*Assumptions!$B$25/12</f>
        <v/>
      </c>
      <c r="V46" s="21">
        <f>MIN(T46+U46+S46,MAX(0,Z46+AA46))</f>
        <v/>
      </c>
      <c r="W46" s="21">
        <f>T46+S46+U46-V46</f>
        <v/>
      </c>
      <c r="X46" s="21">
        <f>IF(AND(A46&gt;=$AE$2,A46&lt;=Assumptions!$B$58),(MIN(Program!$D$5,MAX(0,(A46-$AE$2+1)*Assumptions!$B$39))*Assumptions!$B$29*(1+Assumptions!$B$31)*(1-Assumptions!$B$32)+Program!$D$9*Assumptions!$B$43*Assumptions!$B$44/12+Program!$D$5*Assumptions!$B$35*Assumptions!$B$34-Program!$D$5*Assumptions!$B$33/12-Assumptions!$B$36*Assumptions!$B$38/12),0)</f>
        <v/>
      </c>
      <c r="Y46" s="21">
        <f>IF(AND(A46&gt;=$AE$4,A46&lt;=Assumptions!$B$59),(MIN(Program!$C$5,MAX(0,(A46-$AE$4+1)*Assumptions!$B$39))*Assumptions!$B$30*(1+Assumptions!$B$31)*(1-Assumptions!$B$32)+Program!$C$9*Assumptions!$B$43*Assumptions!$B$44/12+Program!$C$5*Assumptions!$B$35*Assumptions!$B$34-Program!$C$5*Assumptions!$B$33/12-Assumptions!$B$37*Assumptions!$B$38/12),0)</f>
        <v/>
      </c>
      <c r="Z46" s="31">
        <f>SUMIF(Sellout!$A$6:$A$35,A46,Sellout!$D$6:$D$35)*(1-Assumptions!$B$49)</f>
        <v/>
      </c>
      <c r="AA46" s="31">
        <f>IF(A46=Assumptions!$B$58,Ops!$B$23,0)+IF(A46=Assumptions!$B$59,Ops!$C$23,0)</f>
        <v/>
      </c>
      <c r="AB46" s="21">
        <f>-O46+X46+Y46+Z46+AA46</f>
        <v/>
      </c>
      <c r="AC46" s="21">
        <f>AB46+S46-V46</f>
        <v/>
      </c>
    </row>
    <row r="47">
      <c r="A47" s="42" t="n">
        <v>42</v>
      </c>
      <c r="B47" s="43">
        <f>EDATE(Assumptions!$B$7,A47-1)</f>
        <v/>
      </c>
      <c r="C47" s="30">
        <f>IF(A47&lt;Assumptions!$B$9,"Pre-dev",IF(A47&lt;$AE$2,"Construction",IF(A47&lt;=Assumptions!$B$59,"Lease-up / exit","Tail")))</f>
        <v/>
      </c>
      <c r="D47" s="42">
        <f>IF(AND(A47&gt;=Assumptions!$B$9,A47&lt;$AE$2),(A47-Assumptions!$B$9+1)*($AE$2-A47),0)</f>
        <v/>
      </c>
      <c r="E47" s="44">
        <f>IFERROR(D47/$AE$6,0)</f>
        <v/>
      </c>
      <c r="F47" s="21">
        <f>IF(A47=1,DevBudget!$B$5,0)</f>
        <v/>
      </c>
      <c r="G47" s="21">
        <f>E47*DevBudget!$B$6</f>
        <v/>
      </c>
      <c r="H47" s="21">
        <f>E47*DevBudget!$B$7</f>
        <v/>
      </c>
      <c r="I47" s="21">
        <f>E47*DevBudget!$B$8</f>
        <v/>
      </c>
      <c r="J47" s="21">
        <f>E47*(DevBudget!$B$9+DevBudget!$B$10)</f>
        <v/>
      </c>
      <c r="K47" s="21">
        <f>E47*DevBudget!$B$12</f>
        <v/>
      </c>
      <c r="L47" s="21">
        <f>E47*DevBudget!$B$13</f>
        <v/>
      </c>
      <c r="M47" s="21">
        <f>IF(A47=Assumptions!$B$9,Assumptions!$B$69+Assumptions!$B$72,0)+IF(A47=$AE$4,Assumptions!$B$70+Assumptions!$B$71+Assumptions!$B$73,0)</f>
        <v/>
      </c>
      <c r="N47" s="21">
        <f>E47*DevBudget!$B$16</f>
        <v/>
      </c>
      <c r="O47" s="21">
        <f>SUM(F47:N47)</f>
        <v/>
      </c>
      <c r="P47" s="21">
        <f>P46+O47</f>
        <v/>
      </c>
      <c r="Q47" s="21">
        <f>MIN(O47,MAX(0,DevBudget!$B$19-R46))</f>
        <v/>
      </c>
      <c r="R47" s="21">
        <f>R46+Q47</f>
        <v/>
      </c>
      <c r="S47" s="21">
        <f>MIN(MAX(0,O47-Q47),MAX(0,Assumptions!$B$24-T47-U47))</f>
        <v/>
      </c>
      <c r="T47" s="21">
        <f>W46</f>
        <v/>
      </c>
      <c r="U47" s="21">
        <f>T47*Assumptions!$B$25/12</f>
        <v/>
      </c>
      <c r="V47" s="21">
        <f>MIN(T47+U47+S47,MAX(0,Z47+AA47))</f>
        <v/>
      </c>
      <c r="W47" s="21">
        <f>T47+S47+U47-V47</f>
        <v/>
      </c>
      <c r="X47" s="21">
        <f>IF(AND(A47&gt;=$AE$2,A47&lt;=Assumptions!$B$58),(MIN(Program!$D$5,MAX(0,(A47-$AE$2+1)*Assumptions!$B$39))*Assumptions!$B$29*(1+Assumptions!$B$31)*(1-Assumptions!$B$32)+Program!$D$9*Assumptions!$B$43*Assumptions!$B$44/12+Program!$D$5*Assumptions!$B$35*Assumptions!$B$34-Program!$D$5*Assumptions!$B$33/12-Assumptions!$B$36*Assumptions!$B$38/12),0)</f>
        <v/>
      </c>
      <c r="Y47" s="21">
        <f>IF(AND(A47&gt;=$AE$4,A47&lt;=Assumptions!$B$59),(MIN(Program!$C$5,MAX(0,(A47-$AE$4+1)*Assumptions!$B$39))*Assumptions!$B$30*(1+Assumptions!$B$31)*(1-Assumptions!$B$32)+Program!$C$9*Assumptions!$B$43*Assumptions!$B$44/12+Program!$C$5*Assumptions!$B$35*Assumptions!$B$34-Program!$C$5*Assumptions!$B$33/12-Assumptions!$B$37*Assumptions!$B$38/12),0)</f>
        <v/>
      </c>
      <c r="Z47" s="31">
        <f>SUMIF(Sellout!$A$6:$A$35,A47,Sellout!$D$6:$D$35)*(1-Assumptions!$B$49)</f>
        <v/>
      </c>
      <c r="AA47" s="31">
        <f>IF(A47=Assumptions!$B$58,Ops!$B$23,0)+IF(A47=Assumptions!$B$59,Ops!$C$23,0)</f>
        <v/>
      </c>
      <c r="AB47" s="21">
        <f>-O47+X47+Y47+Z47+AA47</f>
        <v/>
      </c>
      <c r="AC47" s="21">
        <f>AB47+S47-V47</f>
        <v/>
      </c>
    </row>
    <row r="48">
      <c r="A48" s="42" t="n">
        <v>43</v>
      </c>
      <c r="B48" s="43">
        <f>EDATE(Assumptions!$B$7,A48-1)</f>
        <v/>
      </c>
      <c r="C48" s="30">
        <f>IF(A48&lt;Assumptions!$B$9,"Pre-dev",IF(A48&lt;$AE$2,"Construction",IF(A48&lt;=Assumptions!$B$59,"Lease-up / exit","Tail")))</f>
        <v/>
      </c>
      <c r="D48" s="42">
        <f>IF(AND(A48&gt;=Assumptions!$B$9,A48&lt;$AE$2),(A48-Assumptions!$B$9+1)*($AE$2-A48),0)</f>
        <v/>
      </c>
      <c r="E48" s="44">
        <f>IFERROR(D48/$AE$6,0)</f>
        <v/>
      </c>
      <c r="F48" s="21">
        <f>IF(A48=1,DevBudget!$B$5,0)</f>
        <v/>
      </c>
      <c r="G48" s="21">
        <f>E48*DevBudget!$B$6</f>
        <v/>
      </c>
      <c r="H48" s="21">
        <f>E48*DevBudget!$B$7</f>
        <v/>
      </c>
      <c r="I48" s="21">
        <f>E48*DevBudget!$B$8</f>
        <v/>
      </c>
      <c r="J48" s="21">
        <f>E48*(DevBudget!$B$9+DevBudget!$B$10)</f>
        <v/>
      </c>
      <c r="K48" s="21">
        <f>E48*DevBudget!$B$12</f>
        <v/>
      </c>
      <c r="L48" s="21">
        <f>E48*DevBudget!$B$13</f>
        <v/>
      </c>
      <c r="M48" s="21">
        <f>IF(A48=Assumptions!$B$9,Assumptions!$B$69+Assumptions!$B$72,0)+IF(A48=$AE$4,Assumptions!$B$70+Assumptions!$B$71+Assumptions!$B$73,0)</f>
        <v/>
      </c>
      <c r="N48" s="21">
        <f>E48*DevBudget!$B$16</f>
        <v/>
      </c>
      <c r="O48" s="21">
        <f>SUM(F48:N48)</f>
        <v/>
      </c>
      <c r="P48" s="21">
        <f>P47+O48</f>
        <v/>
      </c>
      <c r="Q48" s="21">
        <f>MIN(O48,MAX(0,DevBudget!$B$19-R47))</f>
        <v/>
      </c>
      <c r="R48" s="21">
        <f>R47+Q48</f>
        <v/>
      </c>
      <c r="S48" s="21">
        <f>MIN(MAX(0,O48-Q48),MAX(0,Assumptions!$B$24-T48-U48))</f>
        <v/>
      </c>
      <c r="T48" s="21">
        <f>W47</f>
        <v/>
      </c>
      <c r="U48" s="21">
        <f>T48*Assumptions!$B$25/12</f>
        <v/>
      </c>
      <c r="V48" s="21">
        <f>MIN(T48+U48+S48,MAX(0,Z48+AA48))</f>
        <v/>
      </c>
      <c r="W48" s="21">
        <f>T48+S48+U48-V48</f>
        <v/>
      </c>
      <c r="X48" s="21">
        <f>IF(AND(A48&gt;=$AE$2,A48&lt;=Assumptions!$B$58),(MIN(Program!$D$5,MAX(0,(A48-$AE$2+1)*Assumptions!$B$39))*Assumptions!$B$29*(1+Assumptions!$B$31)*(1-Assumptions!$B$32)+Program!$D$9*Assumptions!$B$43*Assumptions!$B$44/12+Program!$D$5*Assumptions!$B$35*Assumptions!$B$34-Program!$D$5*Assumptions!$B$33/12-Assumptions!$B$36*Assumptions!$B$38/12),0)</f>
        <v/>
      </c>
      <c r="Y48" s="21">
        <f>IF(AND(A48&gt;=$AE$4,A48&lt;=Assumptions!$B$59),(MIN(Program!$C$5,MAX(0,(A48-$AE$4+1)*Assumptions!$B$39))*Assumptions!$B$30*(1+Assumptions!$B$31)*(1-Assumptions!$B$32)+Program!$C$9*Assumptions!$B$43*Assumptions!$B$44/12+Program!$C$5*Assumptions!$B$35*Assumptions!$B$34-Program!$C$5*Assumptions!$B$33/12-Assumptions!$B$37*Assumptions!$B$38/12),0)</f>
        <v/>
      </c>
      <c r="Z48" s="31">
        <f>SUMIF(Sellout!$A$6:$A$35,A48,Sellout!$D$6:$D$35)*(1-Assumptions!$B$49)</f>
        <v/>
      </c>
      <c r="AA48" s="31">
        <f>IF(A48=Assumptions!$B$58,Ops!$B$23,0)+IF(A48=Assumptions!$B$59,Ops!$C$23,0)</f>
        <v/>
      </c>
      <c r="AB48" s="21">
        <f>-O48+X48+Y48+Z48+AA48</f>
        <v/>
      </c>
      <c r="AC48" s="21">
        <f>AB48+S48-V48</f>
        <v/>
      </c>
    </row>
    <row r="49">
      <c r="A49" s="42" t="n">
        <v>44</v>
      </c>
      <c r="B49" s="43">
        <f>EDATE(Assumptions!$B$7,A49-1)</f>
        <v/>
      </c>
      <c r="C49" s="30">
        <f>IF(A49&lt;Assumptions!$B$9,"Pre-dev",IF(A49&lt;$AE$2,"Construction",IF(A49&lt;=Assumptions!$B$59,"Lease-up / exit","Tail")))</f>
        <v/>
      </c>
      <c r="D49" s="42">
        <f>IF(AND(A49&gt;=Assumptions!$B$9,A49&lt;$AE$2),(A49-Assumptions!$B$9+1)*($AE$2-A49),0)</f>
        <v/>
      </c>
      <c r="E49" s="44">
        <f>IFERROR(D49/$AE$6,0)</f>
        <v/>
      </c>
      <c r="F49" s="21">
        <f>IF(A49=1,DevBudget!$B$5,0)</f>
        <v/>
      </c>
      <c r="G49" s="21">
        <f>E49*DevBudget!$B$6</f>
        <v/>
      </c>
      <c r="H49" s="21">
        <f>E49*DevBudget!$B$7</f>
        <v/>
      </c>
      <c r="I49" s="21">
        <f>E49*DevBudget!$B$8</f>
        <v/>
      </c>
      <c r="J49" s="21">
        <f>E49*(DevBudget!$B$9+DevBudget!$B$10)</f>
        <v/>
      </c>
      <c r="K49" s="21">
        <f>E49*DevBudget!$B$12</f>
        <v/>
      </c>
      <c r="L49" s="21">
        <f>E49*DevBudget!$B$13</f>
        <v/>
      </c>
      <c r="M49" s="21">
        <f>IF(A49=Assumptions!$B$9,Assumptions!$B$69+Assumptions!$B$72,0)+IF(A49=$AE$4,Assumptions!$B$70+Assumptions!$B$71+Assumptions!$B$73,0)</f>
        <v/>
      </c>
      <c r="N49" s="21">
        <f>E49*DevBudget!$B$16</f>
        <v/>
      </c>
      <c r="O49" s="21">
        <f>SUM(F49:N49)</f>
        <v/>
      </c>
      <c r="P49" s="21">
        <f>P48+O49</f>
        <v/>
      </c>
      <c r="Q49" s="21">
        <f>MIN(O49,MAX(0,DevBudget!$B$19-R48))</f>
        <v/>
      </c>
      <c r="R49" s="21">
        <f>R48+Q49</f>
        <v/>
      </c>
      <c r="S49" s="21">
        <f>MIN(MAX(0,O49-Q49),MAX(0,Assumptions!$B$24-T49-U49))</f>
        <v/>
      </c>
      <c r="T49" s="21">
        <f>W48</f>
        <v/>
      </c>
      <c r="U49" s="21">
        <f>T49*Assumptions!$B$25/12</f>
        <v/>
      </c>
      <c r="V49" s="21">
        <f>MIN(T49+U49+S49,MAX(0,Z49+AA49))</f>
        <v/>
      </c>
      <c r="W49" s="21">
        <f>T49+S49+U49-V49</f>
        <v/>
      </c>
      <c r="X49" s="21">
        <f>IF(AND(A49&gt;=$AE$2,A49&lt;=Assumptions!$B$58),(MIN(Program!$D$5,MAX(0,(A49-$AE$2+1)*Assumptions!$B$39))*Assumptions!$B$29*(1+Assumptions!$B$31)*(1-Assumptions!$B$32)+Program!$D$9*Assumptions!$B$43*Assumptions!$B$44/12+Program!$D$5*Assumptions!$B$35*Assumptions!$B$34-Program!$D$5*Assumptions!$B$33/12-Assumptions!$B$36*Assumptions!$B$38/12),0)</f>
        <v/>
      </c>
      <c r="Y49" s="21">
        <f>IF(AND(A49&gt;=$AE$4,A49&lt;=Assumptions!$B$59),(MIN(Program!$C$5,MAX(0,(A49-$AE$4+1)*Assumptions!$B$39))*Assumptions!$B$30*(1+Assumptions!$B$31)*(1-Assumptions!$B$32)+Program!$C$9*Assumptions!$B$43*Assumptions!$B$44/12+Program!$C$5*Assumptions!$B$35*Assumptions!$B$34-Program!$C$5*Assumptions!$B$33/12-Assumptions!$B$37*Assumptions!$B$38/12),0)</f>
        <v/>
      </c>
      <c r="Z49" s="31">
        <f>SUMIF(Sellout!$A$6:$A$35,A49,Sellout!$D$6:$D$35)*(1-Assumptions!$B$49)</f>
        <v/>
      </c>
      <c r="AA49" s="31">
        <f>IF(A49=Assumptions!$B$58,Ops!$B$23,0)+IF(A49=Assumptions!$B$59,Ops!$C$23,0)</f>
        <v/>
      </c>
      <c r="AB49" s="21">
        <f>-O49+X49+Y49+Z49+AA49</f>
        <v/>
      </c>
      <c r="AC49" s="21">
        <f>AB49+S49-V49</f>
        <v/>
      </c>
    </row>
    <row r="50">
      <c r="A50" s="42" t="n">
        <v>45</v>
      </c>
      <c r="B50" s="43">
        <f>EDATE(Assumptions!$B$7,A50-1)</f>
        <v/>
      </c>
      <c r="C50" s="30">
        <f>IF(A50&lt;Assumptions!$B$9,"Pre-dev",IF(A50&lt;$AE$2,"Construction",IF(A50&lt;=Assumptions!$B$59,"Lease-up / exit","Tail")))</f>
        <v/>
      </c>
      <c r="D50" s="42">
        <f>IF(AND(A50&gt;=Assumptions!$B$9,A50&lt;$AE$2),(A50-Assumptions!$B$9+1)*($AE$2-A50),0)</f>
        <v/>
      </c>
      <c r="E50" s="44">
        <f>IFERROR(D50/$AE$6,0)</f>
        <v/>
      </c>
      <c r="F50" s="21">
        <f>IF(A50=1,DevBudget!$B$5,0)</f>
        <v/>
      </c>
      <c r="G50" s="21">
        <f>E50*DevBudget!$B$6</f>
        <v/>
      </c>
      <c r="H50" s="21">
        <f>E50*DevBudget!$B$7</f>
        <v/>
      </c>
      <c r="I50" s="21">
        <f>E50*DevBudget!$B$8</f>
        <v/>
      </c>
      <c r="J50" s="21">
        <f>E50*(DevBudget!$B$9+DevBudget!$B$10)</f>
        <v/>
      </c>
      <c r="K50" s="21">
        <f>E50*DevBudget!$B$12</f>
        <v/>
      </c>
      <c r="L50" s="21">
        <f>E50*DevBudget!$B$13</f>
        <v/>
      </c>
      <c r="M50" s="21">
        <f>IF(A50=Assumptions!$B$9,Assumptions!$B$69+Assumptions!$B$72,0)+IF(A50=$AE$4,Assumptions!$B$70+Assumptions!$B$71+Assumptions!$B$73,0)</f>
        <v/>
      </c>
      <c r="N50" s="21">
        <f>E50*DevBudget!$B$16</f>
        <v/>
      </c>
      <c r="O50" s="21">
        <f>SUM(F50:N50)</f>
        <v/>
      </c>
      <c r="P50" s="21">
        <f>P49+O50</f>
        <v/>
      </c>
      <c r="Q50" s="21">
        <f>MIN(O50,MAX(0,DevBudget!$B$19-R49))</f>
        <v/>
      </c>
      <c r="R50" s="21">
        <f>R49+Q50</f>
        <v/>
      </c>
      <c r="S50" s="21">
        <f>MIN(MAX(0,O50-Q50),MAX(0,Assumptions!$B$24-T50-U50))</f>
        <v/>
      </c>
      <c r="T50" s="21">
        <f>W49</f>
        <v/>
      </c>
      <c r="U50" s="21">
        <f>T50*Assumptions!$B$25/12</f>
        <v/>
      </c>
      <c r="V50" s="21">
        <f>MIN(T50+U50+S50,MAX(0,Z50+AA50))</f>
        <v/>
      </c>
      <c r="W50" s="21">
        <f>T50+S50+U50-V50</f>
        <v/>
      </c>
      <c r="X50" s="21">
        <f>IF(AND(A50&gt;=$AE$2,A50&lt;=Assumptions!$B$58),(MIN(Program!$D$5,MAX(0,(A50-$AE$2+1)*Assumptions!$B$39))*Assumptions!$B$29*(1+Assumptions!$B$31)*(1-Assumptions!$B$32)+Program!$D$9*Assumptions!$B$43*Assumptions!$B$44/12+Program!$D$5*Assumptions!$B$35*Assumptions!$B$34-Program!$D$5*Assumptions!$B$33/12-Assumptions!$B$36*Assumptions!$B$38/12),0)</f>
        <v/>
      </c>
      <c r="Y50" s="21">
        <f>IF(AND(A50&gt;=$AE$4,A50&lt;=Assumptions!$B$59),(MIN(Program!$C$5,MAX(0,(A50-$AE$4+1)*Assumptions!$B$39))*Assumptions!$B$30*(1+Assumptions!$B$31)*(1-Assumptions!$B$32)+Program!$C$9*Assumptions!$B$43*Assumptions!$B$44/12+Program!$C$5*Assumptions!$B$35*Assumptions!$B$34-Program!$C$5*Assumptions!$B$33/12-Assumptions!$B$37*Assumptions!$B$38/12),0)</f>
        <v/>
      </c>
      <c r="Z50" s="31">
        <f>SUMIF(Sellout!$A$6:$A$35,A50,Sellout!$D$6:$D$35)*(1-Assumptions!$B$49)</f>
        <v/>
      </c>
      <c r="AA50" s="31">
        <f>IF(A50=Assumptions!$B$58,Ops!$B$23,0)+IF(A50=Assumptions!$B$59,Ops!$C$23,0)</f>
        <v/>
      </c>
      <c r="AB50" s="21">
        <f>-O50+X50+Y50+Z50+AA50</f>
        <v/>
      </c>
      <c r="AC50" s="21">
        <f>AB50+S50-V50</f>
        <v/>
      </c>
    </row>
    <row r="51">
      <c r="A51" s="42" t="n">
        <v>46</v>
      </c>
      <c r="B51" s="43">
        <f>EDATE(Assumptions!$B$7,A51-1)</f>
        <v/>
      </c>
      <c r="C51" s="30">
        <f>IF(A51&lt;Assumptions!$B$9,"Pre-dev",IF(A51&lt;$AE$2,"Construction",IF(A51&lt;=Assumptions!$B$59,"Lease-up / exit","Tail")))</f>
        <v/>
      </c>
      <c r="D51" s="42">
        <f>IF(AND(A51&gt;=Assumptions!$B$9,A51&lt;$AE$2),(A51-Assumptions!$B$9+1)*($AE$2-A51),0)</f>
        <v/>
      </c>
      <c r="E51" s="44">
        <f>IFERROR(D51/$AE$6,0)</f>
        <v/>
      </c>
      <c r="F51" s="21">
        <f>IF(A51=1,DevBudget!$B$5,0)</f>
        <v/>
      </c>
      <c r="G51" s="21">
        <f>E51*DevBudget!$B$6</f>
        <v/>
      </c>
      <c r="H51" s="21">
        <f>E51*DevBudget!$B$7</f>
        <v/>
      </c>
      <c r="I51" s="21">
        <f>E51*DevBudget!$B$8</f>
        <v/>
      </c>
      <c r="J51" s="21">
        <f>E51*(DevBudget!$B$9+DevBudget!$B$10)</f>
        <v/>
      </c>
      <c r="K51" s="21">
        <f>E51*DevBudget!$B$12</f>
        <v/>
      </c>
      <c r="L51" s="21">
        <f>E51*DevBudget!$B$13</f>
        <v/>
      </c>
      <c r="M51" s="21">
        <f>IF(A51=Assumptions!$B$9,Assumptions!$B$69+Assumptions!$B$72,0)+IF(A51=$AE$4,Assumptions!$B$70+Assumptions!$B$71+Assumptions!$B$73,0)</f>
        <v/>
      </c>
      <c r="N51" s="21">
        <f>E51*DevBudget!$B$16</f>
        <v/>
      </c>
      <c r="O51" s="21">
        <f>SUM(F51:N51)</f>
        <v/>
      </c>
      <c r="P51" s="21">
        <f>P50+O51</f>
        <v/>
      </c>
      <c r="Q51" s="21">
        <f>MIN(O51,MAX(0,DevBudget!$B$19-R50))</f>
        <v/>
      </c>
      <c r="R51" s="21">
        <f>R50+Q51</f>
        <v/>
      </c>
      <c r="S51" s="21">
        <f>MIN(MAX(0,O51-Q51),MAX(0,Assumptions!$B$24-T51-U51))</f>
        <v/>
      </c>
      <c r="T51" s="21">
        <f>W50</f>
        <v/>
      </c>
      <c r="U51" s="21">
        <f>T51*Assumptions!$B$25/12</f>
        <v/>
      </c>
      <c r="V51" s="21">
        <f>MIN(T51+U51+S51,MAX(0,Z51+AA51))</f>
        <v/>
      </c>
      <c r="W51" s="21">
        <f>T51+S51+U51-V51</f>
        <v/>
      </c>
      <c r="X51" s="21">
        <f>IF(AND(A51&gt;=$AE$2,A51&lt;=Assumptions!$B$58),(MIN(Program!$D$5,MAX(0,(A51-$AE$2+1)*Assumptions!$B$39))*Assumptions!$B$29*(1+Assumptions!$B$31)*(1-Assumptions!$B$32)+Program!$D$9*Assumptions!$B$43*Assumptions!$B$44/12+Program!$D$5*Assumptions!$B$35*Assumptions!$B$34-Program!$D$5*Assumptions!$B$33/12-Assumptions!$B$36*Assumptions!$B$38/12),0)</f>
        <v/>
      </c>
      <c r="Y51" s="21">
        <f>IF(AND(A51&gt;=$AE$4,A51&lt;=Assumptions!$B$59),(MIN(Program!$C$5,MAX(0,(A51-$AE$4+1)*Assumptions!$B$39))*Assumptions!$B$30*(1+Assumptions!$B$31)*(1-Assumptions!$B$32)+Program!$C$9*Assumptions!$B$43*Assumptions!$B$44/12+Program!$C$5*Assumptions!$B$35*Assumptions!$B$34-Program!$C$5*Assumptions!$B$33/12-Assumptions!$B$37*Assumptions!$B$38/12),0)</f>
        <v/>
      </c>
      <c r="Z51" s="31">
        <f>SUMIF(Sellout!$A$6:$A$35,A51,Sellout!$D$6:$D$35)*(1-Assumptions!$B$49)</f>
        <v/>
      </c>
      <c r="AA51" s="31">
        <f>IF(A51=Assumptions!$B$58,Ops!$B$23,0)+IF(A51=Assumptions!$B$59,Ops!$C$23,0)</f>
        <v/>
      </c>
      <c r="AB51" s="21">
        <f>-O51+X51+Y51+Z51+AA51</f>
        <v/>
      </c>
      <c r="AC51" s="21">
        <f>AB51+S51-V51</f>
        <v/>
      </c>
    </row>
    <row r="52">
      <c r="A52" s="42" t="n">
        <v>47</v>
      </c>
      <c r="B52" s="43">
        <f>EDATE(Assumptions!$B$7,A52-1)</f>
        <v/>
      </c>
      <c r="C52" s="30">
        <f>IF(A52&lt;Assumptions!$B$9,"Pre-dev",IF(A52&lt;$AE$2,"Construction",IF(A52&lt;=Assumptions!$B$59,"Lease-up / exit","Tail")))</f>
        <v/>
      </c>
      <c r="D52" s="42">
        <f>IF(AND(A52&gt;=Assumptions!$B$9,A52&lt;$AE$2),(A52-Assumptions!$B$9+1)*($AE$2-A52),0)</f>
        <v/>
      </c>
      <c r="E52" s="44">
        <f>IFERROR(D52/$AE$6,0)</f>
        <v/>
      </c>
      <c r="F52" s="21">
        <f>IF(A52=1,DevBudget!$B$5,0)</f>
        <v/>
      </c>
      <c r="G52" s="21">
        <f>E52*DevBudget!$B$6</f>
        <v/>
      </c>
      <c r="H52" s="21">
        <f>E52*DevBudget!$B$7</f>
        <v/>
      </c>
      <c r="I52" s="21">
        <f>E52*DevBudget!$B$8</f>
        <v/>
      </c>
      <c r="J52" s="21">
        <f>E52*(DevBudget!$B$9+DevBudget!$B$10)</f>
        <v/>
      </c>
      <c r="K52" s="21">
        <f>E52*DevBudget!$B$12</f>
        <v/>
      </c>
      <c r="L52" s="21">
        <f>E52*DevBudget!$B$13</f>
        <v/>
      </c>
      <c r="M52" s="21">
        <f>IF(A52=Assumptions!$B$9,Assumptions!$B$69+Assumptions!$B$72,0)+IF(A52=$AE$4,Assumptions!$B$70+Assumptions!$B$71+Assumptions!$B$73,0)</f>
        <v/>
      </c>
      <c r="N52" s="21">
        <f>E52*DevBudget!$B$16</f>
        <v/>
      </c>
      <c r="O52" s="21">
        <f>SUM(F52:N52)</f>
        <v/>
      </c>
      <c r="P52" s="21">
        <f>P51+O52</f>
        <v/>
      </c>
      <c r="Q52" s="21">
        <f>MIN(O52,MAX(0,DevBudget!$B$19-R51))</f>
        <v/>
      </c>
      <c r="R52" s="21">
        <f>R51+Q52</f>
        <v/>
      </c>
      <c r="S52" s="21">
        <f>MIN(MAX(0,O52-Q52),MAX(0,Assumptions!$B$24-T52-U52))</f>
        <v/>
      </c>
      <c r="T52" s="21">
        <f>W51</f>
        <v/>
      </c>
      <c r="U52" s="21">
        <f>T52*Assumptions!$B$25/12</f>
        <v/>
      </c>
      <c r="V52" s="21">
        <f>MIN(T52+U52+S52,MAX(0,Z52+AA52))</f>
        <v/>
      </c>
      <c r="W52" s="21">
        <f>T52+S52+U52-V52</f>
        <v/>
      </c>
      <c r="X52" s="21">
        <f>IF(AND(A52&gt;=$AE$2,A52&lt;=Assumptions!$B$58),(MIN(Program!$D$5,MAX(0,(A52-$AE$2+1)*Assumptions!$B$39))*Assumptions!$B$29*(1+Assumptions!$B$31)*(1-Assumptions!$B$32)+Program!$D$9*Assumptions!$B$43*Assumptions!$B$44/12+Program!$D$5*Assumptions!$B$35*Assumptions!$B$34-Program!$D$5*Assumptions!$B$33/12-Assumptions!$B$36*Assumptions!$B$38/12),0)</f>
        <v/>
      </c>
      <c r="Y52" s="21">
        <f>IF(AND(A52&gt;=$AE$4,A52&lt;=Assumptions!$B$59),(MIN(Program!$C$5,MAX(0,(A52-$AE$4+1)*Assumptions!$B$39))*Assumptions!$B$30*(1+Assumptions!$B$31)*(1-Assumptions!$B$32)+Program!$C$9*Assumptions!$B$43*Assumptions!$B$44/12+Program!$C$5*Assumptions!$B$35*Assumptions!$B$34-Program!$C$5*Assumptions!$B$33/12-Assumptions!$B$37*Assumptions!$B$38/12),0)</f>
        <v/>
      </c>
      <c r="Z52" s="31">
        <f>SUMIF(Sellout!$A$6:$A$35,A52,Sellout!$D$6:$D$35)*(1-Assumptions!$B$49)</f>
        <v/>
      </c>
      <c r="AA52" s="31">
        <f>IF(A52=Assumptions!$B$58,Ops!$B$23,0)+IF(A52=Assumptions!$B$59,Ops!$C$23,0)</f>
        <v/>
      </c>
      <c r="AB52" s="21">
        <f>-O52+X52+Y52+Z52+AA52</f>
        <v/>
      </c>
      <c r="AC52" s="21">
        <f>AB52+S52-V52</f>
        <v/>
      </c>
    </row>
    <row r="53">
      <c r="A53" s="42" t="n">
        <v>48</v>
      </c>
      <c r="B53" s="43">
        <f>EDATE(Assumptions!$B$7,A53-1)</f>
        <v/>
      </c>
      <c r="C53" s="30">
        <f>IF(A53&lt;Assumptions!$B$9,"Pre-dev",IF(A53&lt;$AE$2,"Construction",IF(A53&lt;=Assumptions!$B$59,"Lease-up / exit","Tail")))</f>
        <v/>
      </c>
      <c r="D53" s="42">
        <f>IF(AND(A53&gt;=Assumptions!$B$9,A53&lt;$AE$2),(A53-Assumptions!$B$9+1)*($AE$2-A53),0)</f>
        <v/>
      </c>
      <c r="E53" s="44">
        <f>IFERROR(D53/$AE$6,0)</f>
        <v/>
      </c>
      <c r="F53" s="21">
        <f>IF(A53=1,DevBudget!$B$5,0)</f>
        <v/>
      </c>
      <c r="G53" s="21">
        <f>E53*DevBudget!$B$6</f>
        <v/>
      </c>
      <c r="H53" s="21">
        <f>E53*DevBudget!$B$7</f>
        <v/>
      </c>
      <c r="I53" s="21">
        <f>E53*DevBudget!$B$8</f>
        <v/>
      </c>
      <c r="J53" s="21">
        <f>E53*(DevBudget!$B$9+DevBudget!$B$10)</f>
        <v/>
      </c>
      <c r="K53" s="21">
        <f>E53*DevBudget!$B$12</f>
        <v/>
      </c>
      <c r="L53" s="21">
        <f>E53*DevBudget!$B$13</f>
        <v/>
      </c>
      <c r="M53" s="21">
        <f>IF(A53=Assumptions!$B$9,Assumptions!$B$69+Assumptions!$B$72,0)+IF(A53=$AE$4,Assumptions!$B$70+Assumptions!$B$71+Assumptions!$B$73,0)</f>
        <v/>
      </c>
      <c r="N53" s="21">
        <f>E53*DevBudget!$B$16</f>
        <v/>
      </c>
      <c r="O53" s="21">
        <f>SUM(F53:N53)</f>
        <v/>
      </c>
      <c r="P53" s="21">
        <f>P52+O53</f>
        <v/>
      </c>
      <c r="Q53" s="21">
        <f>MIN(O53,MAX(0,DevBudget!$B$19-R52))</f>
        <v/>
      </c>
      <c r="R53" s="21">
        <f>R52+Q53</f>
        <v/>
      </c>
      <c r="S53" s="21">
        <f>MIN(MAX(0,O53-Q53),MAX(0,Assumptions!$B$24-T53-U53))</f>
        <v/>
      </c>
      <c r="T53" s="21">
        <f>W52</f>
        <v/>
      </c>
      <c r="U53" s="21">
        <f>T53*Assumptions!$B$25/12</f>
        <v/>
      </c>
      <c r="V53" s="21">
        <f>MIN(T53+U53+S53,MAX(0,Z53+AA53))</f>
        <v/>
      </c>
      <c r="W53" s="21">
        <f>T53+S53+U53-V53</f>
        <v/>
      </c>
      <c r="X53" s="21">
        <f>IF(AND(A53&gt;=$AE$2,A53&lt;=Assumptions!$B$58),(MIN(Program!$D$5,MAX(0,(A53-$AE$2+1)*Assumptions!$B$39))*Assumptions!$B$29*(1+Assumptions!$B$31)*(1-Assumptions!$B$32)+Program!$D$9*Assumptions!$B$43*Assumptions!$B$44/12+Program!$D$5*Assumptions!$B$35*Assumptions!$B$34-Program!$D$5*Assumptions!$B$33/12-Assumptions!$B$36*Assumptions!$B$38/12),0)</f>
        <v/>
      </c>
      <c r="Y53" s="21">
        <f>IF(AND(A53&gt;=$AE$4,A53&lt;=Assumptions!$B$59),(MIN(Program!$C$5,MAX(0,(A53-$AE$4+1)*Assumptions!$B$39))*Assumptions!$B$30*(1+Assumptions!$B$31)*(1-Assumptions!$B$32)+Program!$C$9*Assumptions!$B$43*Assumptions!$B$44/12+Program!$C$5*Assumptions!$B$35*Assumptions!$B$34-Program!$C$5*Assumptions!$B$33/12-Assumptions!$B$37*Assumptions!$B$38/12),0)</f>
        <v/>
      </c>
      <c r="Z53" s="31">
        <f>SUMIF(Sellout!$A$6:$A$35,A53,Sellout!$D$6:$D$35)*(1-Assumptions!$B$49)</f>
        <v/>
      </c>
      <c r="AA53" s="31">
        <f>IF(A53=Assumptions!$B$58,Ops!$B$23,0)+IF(A53=Assumptions!$B$59,Ops!$C$23,0)</f>
        <v/>
      </c>
      <c r="AB53" s="21">
        <f>-O53+X53+Y53+Z53+AA53</f>
        <v/>
      </c>
      <c r="AC53" s="21">
        <f>AB53+S53-V53</f>
        <v/>
      </c>
    </row>
    <row r="54">
      <c r="A54" s="42" t="n">
        <v>49</v>
      </c>
      <c r="B54" s="43">
        <f>EDATE(Assumptions!$B$7,A54-1)</f>
        <v/>
      </c>
      <c r="C54" s="30">
        <f>IF(A54&lt;Assumptions!$B$9,"Pre-dev",IF(A54&lt;$AE$2,"Construction",IF(A54&lt;=Assumptions!$B$59,"Lease-up / exit","Tail")))</f>
        <v/>
      </c>
      <c r="D54" s="42">
        <f>IF(AND(A54&gt;=Assumptions!$B$9,A54&lt;$AE$2),(A54-Assumptions!$B$9+1)*($AE$2-A54),0)</f>
        <v/>
      </c>
      <c r="E54" s="44">
        <f>IFERROR(D54/$AE$6,0)</f>
        <v/>
      </c>
      <c r="F54" s="21">
        <f>IF(A54=1,DevBudget!$B$5,0)</f>
        <v/>
      </c>
      <c r="G54" s="21">
        <f>E54*DevBudget!$B$6</f>
        <v/>
      </c>
      <c r="H54" s="21">
        <f>E54*DevBudget!$B$7</f>
        <v/>
      </c>
      <c r="I54" s="21">
        <f>E54*DevBudget!$B$8</f>
        <v/>
      </c>
      <c r="J54" s="21">
        <f>E54*(DevBudget!$B$9+DevBudget!$B$10)</f>
        <v/>
      </c>
      <c r="K54" s="21">
        <f>E54*DevBudget!$B$12</f>
        <v/>
      </c>
      <c r="L54" s="21">
        <f>E54*DevBudget!$B$13</f>
        <v/>
      </c>
      <c r="M54" s="21">
        <f>IF(A54=Assumptions!$B$9,Assumptions!$B$69+Assumptions!$B$72,0)+IF(A54=$AE$4,Assumptions!$B$70+Assumptions!$B$71+Assumptions!$B$73,0)</f>
        <v/>
      </c>
      <c r="N54" s="21">
        <f>E54*DevBudget!$B$16</f>
        <v/>
      </c>
      <c r="O54" s="21">
        <f>SUM(F54:N54)</f>
        <v/>
      </c>
      <c r="P54" s="21">
        <f>P53+O54</f>
        <v/>
      </c>
      <c r="Q54" s="21">
        <f>MIN(O54,MAX(0,DevBudget!$B$19-R53))</f>
        <v/>
      </c>
      <c r="R54" s="21">
        <f>R53+Q54</f>
        <v/>
      </c>
      <c r="S54" s="21">
        <f>MIN(MAX(0,O54-Q54),MAX(0,Assumptions!$B$24-T54-U54))</f>
        <v/>
      </c>
      <c r="T54" s="21">
        <f>W53</f>
        <v/>
      </c>
      <c r="U54" s="21">
        <f>T54*Assumptions!$B$25/12</f>
        <v/>
      </c>
      <c r="V54" s="21">
        <f>MIN(T54+U54+S54,MAX(0,Z54+AA54))</f>
        <v/>
      </c>
      <c r="W54" s="21">
        <f>T54+S54+U54-V54</f>
        <v/>
      </c>
      <c r="X54" s="21">
        <f>IF(AND(A54&gt;=$AE$2,A54&lt;=Assumptions!$B$58),(MIN(Program!$D$5,MAX(0,(A54-$AE$2+1)*Assumptions!$B$39))*Assumptions!$B$29*(1+Assumptions!$B$31)*(1-Assumptions!$B$32)+Program!$D$9*Assumptions!$B$43*Assumptions!$B$44/12+Program!$D$5*Assumptions!$B$35*Assumptions!$B$34-Program!$D$5*Assumptions!$B$33/12-Assumptions!$B$36*Assumptions!$B$38/12),0)</f>
        <v/>
      </c>
      <c r="Y54" s="21">
        <f>IF(AND(A54&gt;=$AE$4,A54&lt;=Assumptions!$B$59),(MIN(Program!$C$5,MAX(0,(A54-$AE$4+1)*Assumptions!$B$39))*Assumptions!$B$30*(1+Assumptions!$B$31)*(1-Assumptions!$B$32)+Program!$C$9*Assumptions!$B$43*Assumptions!$B$44/12+Program!$C$5*Assumptions!$B$35*Assumptions!$B$34-Program!$C$5*Assumptions!$B$33/12-Assumptions!$B$37*Assumptions!$B$38/12),0)</f>
        <v/>
      </c>
      <c r="Z54" s="31">
        <f>SUMIF(Sellout!$A$6:$A$35,A54,Sellout!$D$6:$D$35)*(1-Assumptions!$B$49)</f>
        <v/>
      </c>
      <c r="AA54" s="31">
        <f>IF(A54=Assumptions!$B$58,Ops!$B$23,0)+IF(A54=Assumptions!$B$59,Ops!$C$23,0)</f>
        <v/>
      </c>
      <c r="AB54" s="21">
        <f>-O54+X54+Y54+Z54+AA54</f>
        <v/>
      </c>
      <c r="AC54" s="21">
        <f>AB54+S54-V54</f>
        <v/>
      </c>
    </row>
    <row r="55">
      <c r="A55" s="42" t="n">
        <v>50</v>
      </c>
      <c r="B55" s="43">
        <f>EDATE(Assumptions!$B$7,A55-1)</f>
        <v/>
      </c>
      <c r="C55" s="30">
        <f>IF(A55&lt;Assumptions!$B$9,"Pre-dev",IF(A55&lt;$AE$2,"Construction",IF(A55&lt;=Assumptions!$B$59,"Lease-up / exit","Tail")))</f>
        <v/>
      </c>
      <c r="D55" s="42">
        <f>IF(AND(A55&gt;=Assumptions!$B$9,A55&lt;$AE$2),(A55-Assumptions!$B$9+1)*($AE$2-A55),0)</f>
        <v/>
      </c>
      <c r="E55" s="44">
        <f>IFERROR(D55/$AE$6,0)</f>
        <v/>
      </c>
      <c r="F55" s="21">
        <f>IF(A55=1,DevBudget!$B$5,0)</f>
        <v/>
      </c>
      <c r="G55" s="21">
        <f>E55*DevBudget!$B$6</f>
        <v/>
      </c>
      <c r="H55" s="21">
        <f>E55*DevBudget!$B$7</f>
        <v/>
      </c>
      <c r="I55" s="21">
        <f>E55*DevBudget!$B$8</f>
        <v/>
      </c>
      <c r="J55" s="21">
        <f>E55*(DevBudget!$B$9+DevBudget!$B$10)</f>
        <v/>
      </c>
      <c r="K55" s="21">
        <f>E55*DevBudget!$B$12</f>
        <v/>
      </c>
      <c r="L55" s="21">
        <f>E55*DevBudget!$B$13</f>
        <v/>
      </c>
      <c r="M55" s="21">
        <f>IF(A55=Assumptions!$B$9,Assumptions!$B$69+Assumptions!$B$72,0)+IF(A55=$AE$4,Assumptions!$B$70+Assumptions!$B$71+Assumptions!$B$73,0)</f>
        <v/>
      </c>
      <c r="N55" s="21">
        <f>E55*DevBudget!$B$16</f>
        <v/>
      </c>
      <c r="O55" s="21">
        <f>SUM(F55:N55)</f>
        <v/>
      </c>
      <c r="P55" s="21">
        <f>P54+O55</f>
        <v/>
      </c>
      <c r="Q55" s="21">
        <f>MIN(O55,MAX(0,DevBudget!$B$19-R54))</f>
        <v/>
      </c>
      <c r="R55" s="21">
        <f>R54+Q55</f>
        <v/>
      </c>
      <c r="S55" s="21">
        <f>MIN(MAX(0,O55-Q55),MAX(0,Assumptions!$B$24-T55-U55))</f>
        <v/>
      </c>
      <c r="T55" s="21">
        <f>W54</f>
        <v/>
      </c>
      <c r="U55" s="21">
        <f>T55*Assumptions!$B$25/12</f>
        <v/>
      </c>
      <c r="V55" s="21">
        <f>MIN(T55+U55+S55,MAX(0,Z55+AA55))</f>
        <v/>
      </c>
      <c r="W55" s="21">
        <f>T55+S55+U55-V55</f>
        <v/>
      </c>
      <c r="X55" s="21">
        <f>IF(AND(A55&gt;=$AE$2,A55&lt;=Assumptions!$B$58),(MIN(Program!$D$5,MAX(0,(A55-$AE$2+1)*Assumptions!$B$39))*Assumptions!$B$29*(1+Assumptions!$B$31)*(1-Assumptions!$B$32)+Program!$D$9*Assumptions!$B$43*Assumptions!$B$44/12+Program!$D$5*Assumptions!$B$35*Assumptions!$B$34-Program!$D$5*Assumptions!$B$33/12-Assumptions!$B$36*Assumptions!$B$38/12),0)</f>
        <v/>
      </c>
      <c r="Y55" s="21">
        <f>IF(AND(A55&gt;=$AE$4,A55&lt;=Assumptions!$B$59),(MIN(Program!$C$5,MAX(0,(A55-$AE$4+1)*Assumptions!$B$39))*Assumptions!$B$30*(1+Assumptions!$B$31)*(1-Assumptions!$B$32)+Program!$C$9*Assumptions!$B$43*Assumptions!$B$44/12+Program!$C$5*Assumptions!$B$35*Assumptions!$B$34-Program!$C$5*Assumptions!$B$33/12-Assumptions!$B$37*Assumptions!$B$38/12),0)</f>
        <v/>
      </c>
      <c r="Z55" s="31">
        <f>SUMIF(Sellout!$A$6:$A$35,A55,Sellout!$D$6:$D$35)*(1-Assumptions!$B$49)</f>
        <v/>
      </c>
      <c r="AA55" s="31">
        <f>IF(A55=Assumptions!$B$58,Ops!$B$23,0)+IF(A55=Assumptions!$B$59,Ops!$C$23,0)</f>
        <v/>
      </c>
      <c r="AB55" s="21">
        <f>-O55+X55+Y55+Z55+AA55</f>
        <v/>
      </c>
      <c r="AC55" s="21">
        <f>AB55+S55-V55</f>
        <v/>
      </c>
    </row>
    <row r="56">
      <c r="A56" s="42" t="n">
        <v>51</v>
      </c>
      <c r="B56" s="43">
        <f>EDATE(Assumptions!$B$7,A56-1)</f>
        <v/>
      </c>
      <c r="C56" s="30">
        <f>IF(A56&lt;Assumptions!$B$9,"Pre-dev",IF(A56&lt;$AE$2,"Construction",IF(A56&lt;=Assumptions!$B$59,"Lease-up / exit","Tail")))</f>
        <v/>
      </c>
      <c r="D56" s="42">
        <f>IF(AND(A56&gt;=Assumptions!$B$9,A56&lt;$AE$2),(A56-Assumptions!$B$9+1)*($AE$2-A56),0)</f>
        <v/>
      </c>
      <c r="E56" s="44">
        <f>IFERROR(D56/$AE$6,0)</f>
        <v/>
      </c>
      <c r="F56" s="21">
        <f>IF(A56=1,DevBudget!$B$5,0)</f>
        <v/>
      </c>
      <c r="G56" s="21">
        <f>E56*DevBudget!$B$6</f>
        <v/>
      </c>
      <c r="H56" s="21">
        <f>E56*DevBudget!$B$7</f>
        <v/>
      </c>
      <c r="I56" s="21">
        <f>E56*DevBudget!$B$8</f>
        <v/>
      </c>
      <c r="J56" s="21">
        <f>E56*(DevBudget!$B$9+DevBudget!$B$10)</f>
        <v/>
      </c>
      <c r="K56" s="21">
        <f>E56*DevBudget!$B$12</f>
        <v/>
      </c>
      <c r="L56" s="21">
        <f>E56*DevBudget!$B$13</f>
        <v/>
      </c>
      <c r="M56" s="21">
        <f>IF(A56=Assumptions!$B$9,Assumptions!$B$69+Assumptions!$B$72,0)+IF(A56=$AE$4,Assumptions!$B$70+Assumptions!$B$71+Assumptions!$B$73,0)</f>
        <v/>
      </c>
      <c r="N56" s="21">
        <f>E56*DevBudget!$B$16</f>
        <v/>
      </c>
      <c r="O56" s="21">
        <f>SUM(F56:N56)</f>
        <v/>
      </c>
      <c r="P56" s="21">
        <f>P55+O56</f>
        <v/>
      </c>
      <c r="Q56" s="21">
        <f>MIN(O56,MAX(0,DevBudget!$B$19-R55))</f>
        <v/>
      </c>
      <c r="R56" s="21">
        <f>R55+Q56</f>
        <v/>
      </c>
      <c r="S56" s="21">
        <f>MIN(MAX(0,O56-Q56),MAX(0,Assumptions!$B$24-T56-U56))</f>
        <v/>
      </c>
      <c r="T56" s="21">
        <f>W55</f>
        <v/>
      </c>
      <c r="U56" s="21">
        <f>T56*Assumptions!$B$25/12</f>
        <v/>
      </c>
      <c r="V56" s="21">
        <f>MIN(T56+U56+S56,MAX(0,Z56+AA56))</f>
        <v/>
      </c>
      <c r="W56" s="21">
        <f>T56+S56+U56-V56</f>
        <v/>
      </c>
      <c r="X56" s="21">
        <f>IF(AND(A56&gt;=$AE$2,A56&lt;=Assumptions!$B$58),(MIN(Program!$D$5,MAX(0,(A56-$AE$2+1)*Assumptions!$B$39))*Assumptions!$B$29*(1+Assumptions!$B$31)*(1-Assumptions!$B$32)+Program!$D$9*Assumptions!$B$43*Assumptions!$B$44/12+Program!$D$5*Assumptions!$B$35*Assumptions!$B$34-Program!$D$5*Assumptions!$B$33/12-Assumptions!$B$36*Assumptions!$B$38/12),0)</f>
        <v/>
      </c>
      <c r="Y56" s="21">
        <f>IF(AND(A56&gt;=$AE$4,A56&lt;=Assumptions!$B$59),(MIN(Program!$C$5,MAX(0,(A56-$AE$4+1)*Assumptions!$B$39))*Assumptions!$B$30*(1+Assumptions!$B$31)*(1-Assumptions!$B$32)+Program!$C$9*Assumptions!$B$43*Assumptions!$B$44/12+Program!$C$5*Assumptions!$B$35*Assumptions!$B$34-Program!$C$5*Assumptions!$B$33/12-Assumptions!$B$37*Assumptions!$B$38/12),0)</f>
        <v/>
      </c>
      <c r="Z56" s="31">
        <f>SUMIF(Sellout!$A$6:$A$35,A56,Sellout!$D$6:$D$35)*(1-Assumptions!$B$49)</f>
        <v/>
      </c>
      <c r="AA56" s="31">
        <f>IF(A56=Assumptions!$B$58,Ops!$B$23,0)+IF(A56=Assumptions!$B$59,Ops!$C$23,0)</f>
        <v/>
      </c>
      <c r="AB56" s="21">
        <f>-O56+X56+Y56+Z56+AA56</f>
        <v/>
      </c>
      <c r="AC56" s="21">
        <f>AB56+S56-V56</f>
        <v/>
      </c>
    </row>
    <row r="57">
      <c r="A57" s="42" t="n">
        <v>52</v>
      </c>
      <c r="B57" s="43">
        <f>EDATE(Assumptions!$B$7,A57-1)</f>
        <v/>
      </c>
      <c r="C57" s="30">
        <f>IF(A57&lt;Assumptions!$B$9,"Pre-dev",IF(A57&lt;$AE$2,"Construction",IF(A57&lt;=Assumptions!$B$59,"Lease-up / exit","Tail")))</f>
        <v/>
      </c>
      <c r="D57" s="42">
        <f>IF(AND(A57&gt;=Assumptions!$B$9,A57&lt;$AE$2),(A57-Assumptions!$B$9+1)*($AE$2-A57),0)</f>
        <v/>
      </c>
      <c r="E57" s="44">
        <f>IFERROR(D57/$AE$6,0)</f>
        <v/>
      </c>
      <c r="F57" s="21">
        <f>IF(A57=1,DevBudget!$B$5,0)</f>
        <v/>
      </c>
      <c r="G57" s="21">
        <f>E57*DevBudget!$B$6</f>
        <v/>
      </c>
      <c r="H57" s="21">
        <f>E57*DevBudget!$B$7</f>
        <v/>
      </c>
      <c r="I57" s="21">
        <f>E57*DevBudget!$B$8</f>
        <v/>
      </c>
      <c r="J57" s="21">
        <f>E57*(DevBudget!$B$9+DevBudget!$B$10)</f>
        <v/>
      </c>
      <c r="K57" s="21">
        <f>E57*DevBudget!$B$12</f>
        <v/>
      </c>
      <c r="L57" s="21">
        <f>E57*DevBudget!$B$13</f>
        <v/>
      </c>
      <c r="M57" s="21">
        <f>IF(A57=Assumptions!$B$9,Assumptions!$B$69+Assumptions!$B$72,0)+IF(A57=$AE$4,Assumptions!$B$70+Assumptions!$B$71+Assumptions!$B$73,0)</f>
        <v/>
      </c>
      <c r="N57" s="21">
        <f>E57*DevBudget!$B$16</f>
        <v/>
      </c>
      <c r="O57" s="21">
        <f>SUM(F57:N57)</f>
        <v/>
      </c>
      <c r="P57" s="21">
        <f>P56+O57</f>
        <v/>
      </c>
      <c r="Q57" s="21">
        <f>MIN(O57,MAX(0,DevBudget!$B$19-R56))</f>
        <v/>
      </c>
      <c r="R57" s="21">
        <f>R56+Q57</f>
        <v/>
      </c>
      <c r="S57" s="21">
        <f>MIN(MAX(0,O57-Q57),MAX(0,Assumptions!$B$24-T57-U57))</f>
        <v/>
      </c>
      <c r="T57" s="21">
        <f>W56</f>
        <v/>
      </c>
      <c r="U57" s="21">
        <f>T57*Assumptions!$B$25/12</f>
        <v/>
      </c>
      <c r="V57" s="21">
        <f>MIN(T57+U57+S57,MAX(0,Z57+AA57))</f>
        <v/>
      </c>
      <c r="W57" s="21">
        <f>T57+S57+U57-V57</f>
        <v/>
      </c>
      <c r="X57" s="21">
        <f>IF(AND(A57&gt;=$AE$2,A57&lt;=Assumptions!$B$58),(MIN(Program!$D$5,MAX(0,(A57-$AE$2+1)*Assumptions!$B$39))*Assumptions!$B$29*(1+Assumptions!$B$31)*(1-Assumptions!$B$32)+Program!$D$9*Assumptions!$B$43*Assumptions!$B$44/12+Program!$D$5*Assumptions!$B$35*Assumptions!$B$34-Program!$D$5*Assumptions!$B$33/12-Assumptions!$B$36*Assumptions!$B$38/12),0)</f>
        <v/>
      </c>
      <c r="Y57" s="21">
        <f>IF(AND(A57&gt;=$AE$4,A57&lt;=Assumptions!$B$59),(MIN(Program!$C$5,MAX(0,(A57-$AE$4+1)*Assumptions!$B$39))*Assumptions!$B$30*(1+Assumptions!$B$31)*(1-Assumptions!$B$32)+Program!$C$9*Assumptions!$B$43*Assumptions!$B$44/12+Program!$C$5*Assumptions!$B$35*Assumptions!$B$34-Program!$C$5*Assumptions!$B$33/12-Assumptions!$B$37*Assumptions!$B$38/12),0)</f>
        <v/>
      </c>
      <c r="Z57" s="31">
        <f>SUMIF(Sellout!$A$6:$A$35,A57,Sellout!$D$6:$D$35)*(1-Assumptions!$B$49)</f>
        <v/>
      </c>
      <c r="AA57" s="31">
        <f>IF(A57=Assumptions!$B$58,Ops!$B$23,0)+IF(A57=Assumptions!$B$59,Ops!$C$23,0)</f>
        <v/>
      </c>
      <c r="AB57" s="21">
        <f>-O57+X57+Y57+Z57+AA57</f>
        <v/>
      </c>
      <c r="AC57" s="21">
        <f>AB57+S57-V57</f>
        <v/>
      </c>
    </row>
    <row r="58">
      <c r="A58" s="42" t="n">
        <v>53</v>
      </c>
      <c r="B58" s="43">
        <f>EDATE(Assumptions!$B$7,A58-1)</f>
        <v/>
      </c>
      <c r="C58" s="30">
        <f>IF(A58&lt;Assumptions!$B$9,"Pre-dev",IF(A58&lt;$AE$2,"Construction",IF(A58&lt;=Assumptions!$B$59,"Lease-up / exit","Tail")))</f>
        <v/>
      </c>
      <c r="D58" s="42">
        <f>IF(AND(A58&gt;=Assumptions!$B$9,A58&lt;$AE$2),(A58-Assumptions!$B$9+1)*($AE$2-A58),0)</f>
        <v/>
      </c>
      <c r="E58" s="44">
        <f>IFERROR(D58/$AE$6,0)</f>
        <v/>
      </c>
      <c r="F58" s="21">
        <f>IF(A58=1,DevBudget!$B$5,0)</f>
        <v/>
      </c>
      <c r="G58" s="21">
        <f>E58*DevBudget!$B$6</f>
        <v/>
      </c>
      <c r="H58" s="21">
        <f>E58*DevBudget!$B$7</f>
        <v/>
      </c>
      <c r="I58" s="21">
        <f>E58*DevBudget!$B$8</f>
        <v/>
      </c>
      <c r="J58" s="21">
        <f>E58*(DevBudget!$B$9+DevBudget!$B$10)</f>
        <v/>
      </c>
      <c r="K58" s="21">
        <f>E58*DevBudget!$B$12</f>
        <v/>
      </c>
      <c r="L58" s="21">
        <f>E58*DevBudget!$B$13</f>
        <v/>
      </c>
      <c r="M58" s="21">
        <f>IF(A58=Assumptions!$B$9,Assumptions!$B$69+Assumptions!$B$72,0)+IF(A58=$AE$4,Assumptions!$B$70+Assumptions!$B$71+Assumptions!$B$73,0)</f>
        <v/>
      </c>
      <c r="N58" s="21">
        <f>E58*DevBudget!$B$16</f>
        <v/>
      </c>
      <c r="O58" s="21">
        <f>SUM(F58:N58)</f>
        <v/>
      </c>
      <c r="P58" s="21">
        <f>P57+O58</f>
        <v/>
      </c>
      <c r="Q58" s="21">
        <f>MIN(O58,MAX(0,DevBudget!$B$19-R57))</f>
        <v/>
      </c>
      <c r="R58" s="21">
        <f>R57+Q58</f>
        <v/>
      </c>
      <c r="S58" s="21">
        <f>MIN(MAX(0,O58-Q58),MAX(0,Assumptions!$B$24-T58-U58))</f>
        <v/>
      </c>
      <c r="T58" s="21">
        <f>W57</f>
        <v/>
      </c>
      <c r="U58" s="21">
        <f>T58*Assumptions!$B$25/12</f>
        <v/>
      </c>
      <c r="V58" s="21">
        <f>MIN(T58+U58+S58,MAX(0,Z58+AA58))</f>
        <v/>
      </c>
      <c r="W58" s="21">
        <f>T58+S58+U58-V58</f>
        <v/>
      </c>
      <c r="X58" s="21">
        <f>IF(AND(A58&gt;=$AE$2,A58&lt;=Assumptions!$B$58),(MIN(Program!$D$5,MAX(0,(A58-$AE$2+1)*Assumptions!$B$39))*Assumptions!$B$29*(1+Assumptions!$B$31)*(1-Assumptions!$B$32)+Program!$D$9*Assumptions!$B$43*Assumptions!$B$44/12+Program!$D$5*Assumptions!$B$35*Assumptions!$B$34-Program!$D$5*Assumptions!$B$33/12-Assumptions!$B$36*Assumptions!$B$38/12),0)</f>
        <v/>
      </c>
      <c r="Y58" s="21">
        <f>IF(AND(A58&gt;=$AE$4,A58&lt;=Assumptions!$B$59),(MIN(Program!$C$5,MAX(0,(A58-$AE$4+1)*Assumptions!$B$39))*Assumptions!$B$30*(1+Assumptions!$B$31)*(1-Assumptions!$B$32)+Program!$C$9*Assumptions!$B$43*Assumptions!$B$44/12+Program!$C$5*Assumptions!$B$35*Assumptions!$B$34-Program!$C$5*Assumptions!$B$33/12-Assumptions!$B$37*Assumptions!$B$38/12),0)</f>
        <v/>
      </c>
      <c r="Z58" s="31">
        <f>SUMIF(Sellout!$A$6:$A$35,A58,Sellout!$D$6:$D$35)*(1-Assumptions!$B$49)</f>
        <v/>
      </c>
      <c r="AA58" s="31">
        <f>IF(A58=Assumptions!$B$58,Ops!$B$23,0)+IF(A58=Assumptions!$B$59,Ops!$C$23,0)</f>
        <v/>
      </c>
      <c r="AB58" s="21">
        <f>-O58+X58+Y58+Z58+AA58</f>
        <v/>
      </c>
      <c r="AC58" s="21">
        <f>AB58+S58-V58</f>
        <v/>
      </c>
    </row>
    <row r="59">
      <c r="A59" s="42" t="n">
        <v>54</v>
      </c>
      <c r="B59" s="43">
        <f>EDATE(Assumptions!$B$7,A59-1)</f>
        <v/>
      </c>
      <c r="C59" s="30">
        <f>IF(A59&lt;Assumptions!$B$9,"Pre-dev",IF(A59&lt;$AE$2,"Construction",IF(A59&lt;=Assumptions!$B$59,"Lease-up / exit","Tail")))</f>
        <v/>
      </c>
      <c r="D59" s="42">
        <f>IF(AND(A59&gt;=Assumptions!$B$9,A59&lt;$AE$2),(A59-Assumptions!$B$9+1)*($AE$2-A59),0)</f>
        <v/>
      </c>
      <c r="E59" s="44">
        <f>IFERROR(D59/$AE$6,0)</f>
        <v/>
      </c>
      <c r="F59" s="21">
        <f>IF(A59=1,DevBudget!$B$5,0)</f>
        <v/>
      </c>
      <c r="G59" s="21">
        <f>E59*DevBudget!$B$6</f>
        <v/>
      </c>
      <c r="H59" s="21">
        <f>E59*DevBudget!$B$7</f>
        <v/>
      </c>
      <c r="I59" s="21">
        <f>E59*DevBudget!$B$8</f>
        <v/>
      </c>
      <c r="J59" s="21">
        <f>E59*(DevBudget!$B$9+DevBudget!$B$10)</f>
        <v/>
      </c>
      <c r="K59" s="21">
        <f>E59*DevBudget!$B$12</f>
        <v/>
      </c>
      <c r="L59" s="21">
        <f>E59*DevBudget!$B$13</f>
        <v/>
      </c>
      <c r="M59" s="21">
        <f>IF(A59=Assumptions!$B$9,Assumptions!$B$69+Assumptions!$B$72,0)+IF(A59=$AE$4,Assumptions!$B$70+Assumptions!$B$71+Assumptions!$B$73,0)</f>
        <v/>
      </c>
      <c r="N59" s="21">
        <f>E59*DevBudget!$B$16</f>
        <v/>
      </c>
      <c r="O59" s="21">
        <f>SUM(F59:N59)</f>
        <v/>
      </c>
      <c r="P59" s="21">
        <f>P58+O59</f>
        <v/>
      </c>
      <c r="Q59" s="21">
        <f>MIN(O59,MAX(0,DevBudget!$B$19-R58))</f>
        <v/>
      </c>
      <c r="R59" s="21">
        <f>R58+Q59</f>
        <v/>
      </c>
      <c r="S59" s="21">
        <f>MIN(MAX(0,O59-Q59),MAX(0,Assumptions!$B$24-T59-U59))</f>
        <v/>
      </c>
      <c r="T59" s="21">
        <f>W58</f>
        <v/>
      </c>
      <c r="U59" s="21">
        <f>T59*Assumptions!$B$25/12</f>
        <v/>
      </c>
      <c r="V59" s="21">
        <f>MIN(T59+U59+S59,MAX(0,Z59+AA59))</f>
        <v/>
      </c>
      <c r="W59" s="21">
        <f>T59+S59+U59-V59</f>
        <v/>
      </c>
      <c r="X59" s="21">
        <f>IF(AND(A59&gt;=$AE$2,A59&lt;=Assumptions!$B$58),(MIN(Program!$D$5,MAX(0,(A59-$AE$2+1)*Assumptions!$B$39))*Assumptions!$B$29*(1+Assumptions!$B$31)*(1-Assumptions!$B$32)+Program!$D$9*Assumptions!$B$43*Assumptions!$B$44/12+Program!$D$5*Assumptions!$B$35*Assumptions!$B$34-Program!$D$5*Assumptions!$B$33/12-Assumptions!$B$36*Assumptions!$B$38/12),0)</f>
        <v/>
      </c>
      <c r="Y59" s="21">
        <f>IF(AND(A59&gt;=$AE$4,A59&lt;=Assumptions!$B$59),(MIN(Program!$C$5,MAX(0,(A59-$AE$4+1)*Assumptions!$B$39))*Assumptions!$B$30*(1+Assumptions!$B$31)*(1-Assumptions!$B$32)+Program!$C$9*Assumptions!$B$43*Assumptions!$B$44/12+Program!$C$5*Assumptions!$B$35*Assumptions!$B$34-Program!$C$5*Assumptions!$B$33/12-Assumptions!$B$37*Assumptions!$B$38/12),0)</f>
        <v/>
      </c>
      <c r="Z59" s="31">
        <f>SUMIF(Sellout!$A$6:$A$35,A59,Sellout!$D$6:$D$35)*(1-Assumptions!$B$49)</f>
        <v/>
      </c>
      <c r="AA59" s="31">
        <f>IF(A59=Assumptions!$B$58,Ops!$B$23,0)+IF(A59=Assumptions!$B$59,Ops!$C$23,0)</f>
        <v/>
      </c>
      <c r="AB59" s="21">
        <f>-O59+X59+Y59+Z59+AA59</f>
        <v/>
      </c>
      <c r="AC59" s="21">
        <f>AB59+S59-V59</f>
        <v/>
      </c>
    </row>
    <row r="60">
      <c r="A60" s="42" t="n">
        <v>55</v>
      </c>
      <c r="B60" s="43">
        <f>EDATE(Assumptions!$B$7,A60-1)</f>
        <v/>
      </c>
      <c r="C60" s="30">
        <f>IF(A60&lt;Assumptions!$B$9,"Pre-dev",IF(A60&lt;$AE$2,"Construction",IF(A60&lt;=Assumptions!$B$59,"Lease-up / exit","Tail")))</f>
        <v/>
      </c>
      <c r="D60" s="42">
        <f>IF(AND(A60&gt;=Assumptions!$B$9,A60&lt;$AE$2),(A60-Assumptions!$B$9+1)*($AE$2-A60),0)</f>
        <v/>
      </c>
      <c r="E60" s="44">
        <f>IFERROR(D60/$AE$6,0)</f>
        <v/>
      </c>
      <c r="F60" s="21">
        <f>IF(A60=1,DevBudget!$B$5,0)</f>
        <v/>
      </c>
      <c r="G60" s="21">
        <f>E60*DevBudget!$B$6</f>
        <v/>
      </c>
      <c r="H60" s="21">
        <f>E60*DevBudget!$B$7</f>
        <v/>
      </c>
      <c r="I60" s="21">
        <f>E60*DevBudget!$B$8</f>
        <v/>
      </c>
      <c r="J60" s="21">
        <f>E60*(DevBudget!$B$9+DevBudget!$B$10)</f>
        <v/>
      </c>
      <c r="K60" s="21">
        <f>E60*DevBudget!$B$12</f>
        <v/>
      </c>
      <c r="L60" s="21">
        <f>E60*DevBudget!$B$13</f>
        <v/>
      </c>
      <c r="M60" s="21">
        <f>IF(A60=Assumptions!$B$9,Assumptions!$B$69+Assumptions!$B$72,0)+IF(A60=$AE$4,Assumptions!$B$70+Assumptions!$B$71+Assumptions!$B$73,0)</f>
        <v/>
      </c>
      <c r="N60" s="21">
        <f>E60*DevBudget!$B$16</f>
        <v/>
      </c>
      <c r="O60" s="21">
        <f>SUM(F60:N60)</f>
        <v/>
      </c>
      <c r="P60" s="21">
        <f>P59+O60</f>
        <v/>
      </c>
      <c r="Q60" s="21">
        <f>MIN(O60,MAX(0,DevBudget!$B$19-R59))</f>
        <v/>
      </c>
      <c r="R60" s="21">
        <f>R59+Q60</f>
        <v/>
      </c>
      <c r="S60" s="21">
        <f>MIN(MAX(0,O60-Q60),MAX(0,Assumptions!$B$24-T60-U60))</f>
        <v/>
      </c>
      <c r="T60" s="21">
        <f>W59</f>
        <v/>
      </c>
      <c r="U60" s="21">
        <f>T60*Assumptions!$B$25/12</f>
        <v/>
      </c>
      <c r="V60" s="21">
        <f>MIN(T60+U60+S60,MAX(0,Z60+AA60))</f>
        <v/>
      </c>
      <c r="W60" s="21">
        <f>T60+S60+U60-V60</f>
        <v/>
      </c>
      <c r="X60" s="21">
        <f>IF(AND(A60&gt;=$AE$2,A60&lt;=Assumptions!$B$58),(MIN(Program!$D$5,MAX(0,(A60-$AE$2+1)*Assumptions!$B$39))*Assumptions!$B$29*(1+Assumptions!$B$31)*(1-Assumptions!$B$32)+Program!$D$9*Assumptions!$B$43*Assumptions!$B$44/12+Program!$D$5*Assumptions!$B$35*Assumptions!$B$34-Program!$D$5*Assumptions!$B$33/12-Assumptions!$B$36*Assumptions!$B$38/12),0)</f>
        <v/>
      </c>
      <c r="Y60" s="21">
        <f>IF(AND(A60&gt;=$AE$4,A60&lt;=Assumptions!$B$59),(MIN(Program!$C$5,MAX(0,(A60-$AE$4+1)*Assumptions!$B$39))*Assumptions!$B$30*(1+Assumptions!$B$31)*(1-Assumptions!$B$32)+Program!$C$9*Assumptions!$B$43*Assumptions!$B$44/12+Program!$C$5*Assumptions!$B$35*Assumptions!$B$34-Program!$C$5*Assumptions!$B$33/12-Assumptions!$B$37*Assumptions!$B$38/12),0)</f>
        <v/>
      </c>
      <c r="Z60" s="31">
        <f>SUMIF(Sellout!$A$6:$A$35,A60,Sellout!$D$6:$D$35)*(1-Assumptions!$B$49)</f>
        <v/>
      </c>
      <c r="AA60" s="31">
        <f>IF(A60=Assumptions!$B$58,Ops!$B$23,0)+IF(A60=Assumptions!$B$59,Ops!$C$23,0)</f>
        <v/>
      </c>
      <c r="AB60" s="21">
        <f>-O60+X60+Y60+Z60+AA60</f>
        <v/>
      </c>
      <c r="AC60" s="21">
        <f>AB60+S60-V60</f>
        <v/>
      </c>
    </row>
    <row r="61">
      <c r="A61" s="42" t="n">
        <v>56</v>
      </c>
      <c r="B61" s="43">
        <f>EDATE(Assumptions!$B$7,A61-1)</f>
        <v/>
      </c>
      <c r="C61" s="30">
        <f>IF(A61&lt;Assumptions!$B$9,"Pre-dev",IF(A61&lt;$AE$2,"Construction",IF(A61&lt;=Assumptions!$B$59,"Lease-up / exit","Tail")))</f>
        <v/>
      </c>
      <c r="D61" s="42">
        <f>IF(AND(A61&gt;=Assumptions!$B$9,A61&lt;$AE$2),(A61-Assumptions!$B$9+1)*($AE$2-A61),0)</f>
        <v/>
      </c>
      <c r="E61" s="44">
        <f>IFERROR(D61/$AE$6,0)</f>
        <v/>
      </c>
      <c r="F61" s="21">
        <f>IF(A61=1,DevBudget!$B$5,0)</f>
        <v/>
      </c>
      <c r="G61" s="21">
        <f>E61*DevBudget!$B$6</f>
        <v/>
      </c>
      <c r="H61" s="21">
        <f>E61*DevBudget!$B$7</f>
        <v/>
      </c>
      <c r="I61" s="21">
        <f>E61*DevBudget!$B$8</f>
        <v/>
      </c>
      <c r="J61" s="21">
        <f>E61*(DevBudget!$B$9+DevBudget!$B$10)</f>
        <v/>
      </c>
      <c r="K61" s="21">
        <f>E61*DevBudget!$B$12</f>
        <v/>
      </c>
      <c r="L61" s="21">
        <f>E61*DevBudget!$B$13</f>
        <v/>
      </c>
      <c r="M61" s="21">
        <f>IF(A61=Assumptions!$B$9,Assumptions!$B$69+Assumptions!$B$72,0)+IF(A61=$AE$4,Assumptions!$B$70+Assumptions!$B$71+Assumptions!$B$73,0)</f>
        <v/>
      </c>
      <c r="N61" s="21">
        <f>E61*DevBudget!$B$16</f>
        <v/>
      </c>
      <c r="O61" s="21">
        <f>SUM(F61:N61)</f>
        <v/>
      </c>
      <c r="P61" s="21">
        <f>P60+O61</f>
        <v/>
      </c>
      <c r="Q61" s="21">
        <f>MIN(O61,MAX(0,DevBudget!$B$19-R60))</f>
        <v/>
      </c>
      <c r="R61" s="21">
        <f>R60+Q61</f>
        <v/>
      </c>
      <c r="S61" s="21">
        <f>MIN(MAX(0,O61-Q61),MAX(0,Assumptions!$B$24-T61-U61))</f>
        <v/>
      </c>
      <c r="T61" s="21">
        <f>W60</f>
        <v/>
      </c>
      <c r="U61" s="21">
        <f>T61*Assumptions!$B$25/12</f>
        <v/>
      </c>
      <c r="V61" s="21">
        <f>MIN(T61+U61+S61,MAX(0,Z61+AA61))</f>
        <v/>
      </c>
      <c r="W61" s="21">
        <f>T61+S61+U61-V61</f>
        <v/>
      </c>
      <c r="X61" s="21">
        <f>IF(AND(A61&gt;=$AE$2,A61&lt;=Assumptions!$B$58),(MIN(Program!$D$5,MAX(0,(A61-$AE$2+1)*Assumptions!$B$39))*Assumptions!$B$29*(1+Assumptions!$B$31)*(1-Assumptions!$B$32)+Program!$D$9*Assumptions!$B$43*Assumptions!$B$44/12+Program!$D$5*Assumptions!$B$35*Assumptions!$B$34-Program!$D$5*Assumptions!$B$33/12-Assumptions!$B$36*Assumptions!$B$38/12),0)</f>
        <v/>
      </c>
      <c r="Y61" s="21">
        <f>IF(AND(A61&gt;=$AE$4,A61&lt;=Assumptions!$B$59),(MIN(Program!$C$5,MAX(0,(A61-$AE$4+1)*Assumptions!$B$39))*Assumptions!$B$30*(1+Assumptions!$B$31)*(1-Assumptions!$B$32)+Program!$C$9*Assumptions!$B$43*Assumptions!$B$44/12+Program!$C$5*Assumptions!$B$35*Assumptions!$B$34-Program!$C$5*Assumptions!$B$33/12-Assumptions!$B$37*Assumptions!$B$38/12),0)</f>
        <v/>
      </c>
      <c r="Z61" s="31">
        <f>SUMIF(Sellout!$A$6:$A$35,A61,Sellout!$D$6:$D$35)*(1-Assumptions!$B$49)</f>
        <v/>
      </c>
      <c r="AA61" s="31">
        <f>IF(A61=Assumptions!$B$58,Ops!$B$23,0)+IF(A61=Assumptions!$B$59,Ops!$C$23,0)</f>
        <v/>
      </c>
      <c r="AB61" s="21">
        <f>-O61+X61+Y61+Z61+AA61</f>
        <v/>
      </c>
      <c r="AC61" s="21">
        <f>AB61+S61-V61</f>
        <v/>
      </c>
    </row>
    <row r="62">
      <c r="A62" s="42" t="n">
        <v>57</v>
      </c>
      <c r="B62" s="43">
        <f>EDATE(Assumptions!$B$7,A62-1)</f>
        <v/>
      </c>
      <c r="C62" s="30">
        <f>IF(A62&lt;Assumptions!$B$9,"Pre-dev",IF(A62&lt;$AE$2,"Construction",IF(A62&lt;=Assumptions!$B$59,"Lease-up / exit","Tail")))</f>
        <v/>
      </c>
      <c r="D62" s="42">
        <f>IF(AND(A62&gt;=Assumptions!$B$9,A62&lt;$AE$2),(A62-Assumptions!$B$9+1)*($AE$2-A62),0)</f>
        <v/>
      </c>
      <c r="E62" s="44">
        <f>IFERROR(D62/$AE$6,0)</f>
        <v/>
      </c>
      <c r="F62" s="21">
        <f>IF(A62=1,DevBudget!$B$5,0)</f>
        <v/>
      </c>
      <c r="G62" s="21">
        <f>E62*DevBudget!$B$6</f>
        <v/>
      </c>
      <c r="H62" s="21">
        <f>E62*DevBudget!$B$7</f>
        <v/>
      </c>
      <c r="I62" s="21">
        <f>E62*DevBudget!$B$8</f>
        <v/>
      </c>
      <c r="J62" s="21">
        <f>E62*(DevBudget!$B$9+DevBudget!$B$10)</f>
        <v/>
      </c>
      <c r="K62" s="21">
        <f>E62*DevBudget!$B$12</f>
        <v/>
      </c>
      <c r="L62" s="21">
        <f>E62*DevBudget!$B$13</f>
        <v/>
      </c>
      <c r="M62" s="21">
        <f>IF(A62=Assumptions!$B$9,Assumptions!$B$69+Assumptions!$B$72,0)+IF(A62=$AE$4,Assumptions!$B$70+Assumptions!$B$71+Assumptions!$B$73,0)</f>
        <v/>
      </c>
      <c r="N62" s="21">
        <f>E62*DevBudget!$B$16</f>
        <v/>
      </c>
      <c r="O62" s="21">
        <f>SUM(F62:N62)</f>
        <v/>
      </c>
      <c r="P62" s="21">
        <f>P61+O62</f>
        <v/>
      </c>
      <c r="Q62" s="21">
        <f>MIN(O62,MAX(0,DevBudget!$B$19-R61))</f>
        <v/>
      </c>
      <c r="R62" s="21">
        <f>R61+Q62</f>
        <v/>
      </c>
      <c r="S62" s="21">
        <f>MIN(MAX(0,O62-Q62),MAX(0,Assumptions!$B$24-T62-U62))</f>
        <v/>
      </c>
      <c r="T62" s="21">
        <f>W61</f>
        <v/>
      </c>
      <c r="U62" s="21">
        <f>T62*Assumptions!$B$25/12</f>
        <v/>
      </c>
      <c r="V62" s="21">
        <f>MIN(T62+U62+S62,MAX(0,Z62+AA62))</f>
        <v/>
      </c>
      <c r="W62" s="21">
        <f>T62+S62+U62-V62</f>
        <v/>
      </c>
      <c r="X62" s="21">
        <f>IF(AND(A62&gt;=$AE$2,A62&lt;=Assumptions!$B$58),(MIN(Program!$D$5,MAX(0,(A62-$AE$2+1)*Assumptions!$B$39))*Assumptions!$B$29*(1+Assumptions!$B$31)*(1-Assumptions!$B$32)+Program!$D$9*Assumptions!$B$43*Assumptions!$B$44/12+Program!$D$5*Assumptions!$B$35*Assumptions!$B$34-Program!$D$5*Assumptions!$B$33/12-Assumptions!$B$36*Assumptions!$B$38/12),0)</f>
        <v/>
      </c>
      <c r="Y62" s="21">
        <f>IF(AND(A62&gt;=$AE$4,A62&lt;=Assumptions!$B$59),(MIN(Program!$C$5,MAX(0,(A62-$AE$4+1)*Assumptions!$B$39))*Assumptions!$B$30*(1+Assumptions!$B$31)*(1-Assumptions!$B$32)+Program!$C$9*Assumptions!$B$43*Assumptions!$B$44/12+Program!$C$5*Assumptions!$B$35*Assumptions!$B$34-Program!$C$5*Assumptions!$B$33/12-Assumptions!$B$37*Assumptions!$B$38/12),0)</f>
        <v/>
      </c>
      <c r="Z62" s="31">
        <f>SUMIF(Sellout!$A$6:$A$35,A62,Sellout!$D$6:$D$35)*(1-Assumptions!$B$49)</f>
        <v/>
      </c>
      <c r="AA62" s="31">
        <f>IF(A62=Assumptions!$B$58,Ops!$B$23,0)+IF(A62=Assumptions!$B$59,Ops!$C$23,0)</f>
        <v/>
      </c>
      <c r="AB62" s="21">
        <f>-O62+X62+Y62+Z62+AA62</f>
        <v/>
      </c>
      <c r="AC62" s="21">
        <f>AB62+S62-V62</f>
        <v/>
      </c>
    </row>
    <row r="63">
      <c r="A63" s="42" t="n">
        <v>58</v>
      </c>
      <c r="B63" s="43">
        <f>EDATE(Assumptions!$B$7,A63-1)</f>
        <v/>
      </c>
      <c r="C63" s="30">
        <f>IF(A63&lt;Assumptions!$B$9,"Pre-dev",IF(A63&lt;$AE$2,"Construction",IF(A63&lt;=Assumptions!$B$59,"Lease-up / exit","Tail")))</f>
        <v/>
      </c>
      <c r="D63" s="42">
        <f>IF(AND(A63&gt;=Assumptions!$B$9,A63&lt;$AE$2),(A63-Assumptions!$B$9+1)*($AE$2-A63),0)</f>
        <v/>
      </c>
      <c r="E63" s="44">
        <f>IFERROR(D63/$AE$6,0)</f>
        <v/>
      </c>
      <c r="F63" s="21">
        <f>IF(A63=1,DevBudget!$B$5,0)</f>
        <v/>
      </c>
      <c r="G63" s="21">
        <f>E63*DevBudget!$B$6</f>
        <v/>
      </c>
      <c r="H63" s="21">
        <f>E63*DevBudget!$B$7</f>
        <v/>
      </c>
      <c r="I63" s="21">
        <f>E63*DevBudget!$B$8</f>
        <v/>
      </c>
      <c r="J63" s="21">
        <f>E63*(DevBudget!$B$9+DevBudget!$B$10)</f>
        <v/>
      </c>
      <c r="K63" s="21">
        <f>E63*DevBudget!$B$12</f>
        <v/>
      </c>
      <c r="L63" s="21">
        <f>E63*DevBudget!$B$13</f>
        <v/>
      </c>
      <c r="M63" s="21">
        <f>IF(A63=Assumptions!$B$9,Assumptions!$B$69+Assumptions!$B$72,0)+IF(A63=$AE$4,Assumptions!$B$70+Assumptions!$B$71+Assumptions!$B$73,0)</f>
        <v/>
      </c>
      <c r="N63" s="21">
        <f>E63*DevBudget!$B$16</f>
        <v/>
      </c>
      <c r="O63" s="21">
        <f>SUM(F63:N63)</f>
        <v/>
      </c>
      <c r="P63" s="21">
        <f>P62+O63</f>
        <v/>
      </c>
      <c r="Q63" s="21">
        <f>MIN(O63,MAX(0,DevBudget!$B$19-R62))</f>
        <v/>
      </c>
      <c r="R63" s="21">
        <f>R62+Q63</f>
        <v/>
      </c>
      <c r="S63" s="21">
        <f>MIN(MAX(0,O63-Q63),MAX(0,Assumptions!$B$24-T63-U63))</f>
        <v/>
      </c>
      <c r="T63" s="21">
        <f>W62</f>
        <v/>
      </c>
      <c r="U63" s="21">
        <f>T63*Assumptions!$B$25/12</f>
        <v/>
      </c>
      <c r="V63" s="21">
        <f>MIN(T63+U63+S63,MAX(0,Z63+AA63))</f>
        <v/>
      </c>
      <c r="W63" s="21">
        <f>T63+S63+U63-V63</f>
        <v/>
      </c>
      <c r="X63" s="21">
        <f>IF(AND(A63&gt;=$AE$2,A63&lt;=Assumptions!$B$58),(MIN(Program!$D$5,MAX(0,(A63-$AE$2+1)*Assumptions!$B$39))*Assumptions!$B$29*(1+Assumptions!$B$31)*(1-Assumptions!$B$32)+Program!$D$9*Assumptions!$B$43*Assumptions!$B$44/12+Program!$D$5*Assumptions!$B$35*Assumptions!$B$34-Program!$D$5*Assumptions!$B$33/12-Assumptions!$B$36*Assumptions!$B$38/12),0)</f>
        <v/>
      </c>
      <c r="Y63" s="21">
        <f>IF(AND(A63&gt;=$AE$4,A63&lt;=Assumptions!$B$59),(MIN(Program!$C$5,MAX(0,(A63-$AE$4+1)*Assumptions!$B$39))*Assumptions!$B$30*(1+Assumptions!$B$31)*(1-Assumptions!$B$32)+Program!$C$9*Assumptions!$B$43*Assumptions!$B$44/12+Program!$C$5*Assumptions!$B$35*Assumptions!$B$34-Program!$C$5*Assumptions!$B$33/12-Assumptions!$B$37*Assumptions!$B$38/12),0)</f>
        <v/>
      </c>
      <c r="Z63" s="31">
        <f>SUMIF(Sellout!$A$6:$A$35,A63,Sellout!$D$6:$D$35)*(1-Assumptions!$B$49)</f>
        <v/>
      </c>
      <c r="AA63" s="31">
        <f>IF(A63=Assumptions!$B$58,Ops!$B$23,0)+IF(A63=Assumptions!$B$59,Ops!$C$23,0)</f>
        <v/>
      </c>
      <c r="AB63" s="21">
        <f>-O63+X63+Y63+Z63+AA63</f>
        <v/>
      </c>
      <c r="AC63" s="21">
        <f>AB63+S63-V63</f>
        <v/>
      </c>
    </row>
    <row r="64">
      <c r="A64" s="42" t="n">
        <v>59</v>
      </c>
      <c r="B64" s="43">
        <f>EDATE(Assumptions!$B$7,A64-1)</f>
        <v/>
      </c>
      <c r="C64" s="30">
        <f>IF(A64&lt;Assumptions!$B$9,"Pre-dev",IF(A64&lt;$AE$2,"Construction",IF(A64&lt;=Assumptions!$B$59,"Lease-up / exit","Tail")))</f>
        <v/>
      </c>
      <c r="D64" s="42">
        <f>IF(AND(A64&gt;=Assumptions!$B$9,A64&lt;$AE$2),(A64-Assumptions!$B$9+1)*($AE$2-A64),0)</f>
        <v/>
      </c>
      <c r="E64" s="44">
        <f>IFERROR(D64/$AE$6,0)</f>
        <v/>
      </c>
      <c r="F64" s="21">
        <f>IF(A64=1,DevBudget!$B$5,0)</f>
        <v/>
      </c>
      <c r="G64" s="21">
        <f>E64*DevBudget!$B$6</f>
        <v/>
      </c>
      <c r="H64" s="21">
        <f>E64*DevBudget!$B$7</f>
        <v/>
      </c>
      <c r="I64" s="21">
        <f>E64*DevBudget!$B$8</f>
        <v/>
      </c>
      <c r="J64" s="21">
        <f>E64*(DevBudget!$B$9+DevBudget!$B$10)</f>
        <v/>
      </c>
      <c r="K64" s="21">
        <f>E64*DevBudget!$B$12</f>
        <v/>
      </c>
      <c r="L64" s="21">
        <f>E64*DevBudget!$B$13</f>
        <v/>
      </c>
      <c r="M64" s="21">
        <f>IF(A64=Assumptions!$B$9,Assumptions!$B$69+Assumptions!$B$72,0)+IF(A64=$AE$4,Assumptions!$B$70+Assumptions!$B$71+Assumptions!$B$73,0)</f>
        <v/>
      </c>
      <c r="N64" s="21">
        <f>E64*DevBudget!$B$16</f>
        <v/>
      </c>
      <c r="O64" s="21">
        <f>SUM(F64:N64)</f>
        <v/>
      </c>
      <c r="P64" s="21">
        <f>P63+O64</f>
        <v/>
      </c>
      <c r="Q64" s="21">
        <f>MIN(O64,MAX(0,DevBudget!$B$19-R63))</f>
        <v/>
      </c>
      <c r="R64" s="21">
        <f>R63+Q64</f>
        <v/>
      </c>
      <c r="S64" s="21">
        <f>MIN(MAX(0,O64-Q64),MAX(0,Assumptions!$B$24-T64-U64))</f>
        <v/>
      </c>
      <c r="T64" s="21">
        <f>W63</f>
        <v/>
      </c>
      <c r="U64" s="21">
        <f>T64*Assumptions!$B$25/12</f>
        <v/>
      </c>
      <c r="V64" s="21">
        <f>MIN(T64+U64+S64,MAX(0,Z64+AA64))</f>
        <v/>
      </c>
      <c r="W64" s="21">
        <f>T64+S64+U64-V64</f>
        <v/>
      </c>
      <c r="X64" s="21">
        <f>IF(AND(A64&gt;=$AE$2,A64&lt;=Assumptions!$B$58),(MIN(Program!$D$5,MAX(0,(A64-$AE$2+1)*Assumptions!$B$39))*Assumptions!$B$29*(1+Assumptions!$B$31)*(1-Assumptions!$B$32)+Program!$D$9*Assumptions!$B$43*Assumptions!$B$44/12+Program!$D$5*Assumptions!$B$35*Assumptions!$B$34-Program!$D$5*Assumptions!$B$33/12-Assumptions!$B$36*Assumptions!$B$38/12),0)</f>
        <v/>
      </c>
      <c r="Y64" s="21">
        <f>IF(AND(A64&gt;=$AE$4,A64&lt;=Assumptions!$B$59),(MIN(Program!$C$5,MAX(0,(A64-$AE$4+1)*Assumptions!$B$39))*Assumptions!$B$30*(1+Assumptions!$B$31)*(1-Assumptions!$B$32)+Program!$C$9*Assumptions!$B$43*Assumptions!$B$44/12+Program!$C$5*Assumptions!$B$35*Assumptions!$B$34-Program!$C$5*Assumptions!$B$33/12-Assumptions!$B$37*Assumptions!$B$38/12),0)</f>
        <v/>
      </c>
      <c r="Z64" s="31">
        <f>SUMIF(Sellout!$A$6:$A$35,A64,Sellout!$D$6:$D$35)*(1-Assumptions!$B$49)</f>
        <v/>
      </c>
      <c r="AA64" s="31">
        <f>IF(A64=Assumptions!$B$58,Ops!$B$23,0)+IF(A64=Assumptions!$B$59,Ops!$C$23,0)</f>
        <v/>
      </c>
      <c r="AB64" s="21">
        <f>-O64+X64+Y64+Z64+AA64</f>
        <v/>
      </c>
      <c r="AC64" s="21">
        <f>AB64+S64-V64</f>
        <v/>
      </c>
    </row>
    <row r="65">
      <c r="A65" s="42" t="n">
        <v>60</v>
      </c>
      <c r="B65" s="43">
        <f>EDATE(Assumptions!$B$7,A65-1)</f>
        <v/>
      </c>
      <c r="C65" s="30">
        <f>IF(A65&lt;Assumptions!$B$9,"Pre-dev",IF(A65&lt;$AE$2,"Construction",IF(A65&lt;=Assumptions!$B$59,"Lease-up / exit","Tail")))</f>
        <v/>
      </c>
      <c r="D65" s="42">
        <f>IF(AND(A65&gt;=Assumptions!$B$9,A65&lt;$AE$2),(A65-Assumptions!$B$9+1)*($AE$2-A65),0)</f>
        <v/>
      </c>
      <c r="E65" s="44">
        <f>IFERROR(D65/$AE$6,0)</f>
        <v/>
      </c>
      <c r="F65" s="21">
        <f>IF(A65=1,DevBudget!$B$5,0)</f>
        <v/>
      </c>
      <c r="G65" s="21">
        <f>E65*DevBudget!$B$6</f>
        <v/>
      </c>
      <c r="H65" s="21">
        <f>E65*DevBudget!$B$7</f>
        <v/>
      </c>
      <c r="I65" s="21">
        <f>E65*DevBudget!$B$8</f>
        <v/>
      </c>
      <c r="J65" s="21">
        <f>E65*(DevBudget!$B$9+DevBudget!$B$10)</f>
        <v/>
      </c>
      <c r="K65" s="21">
        <f>E65*DevBudget!$B$12</f>
        <v/>
      </c>
      <c r="L65" s="21">
        <f>E65*DevBudget!$B$13</f>
        <v/>
      </c>
      <c r="M65" s="21">
        <f>IF(A65=Assumptions!$B$9,Assumptions!$B$69+Assumptions!$B$72,0)+IF(A65=$AE$4,Assumptions!$B$70+Assumptions!$B$71+Assumptions!$B$73,0)</f>
        <v/>
      </c>
      <c r="N65" s="21">
        <f>E65*DevBudget!$B$16</f>
        <v/>
      </c>
      <c r="O65" s="21">
        <f>SUM(F65:N65)</f>
        <v/>
      </c>
      <c r="P65" s="21">
        <f>P64+O65</f>
        <v/>
      </c>
      <c r="Q65" s="21">
        <f>MIN(O65,MAX(0,DevBudget!$B$19-R64))</f>
        <v/>
      </c>
      <c r="R65" s="21">
        <f>R64+Q65</f>
        <v/>
      </c>
      <c r="S65" s="21">
        <f>MIN(MAX(0,O65-Q65),MAX(0,Assumptions!$B$24-T65-U65))</f>
        <v/>
      </c>
      <c r="T65" s="21">
        <f>W64</f>
        <v/>
      </c>
      <c r="U65" s="21">
        <f>T65*Assumptions!$B$25/12</f>
        <v/>
      </c>
      <c r="V65" s="21">
        <f>MIN(T65+U65+S65,MAX(0,Z65+AA65))</f>
        <v/>
      </c>
      <c r="W65" s="21">
        <f>T65+S65+U65-V65</f>
        <v/>
      </c>
      <c r="X65" s="21">
        <f>IF(AND(A65&gt;=$AE$2,A65&lt;=Assumptions!$B$58),(MIN(Program!$D$5,MAX(0,(A65-$AE$2+1)*Assumptions!$B$39))*Assumptions!$B$29*(1+Assumptions!$B$31)*(1-Assumptions!$B$32)+Program!$D$9*Assumptions!$B$43*Assumptions!$B$44/12+Program!$D$5*Assumptions!$B$35*Assumptions!$B$34-Program!$D$5*Assumptions!$B$33/12-Assumptions!$B$36*Assumptions!$B$38/12),0)</f>
        <v/>
      </c>
      <c r="Y65" s="21">
        <f>IF(AND(A65&gt;=$AE$4,A65&lt;=Assumptions!$B$59),(MIN(Program!$C$5,MAX(0,(A65-$AE$4+1)*Assumptions!$B$39))*Assumptions!$B$30*(1+Assumptions!$B$31)*(1-Assumptions!$B$32)+Program!$C$9*Assumptions!$B$43*Assumptions!$B$44/12+Program!$C$5*Assumptions!$B$35*Assumptions!$B$34-Program!$C$5*Assumptions!$B$33/12-Assumptions!$B$37*Assumptions!$B$38/12),0)</f>
        <v/>
      </c>
      <c r="Z65" s="31">
        <f>SUMIF(Sellout!$A$6:$A$35,A65,Sellout!$D$6:$D$35)*(1-Assumptions!$B$49)</f>
        <v/>
      </c>
      <c r="AA65" s="31">
        <f>IF(A65=Assumptions!$B$58,Ops!$B$23,0)+IF(A65=Assumptions!$B$59,Ops!$C$23,0)</f>
        <v/>
      </c>
      <c r="AB65" s="21">
        <f>-O65+X65+Y65+Z65+AA65</f>
        <v/>
      </c>
      <c r="AC65" s="21">
        <f>AB65+S65-V65</f>
        <v/>
      </c>
    </row>
    <row r="66">
      <c r="A66" s="42" t="n">
        <v>61</v>
      </c>
      <c r="B66" s="43">
        <f>EDATE(Assumptions!$B$7,A66-1)</f>
        <v/>
      </c>
      <c r="C66" s="30">
        <f>IF(A66&lt;Assumptions!$B$9,"Pre-dev",IF(A66&lt;$AE$2,"Construction",IF(A66&lt;=Assumptions!$B$59,"Lease-up / exit","Tail")))</f>
        <v/>
      </c>
      <c r="D66" s="42">
        <f>IF(AND(A66&gt;=Assumptions!$B$9,A66&lt;$AE$2),(A66-Assumptions!$B$9+1)*($AE$2-A66),0)</f>
        <v/>
      </c>
      <c r="E66" s="44">
        <f>IFERROR(D66/$AE$6,0)</f>
        <v/>
      </c>
      <c r="F66" s="21">
        <f>IF(A66=1,DevBudget!$B$5,0)</f>
        <v/>
      </c>
      <c r="G66" s="21">
        <f>E66*DevBudget!$B$6</f>
        <v/>
      </c>
      <c r="H66" s="21">
        <f>E66*DevBudget!$B$7</f>
        <v/>
      </c>
      <c r="I66" s="21">
        <f>E66*DevBudget!$B$8</f>
        <v/>
      </c>
      <c r="J66" s="21">
        <f>E66*(DevBudget!$B$9+DevBudget!$B$10)</f>
        <v/>
      </c>
      <c r="K66" s="21">
        <f>E66*DevBudget!$B$12</f>
        <v/>
      </c>
      <c r="L66" s="21">
        <f>E66*DevBudget!$B$13</f>
        <v/>
      </c>
      <c r="M66" s="21">
        <f>IF(A66=Assumptions!$B$9,Assumptions!$B$69+Assumptions!$B$72,0)+IF(A66=$AE$4,Assumptions!$B$70+Assumptions!$B$71+Assumptions!$B$73,0)</f>
        <v/>
      </c>
      <c r="N66" s="21">
        <f>E66*DevBudget!$B$16</f>
        <v/>
      </c>
      <c r="O66" s="21">
        <f>SUM(F66:N66)</f>
        <v/>
      </c>
      <c r="P66" s="21">
        <f>P65+O66</f>
        <v/>
      </c>
      <c r="Q66" s="21">
        <f>MIN(O66,MAX(0,DevBudget!$B$19-R65))</f>
        <v/>
      </c>
      <c r="R66" s="21">
        <f>R65+Q66</f>
        <v/>
      </c>
      <c r="S66" s="21">
        <f>MIN(MAX(0,O66-Q66),MAX(0,Assumptions!$B$24-T66-U66))</f>
        <v/>
      </c>
      <c r="T66" s="21">
        <f>W65</f>
        <v/>
      </c>
      <c r="U66" s="21">
        <f>T66*Assumptions!$B$25/12</f>
        <v/>
      </c>
      <c r="V66" s="21">
        <f>MIN(T66+U66+S66,MAX(0,Z66+AA66))</f>
        <v/>
      </c>
      <c r="W66" s="21">
        <f>T66+S66+U66-V66</f>
        <v/>
      </c>
      <c r="X66" s="21">
        <f>IF(AND(A66&gt;=$AE$2,A66&lt;=Assumptions!$B$58),(MIN(Program!$D$5,MAX(0,(A66-$AE$2+1)*Assumptions!$B$39))*Assumptions!$B$29*(1+Assumptions!$B$31)*(1-Assumptions!$B$32)+Program!$D$9*Assumptions!$B$43*Assumptions!$B$44/12+Program!$D$5*Assumptions!$B$35*Assumptions!$B$34-Program!$D$5*Assumptions!$B$33/12-Assumptions!$B$36*Assumptions!$B$38/12),0)</f>
        <v/>
      </c>
      <c r="Y66" s="21">
        <f>IF(AND(A66&gt;=$AE$4,A66&lt;=Assumptions!$B$59),(MIN(Program!$C$5,MAX(0,(A66-$AE$4+1)*Assumptions!$B$39))*Assumptions!$B$30*(1+Assumptions!$B$31)*(1-Assumptions!$B$32)+Program!$C$9*Assumptions!$B$43*Assumptions!$B$44/12+Program!$C$5*Assumptions!$B$35*Assumptions!$B$34-Program!$C$5*Assumptions!$B$33/12-Assumptions!$B$37*Assumptions!$B$38/12),0)</f>
        <v/>
      </c>
      <c r="Z66" s="31">
        <f>SUMIF(Sellout!$A$6:$A$35,A66,Sellout!$D$6:$D$35)*(1-Assumptions!$B$49)</f>
        <v/>
      </c>
      <c r="AA66" s="31">
        <f>IF(A66=Assumptions!$B$58,Ops!$B$23,0)+IF(A66=Assumptions!$B$59,Ops!$C$23,0)</f>
        <v/>
      </c>
      <c r="AB66" s="21">
        <f>-O66+X66+Y66+Z66+AA66</f>
        <v/>
      </c>
      <c r="AC66" s="21">
        <f>AB66+S66-V66</f>
        <v/>
      </c>
    </row>
    <row r="67">
      <c r="A67" s="42" t="n">
        <v>62</v>
      </c>
      <c r="B67" s="43">
        <f>EDATE(Assumptions!$B$7,A67-1)</f>
        <v/>
      </c>
      <c r="C67" s="30">
        <f>IF(A67&lt;Assumptions!$B$9,"Pre-dev",IF(A67&lt;$AE$2,"Construction",IF(A67&lt;=Assumptions!$B$59,"Lease-up / exit","Tail")))</f>
        <v/>
      </c>
      <c r="D67" s="42">
        <f>IF(AND(A67&gt;=Assumptions!$B$9,A67&lt;$AE$2),(A67-Assumptions!$B$9+1)*($AE$2-A67),0)</f>
        <v/>
      </c>
      <c r="E67" s="44">
        <f>IFERROR(D67/$AE$6,0)</f>
        <v/>
      </c>
      <c r="F67" s="21">
        <f>IF(A67=1,DevBudget!$B$5,0)</f>
        <v/>
      </c>
      <c r="G67" s="21">
        <f>E67*DevBudget!$B$6</f>
        <v/>
      </c>
      <c r="H67" s="21">
        <f>E67*DevBudget!$B$7</f>
        <v/>
      </c>
      <c r="I67" s="21">
        <f>E67*DevBudget!$B$8</f>
        <v/>
      </c>
      <c r="J67" s="21">
        <f>E67*(DevBudget!$B$9+DevBudget!$B$10)</f>
        <v/>
      </c>
      <c r="K67" s="21">
        <f>E67*DevBudget!$B$12</f>
        <v/>
      </c>
      <c r="L67" s="21">
        <f>E67*DevBudget!$B$13</f>
        <v/>
      </c>
      <c r="M67" s="21">
        <f>IF(A67=Assumptions!$B$9,Assumptions!$B$69+Assumptions!$B$72,0)+IF(A67=$AE$4,Assumptions!$B$70+Assumptions!$B$71+Assumptions!$B$73,0)</f>
        <v/>
      </c>
      <c r="N67" s="21">
        <f>E67*DevBudget!$B$16</f>
        <v/>
      </c>
      <c r="O67" s="21">
        <f>SUM(F67:N67)</f>
        <v/>
      </c>
      <c r="P67" s="21">
        <f>P66+O67</f>
        <v/>
      </c>
      <c r="Q67" s="21">
        <f>MIN(O67,MAX(0,DevBudget!$B$19-R66))</f>
        <v/>
      </c>
      <c r="R67" s="21">
        <f>R66+Q67</f>
        <v/>
      </c>
      <c r="S67" s="21">
        <f>MIN(MAX(0,O67-Q67),MAX(0,Assumptions!$B$24-T67-U67))</f>
        <v/>
      </c>
      <c r="T67" s="21">
        <f>W66</f>
        <v/>
      </c>
      <c r="U67" s="21">
        <f>T67*Assumptions!$B$25/12</f>
        <v/>
      </c>
      <c r="V67" s="21">
        <f>MIN(T67+U67+S67,MAX(0,Z67+AA67))</f>
        <v/>
      </c>
      <c r="W67" s="21">
        <f>T67+S67+U67-V67</f>
        <v/>
      </c>
      <c r="X67" s="21">
        <f>IF(AND(A67&gt;=$AE$2,A67&lt;=Assumptions!$B$58),(MIN(Program!$D$5,MAX(0,(A67-$AE$2+1)*Assumptions!$B$39))*Assumptions!$B$29*(1+Assumptions!$B$31)*(1-Assumptions!$B$32)+Program!$D$9*Assumptions!$B$43*Assumptions!$B$44/12+Program!$D$5*Assumptions!$B$35*Assumptions!$B$34-Program!$D$5*Assumptions!$B$33/12-Assumptions!$B$36*Assumptions!$B$38/12),0)</f>
        <v/>
      </c>
      <c r="Y67" s="21">
        <f>IF(AND(A67&gt;=$AE$4,A67&lt;=Assumptions!$B$59),(MIN(Program!$C$5,MAX(0,(A67-$AE$4+1)*Assumptions!$B$39))*Assumptions!$B$30*(1+Assumptions!$B$31)*(1-Assumptions!$B$32)+Program!$C$9*Assumptions!$B$43*Assumptions!$B$44/12+Program!$C$5*Assumptions!$B$35*Assumptions!$B$34-Program!$C$5*Assumptions!$B$33/12-Assumptions!$B$37*Assumptions!$B$38/12),0)</f>
        <v/>
      </c>
      <c r="Z67" s="31">
        <f>SUMIF(Sellout!$A$6:$A$35,A67,Sellout!$D$6:$D$35)*(1-Assumptions!$B$49)</f>
        <v/>
      </c>
      <c r="AA67" s="31">
        <f>IF(A67=Assumptions!$B$58,Ops!$B$23,0)+IF(A67=Assumptions!$B$59,Ops!$C$23,0)</f>
        <v/>
      </c>
      <c r="AB67" s="21">
        <f>-O67+X67+Y67+Z67+AA67</f>
        <v/>
      </c>
      <c r="AC67" s="21">
        <f>AB67+S67-V67</f>
        <v/>
      </c>
    </row>
    <row r="68">
      <c r="A68" s="42" t="n">
        <v>63</v>
      </c>
      <c r="B68" s="43">
        <f>EDATE(Assumptions!$B$7,A68-1)</f>
        <v/>
      </c>
      <c r="C68" s="30">
        <f>IF(A68&lt;Assumptions!$B$9,"Pre-dev",IF(A68&lt;$AE$2,"Construction",IF(A68&lt;=Assumptions!$B$59,"Lease-up / exit","Tail")))</f>
        <v/>
      </c>
      <c r="D68" s="42">
        <f>IF(AND(A68&gt;=Assumptions!$B$9,A68&lt;$AE$2),(A68-Assumptions!$B$9+1)*($AE$2-A68),0)</f>
        <v/>
      </c>
      <c r="E68" s="44">
        <f>IFERROR(D68/$AE$6,0)</f>
        <v/>
      </c>
      <c r="F68" s="21">
        <f>IF(A68=1,DevBudget!$B$5,0)</f>
        <v/>
      </c>
      <c r="G68" s="21">
        <f>E68*DevBudget!$B$6</f>
        <v/>
      </c>
      <c r="H68" s="21">
        <f>E68*DevBudget!$B$7</f>
        <v/>
      </c>
      <c r="I68" s="21">
        <f>E68*DevBudget!$B$8</f>
        <v/>
      </c>
      <c r="J68" s="21">
        <f>E68*(DevBudget!$B$9+DevBudget!$B$10)</f>
        <v/>
      </c>
      <c r="K68" s="21">
        <f>E68*DevBudget!$B$12</f>
        <v/>
      </c>
      <c r="L68" s="21">
        <f>E68*DevBudget!$B$13</f>
        <v/>
      </c>
      <c r="M68" s="21">
        <f>IF(A68=Assumptions!$B$9,Assumptions!$B$69+Assumptions!$B$72,0)+IF(A68=$AE$4,Assumptions!$B$70+Assumptions!$B$71+Assumptions!$B$73,0)</f>
        <v/>
      </c>
      <c r="N68" s="21">
        <f>E68*DevBudget!$B$16</f>
        <v/>
      </c>
      <c r="O68" s="21">
        <f>SUM(F68:N68)</f>
        <v/>
      </c>
      <c r="P68" s="21">
        <f>P67+O68</f>
        <v/>
      </c>
      <c r="Q68" s="21">
        <f>MIN(O68,MAX(0,DevBudget!$B$19-R67))</f>
        <v/>
      </c>
      <c r="R68" s="21">
        <f>R67+Q68</f>
        <v/>
      </c>
      <c r="S68" s="21">
        <f>MIN(MAX(0,O68-Q68),MAX(0,Assumptions!$B$24-T68-U68))</f>
        <v/>
      </c>
      <c r="T68" s="21">
        <f>W67</f>
        <v/>
      </c>
      <c r="U68" s="21">
        <f>T68*Assumptions!$B$25/12</f>
        <v/>
      </c>
      <c r="V68" s="21">
        <f>MIN(T68+U68+S68,MAX(0,Z68+AA68))</f>
        <v/>
      </c>
      <c r="W68" s="21">
        <f>T68+S68+U68-V68</f>
        <v/>
      </c>
      <c r="X68" s="21">
        <f>IF(AND(A68&gt;=$AE$2,A68&lt;=Assumptions!$B$58),(MIN(Program!$D$5,MAX(0,(A68-$AE$2+1)*Assumptions!$B$39))*Assumptions!$B$29*(1+Assumptions!$B$31)*(1-Assumptions!$B$32)+Program!$D$9*Assumptions!$B$43*Assumptions!$B$44/12+Program!$D$5*Assumptions!$B$35*Assumptions!$B$34-Program!$D$5*Assumptions!$B$33/12-Assumptions!$B$36*Assumptions!$B$38/12),0)</f>
        <v/>
      </c>
      <c r="Y68" s="21">
        <f>IF(AND(A68&gt;=$AE$4,A68&lt;=Assumptions!$B$59),(MIN(Program!$C$5,MAX(0,(A68-$AE$4+1)*Assumptions!$B$39))*Assumptions!$B$30*(1+Assumptions!$B$31)*(1-Assumptions!$B$32)+Program!$C$9*Assumptions!$B$43*Assumptions!$B$44/12+Program!$C$5*Assumptions!$B$35*Assumptions!$B$34-Program!$C$5*Assumptions!$B$33/12-Assumptions!$B$37*Assumptions!$B$38/12),0)</f>
        <v/>
      </c>
      <c r="Z68" s="31">
        <f>SUMIF(Sellout!$A$6:$A$35,A68,Sellout!$D$6:$D$35)*(1-Assumptions!$B$49)</f>
        <v/>
      </c>
      <c r="AA68" s="31">
        <f>IF(A68=Assumptions!$B$58,Ops!$B$23,0)+IF(A68=Assumptions!$B$59,Ops!$C$23,0)</f>
        <v/>
      </c>
      <c r="AB68" s="21">
        <f>-O68+X68+Y68+Z68+AA68</f>
        <v/>
      </c>
      <c r="AC68" s="21">
        <f>AB68+S68-V68</f>
        <v/>
      </c>
    </row>
    <row r="69">
      <c r="A69" s="42" t="n">
        <v>64</v>
      </c>
      <c r="B69" s="43">
        <f>EDATE(Assumptions!$B$7,A69-1)</f>
        <v/>
      </c>
      <c r="C69" s="30">
        <f>IF(A69&lt;Assumptions!$B$9,"Pre-dev",IF(A69&lt;$AE$2,"Construction",IF(A69&lt;=Assumptions!$B$59,"Lease-up / exit","Tail")))</f>
        <v/>
      </c>
      <c r="D69" s="42">
        <f>IF(AND(A69&gt;=Assumptions!$B$9,A69&lt;$AE$2),(A69-Assumptions!$B$9+1)*($AE$2-A69),0)</f>
        <v/>
      </c>
      <c r="E69" s="44">
        <f>IFERROR(D69/$AE$6,0)</f>
        <v/>
      </c>
      <c r="F69" s="21">
        <f>IF(A69=1,DevBudget!$B$5,0)</f>
        <v/>
      </c>
      <c r="G69" s="21">
        <f>E69*DevBudget!$B$6</f>
        <v/>
      </c>
      <c r="H69" s="21">
        <f>E69*DevBudget!$B$7</f>
        <v/>
      </c>
      <c r="I69" s="21">
        <f>E69*DevBudget!$B$8</f>
        <v/>
      </c>
      <c r="J69" s="21">
        <f>E69*(DevBudget!$B$9+DevBudget!$B$10)</f>
        <v/>
      </c>
      <c r="K69" s="21">
        <f>E69*DevBudget!$B$12</f>
        <v/>
      </c>
      <c r="L69" s="21">
        <f>E69*DevBudget!$B$13</f>
        <v/>
      </c>
      <c r="M69" s="21">
        <f>IF(A69=Assumptions!$B$9,Assumptions!$B$69+Assumptions!$B$72,0)+IF(A69=$AE$4,Assumptions!$B$70+Assumptions!$B$71+Assumptions!$B$73,0)</f>
        <v/>
      </c>
      <c r="N69" s="21">
        <f>E69*DevBudget!$B$16</f>
        <v/>
      </c>
      <c r="O69" s="21">
        <f>SUM(F69:N69)</f>
        <v/>
      </c>
      <c r="P69" s="21">
        <f>P68+O69</f>
        <v/>
      </c>
      <c r="Q69" s="21">
        <f>MIN(O69,MAX(0,DevBudget!$B$19-R68))</f>
        <v/>
      </c>
      <c r="R69" s="21">
        <f>R68+Q69</f>
        <v/>
      </c>
      <c r="S69" s="21">
        <f>MIN(MAX(0,O69-Q69),MAX(0,Assumptions!$B$24-T69-U69))</f>
        <v/>
      </c>
      <c r="T69" s="21">
        <f>W68</f>
        <v/>
      </c>
      <c r="U69" s="21">
        <f>T69*Assumptions!$B$25/12</f>
        <v/>
      </c>
      <c r="V69" s="21">
        <f>MIN(T69+U69+S69,MAX(0,Z69+AA69))</f>
        <v/>
      </c>
      <c r="W69" s="21">
        <f>T69+S69+U69-V69</f>
        <v/>
      </c>
      <c r="X69" s="21">
        <f>IF(AND(A69&gt;=$AE$2,A69&lt;=Assumptions!$B$58),(MIN(Program!$D$5,MAX(0,(A69-$AE$2+1)*Assumptions!$B$39))*Assumptions!$B$29*(1+Assumptions!$B$31)*(1-Assumptions!$B$32)+Program!$D$9*Assumptions!$B$43*Assumptions!$B$44/12+Program!$D$5*Assumptions!$B$35*Assumptions!$B$34-Program!$D$5*Assumptions!$B$33/12-Assumptions!$B$36*Assumptions!$B$38/12),0)</f>
        <v/>
      </c>
      <c r="Y69" s="21">
        <f>IF(AND(A69&gt;=$AE$4,A69&lt;=Assumptions!$B$59),(MIN(Program!$C$5,MAX(0,(A69-$AE$4+1)*Assumptions!$B$39))*Assumptions!$B$30*(1+Assumptions!$B$31)*(1-Assumptions!$B$32)+Program!$C$9*Assumptions!$B$43*Assumptions!$B$44/12+Program!$C$5*Assumptions!$B$35*Assumptions!$B$34-Program!$C$5*Assumptions!$B$33/12-Assumptions!$B$37*Assumptions!$B$38/12),0)</f>
        <v/>
      </c>
      <c r="Z69" s="31">
        <f>SUMIF(Sellout!$A$6:$A$35,A69,Sellout!$D$6:$D$35)*(1-Assumptions!$B$49)</f>
        <v/>
      </c>
      <c r="AA69" s="31">
        <f>IF(A69=Assumptions!$B$58,Ops!$B$23,0)+IF(A69=Assumptions!$B$59,Ops!$C$23,0)</f>
        <v/>
      </c>
      <c r="AB69" s="21">
        <f>-O69+X69+Y69+Z69+AA69</f>
        <v/>
      </c>
      <c r="AC69" s="21">
        <f>AB69+S69-V69</f>
        <v/>
      </c>
    </row>
    <row r="70">
      <c r="A70" s="42" t="n">
        <v>65</v>
      </c>
      <c r="B70" s="43">
        <f>EDATE(Assumptions!$B$7,A70-1)</f>
        <v/>
      </c>
      <c r="C70" s="30">
        <f>IF(A70&lt;Assumptions!$B$9,"Pre-dev",IF(A70&lt;$AE$2,"Construction",IF(A70&lt;=Assumptions!$B$59,"Lease-up / exit","Tail")))</f>
        <v/>
      </c>
      <c r="D70" s="42">
        <f>IF(AND(A70&gt;=Assumptions!$B$9,A70&lt;$AE$2),(A70-Assumptions!$B$9+1)*($AE$2-A70),0)</f>
        <v/>
      </c>
      <c r="E70" s="44">
        <f>IFERROR(D70/$AE$6,0)</f>
        <v/>
      </c>
      <c r="F70" s="21">
        <f>IF(A70=1,DevBudget!$B$5,0)</f>
        <v/>
      </c>
      <c r="G70" s="21">
        <f>E70*DevBudget!$B$6</f>
        <v/>
      </c>
      <c r="H70" s="21">
        <f>E70*DevBudget!$B$7</f>
        <v/>
      </c>
      <c r="I70" s="21">
        <f>E70*DevBudget!$B$8</f>
        <v/>
      </c>
      <c r="J70" s="21">
        <f>E70*(DevBudget!$B$9+DevBudget!$B$10)</f>
        <v/>
      </c>
      <c r="K70" s="21">
        <f>E70*DevBudget!$B$12</f>
        <v/>
      </c>
      <c r="L70" s="21">
        <f>E70*DevBudget!$B$13</f>
        <v/>
      </c>
      <c r="M70" s="21">
        <f>IF(A70=Assumptions!$B$9,Assumptions!$B$69+Assumptions!$B$72,0)+IF(A70=$AE$4,Assumptions!$B$70+Assumptions!$B$71+Assumptions!$B$73,0)</f>
        <v/>
      </c>
      <c r="N70" s="21">
        <f>E70*DevBudget!$B$16</f>
        <v/>
      </c>
      <c r="O70" s="21">
        <f>SUM(F70:N70)</f>
        <v/>
      </c>
      <c r="P70" s="21">
        <f>P69+O70</f>
        <v/>
      </c>
      <c r="Q70" s="21">
        <f>MIN(O70,MAX(0,DevBudget!$B$19-R69))</f>
        <v/>
      </c>
      <c r="R70" s="21">
        <f>R69+Q70</f>
        <v/>
      </c>
      <c r="S70" s="21">
        <f>MIN(MAX(0,O70-Q70),MAX(0,Assumptions!$B$24-T70-U70))</f>
        <v/>
      </c>
      <c r="T70" s="21">
        <f>W69</f>
        <v/>
      </c>
      <c r="U70" s="21">
        <f>T70*Assumptions!$B$25/12</f>
        <v/>
      </c>
      <c r="V70" s="21">
        <f>MIN(T70+U70+S70,MAX(0,Z70+AA70))</f>
        <v/>
      </c>
      <c r="W70" s="21">
        <f>T70+S70+U70-V70</f>
        <v/>
      </c>
      <c r="X70" s="21">
        <f>IF(AND(A70&gt;=$AE$2,A70&lt;=Assumptions!$B$58),(MIN(Program!$D$5,MAX(0,(A70-$AE$2+1)*Assumptions!$B$39))*Assumptions!$B$29*(1+Assumptions!$B$31)*(1-Assumptions!$B$32)+Program!$D$9*Assumptions!$B$43*Assumptions!$B$44/12+Program!$D$5*Assumptions!$B$35*Assumptions!$B$34-Program!$D$5*Assumptions!$B$33/12-Assumptions!$B$36*Assumptions!$B$38/12),0)</f>
        <v/>
      </c>
      <c r="Y70" s="21">
        <f>IF(AND(A70&gt;=$AE$4,A70&lt;=Assumptions!$B$59),(MIN(Program!$C$5,MAX(0,(A70-$AE$4+1)*Assumptions!$B$39))*Assumptions!$B$30*(1+Assumptions!$B$31)*(1-Assumptions!$B$32)+Program!$C$9*Assumptions!$B$43*Assumptions!$B$44/12+Program!$C$5*Assumptions!$B$35*Assumptions!$B$34-Program!$C$5*Assumptions!$B$33/12-Assumptions!$B$37*Assumptions!$B$38/12),0)</f>
        <v/>
      </c>
      <c r="Z70" s="31">
        <f>SUMIF(Sellout!$A$6:$A$35,A70,Sellout!$D$6:$D$35)*(1-Assumptions!$B$49)</f>
        <v/>
      </c>
      <c r="AA70" s="31">
        <f>IF(A70=Assumptions!$B$58,Ops!$B$23,0)+IF(A70=Assumptions!$B$59,Ops!$C$23,0)</f>
        <v/>
      </c>
      <c r="AB70" s="21">
        <f>-O70+X70+Y70+Z70+AA70</f>
        <v/>
      </c>
      <c r="AC70" s="21">
        <f>AB70+S70-V70</f>
        <v/>
      </c>
    </row>
    <row r="71">
      <c r="A71" s="42" t="n">
        <v>66</v>
      </c>
      <c r="B71" s="43">
        <f>EDATE(Assumptions!$B$7,A71-1)</f>
        <v/>
      </c>
      <c r="C71" s="30">
        <f>IF(A71&lt;Assumptions!$B$9,"Pre-dev",IF(A71&lt;$AE$2,"Construction",IF(A71&lt;=Assumptions!$B$59,"Lease-up / exit","Tail")))</f>
        <v/>
      </c>
      <c r="D71" s="42">
        <f>IF(AND(A71&gt;=Assumptions!$B$9,A71&lt;$AE$2),(A71-Assumptions!$B$9+1)*($AE$2-A71),0)</f>
        <v/>
      </c>
      <c r="E71" s="44">
        <f>IFERROR(D71/$AE$6,0)</f>
        <v/>
      </c>
      <c r="F71" s="21">
        <f>IF(A71=1,DevBudget!$B$5,0)</f>
        <v/>
      </c>
      <c r="G71" s="21">
        <f>E71*DevBudget!$B$6</f>
        <v/>
      </c>
      <c r="H71" s="21">
        <f>E71*DevBudget!$B$7</f>
        <v/>
      </c>
      <c r="I71" s="21">
        <f>E71*DevBudget!$B$8</f>
        <v/>
      </c>
      <c r="J71" s="21">
        <f>E71*(DevBudget!$B$9+DevBudget!$B$10)</f>
        <v/>
      </c>
      <c r="K71" s="21">
        <f>E71*DevBudget!$B$12</f>
        <v/>
      </c>
      <c r="L71" s="21">
        <f>E71*DevBudget!$B$13</f>
        <v/>
      </c>
      <c r="M71" s="21">
        <f>IF(A71=Assumptions!$B$9,Assumptions!$B$69+Assumptions!$B$72,0)+IF(A71=$AE$4,Assumptions!$B$70+Assumptions!$B$71+Assumptions!$B$73,0)</f>
        <v/>
      </c>
      <c r="N71" s="21">
        <f>E71*DevBudget!$B$16</f>
        <v/>
      </c>
      <c r="O71" s="21">
        <f>SUM(F71:N71)</f>
        <v/>
      </c>
      <c r="P71" s="21">
        <f>P70+O71</f>
        <v/>
      </c>
      <c r="Q71" s="21">
        <f>MIN(O71,MAX(0,DevBudget!$B$19-R70))</f>
        <v/>
      </c>
      <c r="R71" s="21">
        <f>R70+Q71</f>
        <v/>
      </c>
      <c r="S71" s="21">
        <f>MIN(MAX(0,O71-Q71),MAX(0,Assumptions!$B$24-T71-U71))</f>
        <v/>
      </c>
      <c r="T71" s="21">
        <f>W70</f>
        <v/>
      </c>
      <c r="U71" s="21">
        <f>T71*Assumptions!$B$25/12</f>
        <v/>
      </c>
      <c r="V71" s="21">
        <f>MIN(T71+U71+S71,MAX(0,Z71+AA71))</f>
        <v/>
      </c>
      <c r="W71" s="21">
        <f>T71+S71+U71-V71</f>
        <v/>
      </c>
      <c r="X71" s="21">
        <f>IF(AND(A71&gt;=$AE$2,A71&lt;=Assumptions!$B$58),(MIN(Program!$D$5,MAX(0,(A71-$AE$2+1)*Assumptions!$B$39))*Assumptions!$B$29*(1+Assumptions!$B$31)*(1-Assumptions!$B$32)+Program!$D$9*Assumptions!$B$43*Assumptions!$B$44/12+Program!$D$5*Assumptions!$B$35*Assumptions!$B$34-Program!$D$5*Assumptions!$B$33/12-Assumptions!$B$36*Assumptions!$B$38/12),0)</f>
        <v/>
      </c>
      <c r="Y71" s="21">
        <f>IF(AND(A71&gt;=$AE$4,A71&lt;=Assumptions!$B$59),(MIN(Program!$C$5,MAX(0,(A71-$AE$4+1)*Assumptions!$B$39))*Assumptions!$B$30*(1+Assumptions!$B$31)*(1-Assumptions!$B$32)+Program!$C$9*Assumptions!$B$43*Assumptions!$B$44/12+Program!$C$5*Assumptions!$B$35*Assumptions!$B$34-Program!$C$5*Assumptions!$B$33/12-Assumptions!$B$37*Assumptions!$B$38/12),0)</f>
        <v/>
      </c>
      <c r="Z71" s="31">
        <f>SUMIF(Sellout!$A$6:$A$35,A71,Sellout!$D$6:$D$35)*(1-Assumptions!$B$49)</f>
        <v/>
      </c>
      <c r="AA71" s="31">
        <f>IF(A71=Assumptions!$B$58,Ops!$B$23,0)+IF(A71=Assumptions!$B$59,Ops!$C$23,0)</f>
        <v/>
      </c>
      <c r="AB71" s="21">
        <f>-O71+X71+Y71+Z71+AA71</f>
        <v/>
      </c>
      <c r="AC71" s="21">
        <f>AB71+S71-V71</f>
        <v/>
      </c>
    </row>
    <row r="72">
      <c r="A72" s="42" t="n">
        <v>67</v>
      </c>
      <c r="B72" s="43">
        <f>EDATE(Assumptions!$B$7,A72-1)</f>
        <v/>
      </c>
      <c r="C72" s="30">
        <f>IF(A72&lt;Assumptions!$B$9,"Pre-dev",IF(A72&lt;$AE$2,"Construction",IF(A72&lt;=Assumptions!$B$59,"Lease-up / exit","Tail")))</f>
        <v/>
      </c>
      <c r="D72" s="42">
        <f>IF(AND(A72&gt;=Assumptions!$B$9,A72&lt;$AE$2),(A72-Assumptions!$B$9+1)*($AE$2-A72),0)</f>
        <v/>
      </c>
      <c r="E72" s="44">
        <f>IFERROR(D72/$AE$6,0)</f>
        <v/>
      </c>
      <c r="F72" s="21">
        <f>IF(A72=1,DevBudget!$B$5,0)</f>
        <v/>
      </c>
      <c r="G72" s="21">
        <f>E72*DevBudget!$B$6</f>
        <v/>
      </c>
      <c r="H72" s="21">
        <f>E72*DevBudget!$B$7</f>
        <v/>
      </c>
      <c r="I72" s="21">
        <f>E72*DevBudget!$B$8</f>
        <v/>
      </c>
      <c r="J72" s="21">
        <f>E72*(DevBudget!$B$9+DevBudget!$B$10)</f>
        <v/>
      </c>
      <c r="K72" s="21">
        <f>E72*DevBudget!$B$12</f>
        <v/>
      </c>
      <c r="L72" s="21">
        <f>E72*DevBudget!$B$13</f>
        <v/>
      </c>
      <c r="M72" s="21">
        <f>IF(A72=Assumptions!$B$9,Assumptions!$B$69+Assumptions!$B$72,0)+IF(A72=$AE$4,Assumptions!$B$70+Assumptions!$B$71+Assumptions!$B$73,0)</f>
        <v/>
      </c>
      <c r="N72" s="21">
        <f>E72*DevBudget!$B$16</f>
        <v/>
      </c>
      <c r="O72" s="21">
        <f>SUM(F72:N72)</f>
        <v/>
      </c>
      <c r="P72" s="21">
        <f>P71+O72</f>
        <v/>
      </c>
      <c r="Q72" s="21">
        <f>MIN(O72,MAX(0,DevBudget!$B$19-R71))</f>
        <v/>
      </c>
      <c r="R72" s="21">
        <f>R71+Q72</f>
        <v/>
      </c>
      <c r="S72" s="21">
        <f>MIN(MAX(0,O72-Q72),MAX(0,Assumptions!$B$24-T72-U72))</f>
        <v/>
      </c>
      <c r="T72" s="21">
        <f>W71</f>
        <v/>
      </c>
      <c r="U72" s="21">
        <f>T72*Assumptions!$B$25/12</f>
        <v/>
      </c>
      <c r="V72" s="21">
        <f>MIN(T72+U72+S72,MAX(0,Z72+AA72))</f>
        <v/>
      </c>
      <c r="W72" s="21">
        <f>T72+S72+U72-V72</f>
        <v/>
      </c>
      <c r="X72" s="21">
        <f>IF(AND(A72&gt;=$AE$2,A72&lt;=Assumptions!$B$58),(MIN(Program!$D$5,MAX(0,(A72-$AE$2+1)*Assumptions!$B$39))*Assumptions!$B$29*(1+Assumptions!$B$31)*(1-Assumptions!$B$32)+Program!$D$9*Assumptions!$B$43*Assumptions!$B$44/12+Program!$D$5*Assumptions!$B$35*Assumptions!$B$34-Program!$D$5*Assumptions!$B$33/12-Assumptions!$B$36*Assumptions!$B$38/12),0)</f>
        <v/>
      </c>
      <c r="Y72" s="21">
        <f>IF(AND(A72&gt;=$AE$4,A72&lt;=Assumptions!$B$59),(MIN(Program!$C$5,MAX(0,(A72-$AE$4+1)*Assumptions!$B$39))*Assumptions!$B$30*(1+Assumptions!$B$31)*(1-Assumptions!$B$32)+Program!$C$9*Assumptions!$B$43*Assumptions!$B$44/12+Program!$C$5*Assumptions!$B$35*Assumptions!$B$34-Program!$C$5*Assumptions!$B$33/12-Assumptions!$B$37*Assumptions!$B$38/12),0)</f>
        <v/>
      </c>
      <c r="Z72" s="31">
        <f>SUMIF(Sellout!$A$6:$A$35,A72,Sellout!$D$6:$D$35)*(1-Assumptions!$B$49)</f>
        <v/>
      </c>
      <c r="AA72" s="31">
        <f>IF(A72=Assumptions!$B$58,Ops!$B$23,0)+IF(A72=Assumptions!$B$59,Ops!$C$23,0)</f>
        <v/>
      </c>
      <c r="AB72" s="21">
        <f>-O72+X72+Y72+Z72+AA72</f>
        <v/>
      </c>
      <c r="AC72" s="21">
        <f>AB72+S72-V72</f>
        <v/>
      </c>
    </row>
    <row r="73">
      <c r="A73" s="42" t="n">
        <v>68</v>
      </c>
      <c r="B73" s="43">
        <f>EDATE(Assumptions!$B$7,A73-1)</f>
        <v/>
      </c>
      <c r="C73" s="30">
        <f>IF(A73&lt;Assumptions!$B$9,"Pre-dev",IF(A73&lt;$AE$2,"Construction",IF(A73&lt;=Assumptions!$B$59,"Lease-up / exit","Tail")))</f>
        <v/>
      </c>
      <c r="D73" s="42">
        <f>IF(AND(A73&gt;=Assumptions!$B$9,A73&lt;$AE$2),(A73-Assumptions!$B$9+1)*($AE$2-A73),0)</f>
        <v/>
      </c>
      <c r="E73" s="44">
        <f>IFERROR(D73/$AE$6,0)</f>
        <v/>
      </c>
      <c r="F73" s="21">
        <f>IF(A73=1,DevBudget!$B$5,0)</f>
        <v/>
      </c>
      <c r="G73" s="21">
        <f>E73*DevBudget!$B$6</f>
        <v/>
      </c>
      <c r="H73" s="21">
        <f>E73*DevBudget!$B$7</f>
        <v/>
      </c>
      <c r="I73" s="21">
        <f>E73*DevBudget!$B$8</f>
        <v/>
      </c>
      <c r="J73" s="21">
        <f>E73*(DevBudget!$B$9+DevBudget!$B$10)</f>
        <v/>
      </c>
      <c r="K73" s="21">
        <f>E73*DevBudget!$B$12</f>
        <v/>
      </c>
      <c r="L73" s="21">
        <f>E73*DevBudget!$B$13</f>
        <v/>
      </c>
      <c r="M73" s="21">
        <f>IF(A73=Assumptions!$B$9,Assumptions!$B$69+Assumptions!$B$72,0)+IF(A73=$AE$4,Assumptions!$B$70+Assumptions!$B$71+Assumptions!$B$73,0)</f>
        <v/>
      </c>
      <c r="N73" s="21">
        <f>E73*DevBudget!$B$16</f>
        <v/>
      </c>
      <c r="O73" s="21">
        <f>SUM(F73:N73)</f>
        <v/>
      </c>
      <c r="P73" s="21">
        <f>P72+O73</f>
        <v/>
      </c>
      <c r="Q73" s="21">
        <f>MIN(O73,MAX(0,DevBudget!$B$19-R72))</f>
        <v/>
      </c>
      <c r="R73" s="21">
        <f>R72+Q73</f>
        <v/>
      </c>
      <c r="S73" s="21">
        <f>MIN(MAX(0,O73-Q73),MAX(0,Assumptions!$B$24-T73-U73))</f>
        <v/>
      </c>
      <c r="T73" s="21">
        <f>W72</f>
        <v/>
      </c>
      <c r="U73" s="21">
        <f>T73*Assumptions!$B$25/12</f>
        <v/>
      </c>
      <c r="V73" s="21">
        <f>MIN(T73+U73+S73,MAX(0,Z73+AA73))</f>
        <v/>
      </c>
      <c r="W73" s="21">
        <f>T73+S73+U73-V73</f>
        <v/>
      </c>
      <c r="X73" s="21">
        <f>IF(AND(A73&gt;=$AE$2,A73&lt;=Assumptions!$B$58),(MIN(Program!$D$5,MAX(0,(A73-$AE$2+1)*Assumptions!$B$39))*Assumptions!$B$29*(1+Assumptions!$B$31)*(1-Assumptions!$B$32)+Program!$D$9*Assumptions!$B$43*Assumptions!$B$44/12+Program!$D$5*Assumptions!$B$35*Assumptions!$B$34-Program!$D$5*Assumptions!$B$33/12-Assumptions!$B$36*Assumptions!$B$38/12),0)</f>
        <v/>
      </c>
      <c r="Y73" s="21">
        <f>IF(AND(A73&gt;=$AE$4,A73&lt;=Assumptions!$B$59),(MIN(Program!$C$5,MAX(0,(A73-$AE$4+1)*Assumptions!$B$39))*Assumptions!$B$30*(1+Assumptions!$B$31)*(1-Assumptions!$B$32)+Program!$C$9*Assumptions!$B$43*Assumptions!$B$44/12+Program!$C$5*Assumptions!$B$35*Assumptions!$B$34-Program!$C$5*Assumptions!$B$33/12-Assumptions!$B$37*Assumptions!$B$38/12),0)</f>
        <v/>
      </c>
      <c r="Z73" s="31">
        <f>SUMIF(Sellout!$A$6:$A$35,A73,Sellout!$D$6:$D$35)*(1-Assumptions!$B$49)</f>
        <v/>
      </c>
      <c r="AA73" s="31">
        <f>IF(A73=Assumptions!$B$58,Ops!$B$23,0)+IF(A73=Assumptions!$B$59,Ops!$C$23,0)</f>
        <v/>
      </c>
      <c r="AB73" s="21">
        <f>-O73+X73+Y73+Z73+AA73</f>
        <v/>
      </c>
      <c r="AC73" s="21">
        <f>AB73+S73-V73</f>
        <v/>
      </c>
    </row>
    <row r="74">
      <c r="A74" s="42" t="n">
        <v>69</v>
      </c>
      <c r="B74" s="43">
        <f>EDATE(Assumptions!$B$7,A74-1)</f>
        <v/>
      </c>
      <c r="C74" s="30">
        <f>IF(A74&lt;Assumptions!$B$9,"Pre-dev",IF(A74&lt;$AE$2,"Construction",IF(A74&lt;=Assumptions!$B$59,"Lease-up / exit","Tail")))</f>
        <v/>
      </c>
      <c r="D74" s="42">
        <f>IF(AND(A74&gt;=Assumptions!$B$9,A74&lt;$AE$2),(A74-Assumptions!$B$9+1)*($AE$2-A74),0)</f>
        <v/>
      </c>
      <c r="E74" s="44">
        <f>IFERROR(D74/$AE$6,0)</f>
        <v/>
      </c>
      <c r="F74" s="21">
        <f>IF(A74=1,DevBudget!$B$5,0)</f>
        <v/>
      </c>
      <c r="G74" s="21">
        <f>E74*DevBudget!$B$6</f>
        <v/>
      </c>
      <c r="H74" s="21">
        <f>E74*DevBudget!$B$7</f>
        <v/>
      </c>
      <c r="I74" s="21">
        <f>E74*DevBudget!$B$8</f>
        <v/>
      </c>
      <c r="J74" s="21">
        <f>E74*(DevBudget!$B$9+DevBudget!$B$10)</f>
        <v/>
      </c>
      <c r="K74" s="21">
        <f>E74*DevBudget!$B$12</f>
        <v/>
      </c>
      <c r="L74" s="21">
        <f>E74*DevBudget!$B$13</f>
        <v/>
      </c>
      <c r="M74" s="21">
        <f>IF(A74=Assumptions!$B$9,Assumptions!$B$69+Assumptions!$B$72,0)+IF(A74=$AE$4,Assumptions!$B$70+Assumptions!$B$71+Assumptions!$B$73,0)</f>
        <v/>
      </c>
      <c r="N74" s="21">
        <f>E74*DevBudget!$B$16</f>
        <v/>
      </c>
      <c r="O74" s="21">
        <f>SUM(F74:N74)</f>
        <v/>
      </c>
      <c r="P74" s="21">
        <f>P73+O74</f>
        <v/>
      </c>
      <c r="Q74" s="21">
        <f>MIN(O74,MAX(0,DevBudget!$B$19-R73))</f>
        <v/>
      </c>
      <c r="R74" s="21">
        <f>R73+Q74</f>
        <v/>
      </c>
      <c r="S74" s="21">
        <f>MIN(MAX(0,O74-Q74),MAX(0,Assumptions!$B$24-T74-U74))</f>
        <v/>
      </c>
      <c r="T74" s="21">
        <f>W73</f>
        <v/>
      </c>
      <c r="U74" s="21">
        <f>T74*Assumptions!$B$25/12</f>
        <v/>
      </c>
      <c r="V74" s="21">
        <f>MIN(T74+U74+S74,MAX(0,Z74+AA74))</f>
        <v/>
      </c>
      <c r="W74" s="21">
        <f>T74+S74+U74-V74</f>
        <v/>
      </c>
      <c r="X74" s="21">
        <f>IF(AND(A74&gt;=$AE$2,A74&lt;=Assumptions!$B$58),(MIN(Program!$D$5,MAX(0,(A74-$AE$2+1)*Assumptions!$B$39))*Assumptions!$B$29*(1+Assumptions!$B$31)*(1-Assumptions!$B$32)+Program!$D$9*Assumptions!$B$43*Assumptions!$B$44/12+Program!$D$5*Assumptions!$B$35*Assumptions!$B$34-Program!$D$5*Assumptions!$B$33/12-Assumptions!$B$36*Assumptions!$B$38/12),0)</f>
        <v/>
      </c>
      <c r="Y74" s="21">
        <f>IF(AND(A74&gt;=$AE$4,A74&lt;=Assumptions!$B$59),(MIN(Program!$C$5,MAX(0,(A74-$AE$4+1)*Assumptions!$B$39))*Assumptions!$B$30*(1+Assumptions!$B$31)*(1-Assumptions!$B$32)+Program!$C$9*Assumptions!$B$43*Assumptions!$B$44/12+Program!$C$5*Assumptions!$B$35*Assumptions!$B$34-Program!$C$5*Assumptions!$B$33/12-Assumptions!$B$37*Assumptions!$B$38/12),0)</f>
        <v/>
      </c>
      <c r="Z74" s="31">
        <f>SUMIF(Sellout!$A$6:$A$35,A74,Sellout!$D$6:$D$35)*(1-Assumptions!$B$49)</f>
        <v/>
      </c>
      <c r="AA74" s="31">
        <f>IF(A74=Assumptions!$B$58,Ops!$B$23,0)+IF(A74=Assumptions!$B$59,Ops!$C$23,0)</f>
        <v/>
      </c>
      <c r="AB74" s="21">
        <f>-O74+X74+Y74+Z74+AA74</f>
        <v/>
      </c>
      <c r="AC74" s="21">
        <f>AB74+S74-V74</f>
        <v/>
      </c>
    </row>
    <row r="75">
      <c r="A75" s="42" t="n">
        <v>70</v>
      </c>
      <c r="B75" s="43">
        <f>EDATE(Assumptions!$B$7,A75-1)</f>
        <v/>
      </c>
      <c r="C75" s="30">
        <f>IF(A75&lt;Assumptions!$B$9,"Pre-dev",IF(A75&lt;$AE$2,"Construction",IF(A75&lt;=Assumptions!$B$59,"Lease-up / exit","Tail")))</f>
        <v/>
      </c>
      <c r="D75" s="42">
        <f>IF(AND(A75&gt;=Assumptions!$B$9,A75&lt;$AE$2),(A75-Assumptions!$B$9+1)*($AE$2-A75),0)</f>
        <v/>
      </c>
      <c r="E75" s="44">
        <f>IFERROR(D75/$AE$6,0)</f>
        <v/>
      </c>
      <c r="F75" s="21">
        <f>IF(A75=1,DevBudget!$B$5,0)</f>
        <v/>
      </c>
      <c r="G75" s="21">
        <f>E75*DevBudget!$B$6</f>
        <v/>
      </c>
      <c r="H75" s="21">
        <f>E75*DevBudget!$B$7</f>
        <v/>
      </c>
      <c r="I75" s="21">
        <f>E75*DevBudget!$B$8</f>
        <v/>
      </c>
      <c r="J75" s="21">
        <f>E75*(DevBudget!$B$9+DevBudget!$B$10)</f>
        <v/>
      </c>
      <c r="K75" s="21">
        <f>E75*DevBudget!$B$12</f>
        <v/>
      </c>
      <c r="L75" s="21">
        <f>E75*DevBudget!$B$13</f>
        <v/>
      </c>
      <c r="M75" s="21">
        <f>IF(A75=Assumptions!$B$9,Assumptions!$B$69+Assumptions!$B$72,0)+IF(A75=$AE$4,Assumptions!$B$70+Assumptions!$B$71+Assumptions!$B$73,0)</f>
        <v/>
      </c>
      <c r="N75" s="21">
        <f>E75*DevBudget!$B$16</f>
        <v/>
      </c>
      <c r="O75" s="21">
        <f>SUM(F75:N75)</f>
        <v/>
      </c>
      <c r="P75" s="21">
        <f>P74+O75</f>
        <v/>
      </c>
      <c r="Q75" s="21">
        <f>MIN(O75,MAX(0,DevBudget!$B$19-R74))</f>
        <v/>
      </c>
      <c r="R75" s="21">
        <f>R74+Q75</f>
        <v/>
      </c>
      <c r="S75" s="21">
        <f>MIN(MAX(0,O75-Q75),MAX(0,Assumptions!$B$24-T75-U75))</f>
        <v/>
      </c>
      <c r="T75" s="21">
        <f>W74</f>
        <v/>
      </c>
      <c r="U75" s="21">
        <f>T75*Assumptions!$B$25/12</f>
        <v/>
      </c>
      <c r="V75" s="21">
        <f>MIN(T75+U75+S75,MAX(0,Z75+AA75))</f>
        <v/>
      </c>
      <c r="W75" s="21">
        <f>T75+S75+U75-V75</f>
        <v/>
      </c>
      <c r="X75" s="21">
        <f>IF(AND(A75&gt;=$AE$2,A75&lt;=Assumptions!$B$58),(MIN(Program!$D$5,MAX(0,(A75-$AE$2+1)*Assumptions!$B$39))*Assumptions!$B$29*(1+Assumptions!$B$31)*(1-Assumptions!$B$32)+Program!$D$9*Assumptions!$B$43*Assumptions!$B$44/12+Program!$D$5*Assumptions!$B$35*Assumptions!$B$34-Program!$D$5*Assumptions!$B$33/12-Assumptions!$B$36*Assumptions!$B$38/12),0)</f>
        <v/>
      </c>
      <c r="Y75" s="21">
        <f>IF(AND(A75&gt;=$AE$4,A75&lt;=Assumptions!$B$59),(MIN(Program!$C$5,MAX(0,(A75-$AE$4+1)*Assumptions!$B$39))*Assumptions!$B$30*(1+Assumptions!$B$31)*(1-Assumptions!$B$32)+Program!$C$9*Assumptions!$B$43*Assumptions!$B$44/12+Program!$C$5*Assumptions!$B$35*Assumptions!$B$34-Program!$C$5*Assumptions!$B$33/12-Assumptions!$B$37*Assumptions!$B$38/12),0)</f>
        <v/>
      </c>
      <c r="Z75" s="31">
        <f>SUMIF(Sellout!$A$6:$A$35,A75,Sellout!$D$6:$D$35)*(1-Assumptions!$B$49)</f>
        <v/>
      </c>
      <c r="AA75" s="31">
        <f>IF(A75=Assumptions!$B$58,Ops!$B$23,0)+IF(A75=Assumptions!$B$59,Ops!$C$23,0)</f>
        <v/>
      </c>
      <c r="AB75" s="21">
        <f>-O75+X75+Y75+Z75+AA75</f>
        <v/>
      </c>
      <c r="AC75" s="21">
        <f>AB75+S75-V75</f>
        <v/>
      </c>
    </row>
    <row r="76">
      <c r="A76" s="42" t="n">
        <v>71</v>
      </c>
      <c r="B76" s="43">
        <f>EDATE(Assumptions!$B$7,A76-1)</f>
        <v/>
      </c>
      <c r="C76" s="30">
        <f>IF(A76&lt;Assumptions!$B$9,"Pre-dev",IF(A76&lt;$AE$2,"Construction",IF(A76&lt;=Assumptions!$B$59,"Lease-up / exit","Tail")))</f>
        <v/>
      </c>
      <c r="D76" s="42">
        <f>IF(AND(A76&gt;=Assumptions!$B$9,A76&lt;$AE$2),(A76-Assumptions!$B$9+1)*($AE$2-A76),0)</f>
        <v/>
      </c>
      <c r="E76" s="44">
        <f>IFERROR(D76/$AE$6,0)</f>
        <v/>
      </c>
      <c r="F76" s="21">
        <f>IF(A76=1,DevBudget!$B$5,0)</f>
        <v/>
      </c>
      <c r="G76" s="21">
        <f>E76*DevBudget!$B$6</f>
        <v/>
      </c>
      <c r="H76" s="21">
        <f>E76*DevBudget!$B$7</f>
        <v/>
      </c>
      <c r="I76" s="21">
        <f>E76*DevBudget!$B$8</f>
        <v/>
      </c>
      <c r="J76" s="21">
        <f>E76*(DevBudget!$B$9+DevBudget!$B$10)</f>
        <v/>
      </c>
      <c r="K76" s="21">
        <f>E76*DevBudget!$B$12</f>
        <v/>
      </c>
      <c r="L76" s="21">
        <f>E76*DevBudget!$B$13</f>
        <v/>
      </c>
      <c r="M76" s="21">
        <f>IF(A76=Assumptions!$B$9,Assumptions!$B$69+Assumptions!$B$72,0)+IF(A76=$AE$4,Assumptions!$B$70+Assumptions!$B$71+Assumptions!$B$73,0)</f>
        <v/>
      </c>
      <c r="N76" s="21">
        <f>E76*DevBudget!$B$16</f>
        <v/>
      </c>
      <c r="O76" s="21">
        <f>SUM(F76:N76)</f>
        <v/>
      </c>
      <c r="P76" s="21">
        <f>P75+O76</f>
        <v/>
      </c>
      <c r="Q76" s="21">
        <f>MIN(O76,MAX(0,DevBudget!$B$19-R75))</f>
        <v/>
      </c>
      <c r="R76" s="21">
        <f>R75+Q76</f>
        <v/>
      </c>
      <c r="S76" s="21">
        <f>MIN(MAX(0,O76-Q76),MAX(0,Assumptions!$B$24-T76-U76))</f>
        <v/>
      </c>
      <c r="T76" s="21">
        <f>W75</f>
        <v/>
      </c>
      <c r="U76" s="21">
        <f>T76*Assumptions!$B$25/12</f>
        <v/>
      </c>
      <c r="V76" s="21">
        <f>MIN(T76+U76+S76,MAX(0,Z76+AA76))</f>
        <v/>
      </c>
      <c r="W76" s="21">
        <f>T76+S76+U76-V76</f>
        <v/>
      </c>
      <c r="X76" s="21">
        <f>IF(AND(A76&gt;=$AE$2,A76&lt;=Assumptions!$B$58),(MIN(Program!$D$5,MAX(0,(A76-$AE$2+1)*Assumptions!$B$39))*Assumptions!$B$29*(1+Assumptions!$B$31)*(1-Assumptions!$B$32)+Program!$D$9*Assumptions!$B$43*Assumptions!$B$44/12+Program!$D$5*Assumptions!$B$35*Assumptions!$B$34-Program!$D$5*Assumptions!$B$33/12-Assumptions!$B$36*Assumptions!$B$38/12),0)</f>
        <v/>
      </c>
      <c r="Y76" s="21">
        <f>IF(AND(A76&gt;=$AE$4,A76&lt;=Assumptions!$B$59),(MIN(Program!$C$5,MAX(0,(A76-$AE$4+1)*Assumptions!$B$39))*Assumptions!$B$30*(1+Assumptions!$B$31)*(1-Assumptions!$B$32)+Program!$C$9*Assumptions!$B$43*Assumptions!$B$44/12+Program!$C$5*Assumptions!$B$35*Assumptions!$B$34-Program!$C$5*Assumptions!$B$33/12-Assumptions!$B$37*Assumptions!$B$38/12),0)</f>
        <v/>
      </c>
      <c r="Z76" s="31">
        <f>SUMIF(Sellout!$A$6:$A$35,A76,Sellout!$D$6:$D$35)*(1-Assumptions!$B$49)</f>
        <v/>
      </c>
      <c r="AA76" s="31">
        <f>IF(A76=Assumptions!$B$58,Ops!$B$23,0)+IF(A76=Assumptions!$B$59,Ops!$C$23,0)</f>
        <v/>
      </c>
      <c r="AB76" s="21">
        <f>-O76+X76+Y76+Z76+AA76</f>
        <v/>
      </c>
      <c r="AC76" s="21">
        <f>AB76+S76-V76</f>
        <v/>
      </c>
    </row>
    <row r="77">
      <c r="A77" s="42" t="n">
        <v>72</v>
      </c>
      <c r="B77" s="43">
        <f>EDATE(Assumptions!$B$7,A77-1)</f>
        <v/>
      </c>
      <c r="C77" s="30">
        <f>IF(A77&lt;Assumptions!$B$9,"Pre-dev",IF(A77&lt;$AE$2,"Construction",IF(A77&lt;=Assumptions!$B$59,"Lease-up / exit","Tail")))</f>
        <v/>
      </c>
      <c r="D77" s="42">
        <f>IF(AND(A77&gt;=Assumptions!$B$9,A77&lt;$AE$2),(A77-Assumptions!$B$9+1)*($AE$2-A77),0)</f>
        <v/>
      </c>
      <c r="E77" s="44">
        <f>IFERROR(D77/$AE$6,0)</f>
        <v/>
      </c>
      <c r="F77" s="21">
        <f>IF(A77=1,DevBudget!$B$5,0)</f>
        <v/>
      </c>
      <c r="G77" s="21">
        <f>E77*DevBudget!$B$6</f>
        <v/>
      </c>
      <c r="H77" s="21">
        <f>E77*DevBudget!$B$7</f>
        <v/>
      </c>
      <c r="I77" s="21">
        <f>E77*DevBudget!$B$8</f>
        <v/>
      </c>
      <c r="J77" s="21">
        <f>E77*(DevBudget!$B$9+DevBudget!$B$10)</f>
        <v/>
      </c>
      <c r="K77" s="21">
        <f>E77*DevBudget!$B$12</f>
        <v/>
      </c>
      <c r="L77" s="21">
        <f>E77*DevBudget!$B$13</f>
        <v/>
      </c>
      <c r="M77" s="21">
        <f>IF(A77=Assumptions!$B$9,Assumptions!$B$69+Assumptions!$B$72,0)+IF(A77=$AE$4,Assumptions!$B$70+Assumptions!$B$71+Assumptions!$B$73,0)</f>
        <v/>
      </c>
      <c r="N77" s="21">
        <f>E77*DevBudget!$B$16</f>
        <v/>
      </c>
      <c r="O77" s="21">
        <f>SUM(F77:N77)</f>
        <v/>
      </c>
      <c r="P77" s="21">
        <f>P76+O77</f>
        <v/>
      </c>
      <c r="Q77" s="21">
        <f>MIN(O77,MAX(0,DevBudget!$B$19-R76))</f>
        <v/>
      </c>
      <c r="R77" s="21">
        <f>R76+Q77</f>
        <v/>
      </c>
      <c r="S77" s="21">
        <f>MIN(MAX(0,O77-Q77),MAX(0,Assumptions!$B$24-T77-U77))</f>
        <v/>
      </c>
      <c r="T77" s="21">
        <f>W76</f>
        <v/>
      </c>
      <c r="U77" s="21">
        <f>T77*Assumptions!$B$25/12</f>
        <v/>
      </c>
      <c r="V77" s="21">
        <f>MIN(T77+U77+S77,MAX(0,Z77+AA77))</f>
        <v/>
      </c>
      <c r="W77" s="21">
        <f>T77+S77+U77-V77</f>
        <v/>
      </c>
      <c r="X77" s="21">
        <f>IF(AND(A77&gt;=$AE$2,A77&lt;=Assumptions!$B$58),(MIN(Program!$D$5,MAX(0,(A77-$AE$2+1)*Assumptions!$B$39))*Assumptions!$B$29*(1+Assumptions!$B$31)*(1-Assumptions!$B$32)+Program!$D$9*Assumptions!$B$43*Assumptions!$B$44/12+Program!$D$5*Assumptions!$B$35*Assumptions!$B$34-Program!$D$5*Assumptions!$B$33/12-Assumptions!$B$36*Assumptions!$B$38/12),0)</f>
        <v/>
      </c>
      <c r="Y77" s="21">
        <f>IF(AND(A77&gt;=$AE$4,A77&lt;=Assumptions!$B$59),(MIN(Program!$C$5,MAX(0,(A77-$AE$4+1)*Assumptions!$B$39))*Assumptions!$B$30*(1+Assumptions!$B$31)*(1-Assumptions!$B$32)+Program!$C$9*Assumptions!$B$43*Assumptions!$B$44/12+Program!$C$5*Assumptions!$B$35*Assumptions!$B$34-Program!$C$5*Assumptions!$B$33/12-Assumptions!$B$37*Assumptions!$B$38/12),0)</f>
        <v/>
      </c>
      <c r="Z77" s="31">
        <f>SUMIF(Sellout!$A$6:$A$35,A77,Sellout!$D$6:$D$35)*(1-Assumptions!$B$49)</f>
        <v/>
      </c>
      <c r="AA77" s="31">
        <f>IF(A77=Assumptions!$B$58,Ops!$B$23,0)+IF(A77=Assumptions!$B$59,Ops!$C$23,0)</f>
        <v/>
      </c>
      <c r="AB77" s="21">
        <f>-O77+X77+Y77+Z77+AA77</f>
        <v/>
      </c>
      <c r="AC77" s="21">
        <f>AB77+S77-V77</f>
        <v/>
      </c>
    </row>
    <row r="78">
      <c r="A78" s="42" t="n">
        <v>73</v>
      </c>
      <c r="B78" s="43">
        <f>EDATE(Assumptions!$B$7,A78-1)</f>
        <v/>
      </c>
      <c r="C78" s="30">
        <f>IF(A78&lt;Assumptions!$B$9,"Pre-dev",IF(A78&lt;$AE$2,"Construction",IF(A78&lt;=Assumptions!$B$59,"Lease-up / exit","Tail")))</f>
        <v/>
      </c>
      <c r="D78" s="42">
        <f>IF(AND(A78&gt;=Assumptions!$B$9,A78&lt;$AE$2),(A78-Assumptions!$B$9+1)*($AE$2-A78),0)</f>
        <v/>
      </c>
      <c r="E78" s="44">
        <f>IFERROR(D78/$AE$6,0)</f>
        <v/>
      </c>
      <c r="F78" s="21">
        <f>IF(A78=1,DevBudget!$B$5,0)</f>
        <v/>
      </c>
      <c r="G78" s="21">
        <f>E78*DevBudget!$B$6</f>
        <v/>
      </c>
      <c r="H78" s="21">
        <f>E78*DevBudget!$B$7</f>
        <v/>
      </c>
      <c r="I78" s="21">
        <f>E78*DevBudget!$B$8</f>
        <v/>
      </c>
      <c r="J78" s="21">
        <f>E78*(DevBudget!$B$9+DevBudget!$B$10)</f>
        <v/>
      </c>
      <c r="K78" s="21">
        <f>E78*DevBudget!$B$12</f>
        <v/>
      </c>
      <c r="L78" s="21">
        <f>E78*DevBudget!$B$13</f>
        <v/>
      </c>
      <c r="M78" s="21">
        <f>IF(A78=Assumptions!$B$9,Assumptions!$B$69+Assumptions!$B$72,0)+IF(A78=$AE$4,Assumptions!$B$70+Assumptions!$B$71+Assumptions!$B$73,0)</f>
        <v/>
      </c>
      <c r="N78" s="21">
        <f>E78*DevBudget!$B$16</f>
        <v/>
      </c>
      <c r="O78" s="21">
        <f>SUM(F78:N78)</f>
        <v/>
      </c>
      <c r="P78" s="21">
        <f>P77+O78</f>
        <v/>
      </c>
      <c r="Q78" s="21">
        <f>MIN(O78,MAX(0,DevBudget!$B$19-R77))</f>
        <v/>
      </c>
      <c r="R78" s="21">
        <f>R77+Q78</f>
        <v/>
      </c>
      <c r="S78" s="21">
        <f>MIN(MAX(0,O78-Q78),MAX(0,Assumptions!$B$24-T78-U78))</f>
        <v/>
      </c>
      <c r="T78" s="21">
        <f>W77</f>
        <v/>
      </c>
      <c r="U78" s="21">
        <f>T78*Assumptions!$B$25/12</f>
        <v/>
      </c>
      <c r="V78" s="21">
        <f>MIN(T78+U78+S78,MAX(0,Z78+AA78))</f>
        <v/>
      </c>
      <c r="W78" s="21">
        <f>T78+S78+U78-V78</f>
        <v/>
      </c>
      <c r="X78" s="21">
        <f>IF(AND(A78&gt;=$AE$2,A78&lt;=Assumptions!$B$58),(MIN(Program!$D$5,MAX(0,(A78-$AE$2+1)*Assumptions!$B$39))*Assumptions!$B$29*(1+Assumptions!$B$31)*(1-Assumptions!$B$32)+Program!$D$9*Assumptions!$B$43*Assumptions!$B$44/12+Program!$D$5*Assumptions!$B$35*Assumptions!$B$34-Program!$D$5*Assumptions!$B$33/12-Assumptions!$B$36*Assumptions!$B$38/12),0)</f>
        <v/>
      </c>
      <c r="Y78" s="21">
        <f>IF(AND(A78&gt;=$AE$4,A78&lt;=Assumptions!$B$59),(MIN(Program!$C$5,MAX(0,(A78-$AE$4+1)*Assumptions!$B$39))*Assumptions!$B$30*(1+Assumptions!$B$31)*(1-Assumptions!$B$32)+Program!$C$9*Assumptions!$B$43*Assumptions!$B$44/12+Program!$C$5*Assumptions!$B$35*Assumptions!$B$34-Program!$C$5*Assumptions!$B$33/12-Assumptions!$B$37*Assumptions!$B$38/12),0)</f>
        <v/>
      </c>
      <c r="Z78" s="31">
        <f>SUMIF(Sellout!$A$6:$A$35,A78,Sellout!$D$6:$D$35)*(1-Assumptions!$B$49)</f>
        <v/>
      </c>
      <c r="AA78" s="31">
        <f>IF(A78=Assumptions!$B$58,Ops!$B$23,0)+IF(A78=Assumptions!$B$59,Ops!$C$23,0)</f>
        <v/>
      </c>
      <c r="AB78" s="21">
        <f>-O78+X78+Y78+Z78+AA78</f>
        <v/>
      </c>
      <c r="AC78" s="21">
        <f>AB78+S78-V78</f>
        <v/>
      </c>
    </row>
    <row r="79">
      <c r="A79" s="42" t="n">
        <v>74</v>
      </c>
      <c r="B79" s="43">
        <f>EDATE(Assumptions!$B$7,A79-1)</f>
        <v/>
      </c>
      <c r="C79" s="30">
        <f>IF(A79&lt;Assumptions!$B$9,"Pre-dev",IF(A79&lt;$AE$2,"Construction",IF(A79&lt;=Assumptions!$B$59,"Lease-up / exit","Tail")))</f>
        <v/>
      </c>
      <c r="D79" s="42">
        <f>IF(AND(A79&gt;=Assumptions!$B$9,A79&lt;$AE$2),(A79-Assumptions!$B$9+1)*($AE$2-A79),0)</f>
        <v/>
      </c>
      <c r="E79" s="44">
        <f>IFERROR(D79/$AE$6,0)</f>
        <v/>
      </c>
      <c r="F79" s="21">
        <f>IF(A79=1,DevBudget!$B$5,0)</f>
        <v/>
      </c>
      <c r="G79" s="21">
        <f>E79*DevBudget!$B$6</f>
        <v/>
      </c>
      <c r="H79" s="21">
        <f>E79*DevBudget!$B$7</f>
        <v/>
      </c>
      <c r="I79" s="21">
        <f>E79*DevBudget!$B$8</f>
        <v/>
      </c>
      <c r="J79" s="21">
        <f>E79*(DevBudget!$B$9+DevBudget!$B$10)</f>
        <v/>
      </c>
      <c r="K79" s="21">
        <f>E79*DevBudget!$B$12</f>
        <v/>
      </c>
      <c r="L79" s="21">
        <f>E79*DevBudget!$B$13</f>
        <v/>
      </c>
      <c r="M79" s="21">
        <f>IF(A79=Assumptions!$B$9,Assumptions!$B$69+Assumptions!$B$72,0)+IF(A79=$AE$4,Assumptions!$B$70+Assumptions!$B$71+Assumptions!$B$73,0)</f>
        <v/>
      </c>
      <c r="N79" s="21">
        <f>E79*DevBudget!$B$16</f>
        <v/>
      </c>
      <c r="O79" s="21">
        <f>SUM(F79:N79)</f>
        <v/>
      </c>
      <c r="P79" s="21">
        <f>P78+O79</f>
        <v/>
      </c>
      <c r="Q79" s="21">
        <f>MIN(O79,MAX(0,DevBudget!$B$19-R78))</f>
        <v/>
      </c>
      <c r="R79" s="21">
        <f>R78+Q79</f>
        <v/>
      </c>
      <c r="S79" s="21">
        <f>MIN(MAX(0,O79-Q79),MAX(0,Assumptions!$B$24-T79-U79))</f>
        <v/>
      </c>
      <c r="T79" s="21">
        <f>W78</f>
        <v/>
      </c>
      <c r="U79" s="21">
        <f>T79*Assumptions!$B$25/12</f>
        <v/>
      </c>
      <c r="V79" s="21">
        <f>MIN(T79+U79+S79,MAX(0,Z79+AA79))</f>
        <v/>
      </c>
      <c r="W79" s="21">
        <f>T79+S79+U79-V79</f>
        <v/>
      </c>
      <c r="X79" s="21">
        <f>IF(AND(A79&gt;=$AE$2,A79&lt;=Assumptions!$B$58),(MIN(Program!$D$5,MAX(0,(A79-$AE$2+1)*Assumptions!$B$39))*Assumptions!$B$29*(1+Assumptions!$B$31)*(1-Assumptions!$B$32)+Program!$D$9*Assumptions!$B$43*Assumptions!$B$44/12+Program!$D$5*Assumptions!$B$35*Assumptions!$B$34-Program!$D$5*Assumptions!$B$33/12-Assumptions!$B$36*Assumptions!$B$38/12),0)</f>
        <v/>
      </c>
      <c r="Y79" s="21">
        <f>IF(AND(A79&gt;=$AE$4,A79&lt;=Assumptions!$B$59),(MIN(Program!$C$5,MAX(0,(A79-$AE$4+1)*Assumptions!$B$39))*Assumptions!$B$30*(1+Assumptions!$B$31)*(1-Assumptions!$B$32)+Program!$C$9*Assumptions!$B$43*Assumptions!$B$44/12+Program!$C$5*Assumptions!$B$35*Assumptions!$B$34-Program!$C$5*Assumptions!$B$33/12-Assumptions!$B$37*Assumptions!$B$38/12),0)</f>
        <v/>
      </c>
      <c r="Z79" s="31">
        <f>SUMIF(Sellout!$A$6:$A$35,A79,Sellout!$D$6:$D$35)*(1-Assumptions!$B$49)</f>
        <v/>
      </c>
      <c r="AA79" s="31">
        <f>IF(A79=Assumptions!$B$58,Ops!$B$23,0)+IF(A79=Assumptions!$B$59,Ops!$C$23,0)</f>
        <v/>
      </c>
      <c r="AB79" s="21">
        <f>-O79+X79+Y79+Z79+AA79</f>
        <v/>
      </c>
      <c r="AC79" s="21">
        <f>AB79+S79-V79</f>
        <v/>
      </c>
    </row>
    <row r="80">
      <c r="A80" s="42" t="n">
        <v>75</v>
      </c>
      <c r="B80" s="43">
        <f>EDATE(Assumptions!$B$7,A80-1)</f>
        <v/>
      </c>
      <c r="C80" s="30">
        <f>IF(A80&lt;Assumptions!$B$9,"Pre-dev",IF(A80&lt;$AE$2,"Construction",IF(A80&lt;=Assumptions!$B$59,"Lease-up / exit","Tail")))</f>
        <v/>
      </c>
      <c r="D80" s="42">
        <f>IF(AND(A80&gt;=Assumptions!$B$9,A80&lt;$AE$2),(A80-Assumptions!$B$9+1)*($AE$2-A80),0)</f>
        <v/>
      </c>
      <c r="E80" s="44">
        <f>IFERROR(D80/$AE$6,0)</f>
        <v/>
      </c>
      <c r="F80" s="21">
        <f>IF(A80=1,DevBudget!$B$5,0)</f>
        <v/>
      </c>
      <c r="G80" s="21">
        <f>E80*DevBudget!$B$6</f>
        <v/>
      </c>
      <c r="H80" s="21">
        <f>E80*DevBudget!$B$7</f>
        <v/>
      </c>
      <c r="I80" s="21">
        <f>E80*DevBudget!$B$8</f>
        <v/>
      </c>
      <c r="J80" s="21">
        <f>E80*(DevBudget!$B$9+DevBudget!$B$10)</f>
        <v/>
      </c>
      <c r="K80" s="21">
        <f>E80*DevBudget!$B$12</f>
        <v/>
      </c>
      <c r="L80" s="21">
        <f>E80*DevBudget!$B$13</f>
        <v/>
      </c>
      <c r="M80" s="21">
        <f>IF(A80=Assumptions!$B$9,Assumptions!$B$69+Assumptions!$B$72,0)+IF(A80=$AE$4,Assumptions!$B$70+Assumptions!$B$71+Assumptions!$B$73,0)</f>
        <v/>
      </c>
      <c r="N80" s="21">
        <f>E80*DevBudget!$B$16</f>
        <v/>
      </c>
      <c r="O80" s="21">
        <f>SUM(F80:N80)</f>
        <v/>
      </c>
      <c r="P80" s="21">
        <f>P79+O80</f>
        <v/>
      </c>
      <c r="Q80" s="21">
        <f>MIN(O80,MAX(0,DevBudget!$B$19-R79))</f>
        <v/>
      </c>
      <c r="R80" s="21">
        <f>R79+Q80</f>
        <v/>
      </c>
      <c r="S80" s="21">
        <f>MIN(MAX(0,O80-Q80),MAX(0,Assumptions!$B$24-T80-U80))</f>
        <v/>
      </c>
      <c r="T80" s="21">
        <f>W79</f>
        <v/>
      </c>
      <c r="U80" s="21">
        <f>T80*Assumptions!$B$25/12</f>
        <v/>
      </c>
      <c r="V80" s="21">
        <f>MIN(T80+U80+S80,MAX(0,Z80+AA80))</f>
        <v/>
      </c>
      <c r="W80" s="21">
        <f>T80+S80+U80-V80</f>
        <v/>
      </c>
      <c r="X80" s="21">
        <f>IF(AND(A80&gt;=$AE$2,A80&lt;=Assumptions!$B$58),(MIN(Program!$D$5,MAX(0,(A80-$AE$2+1)*Assumptions!$B$39))*Assumptions!$B$29*(1+Assumptions!$B$31)*(1-Assumptions!$B$32)+Program!$D$9*Assumptions!$B$43*Assumptions!$B$44/12+Program!$D$5*Assumptions!$B$35*Assumptions!$B$34-Program!$D$5*Assumptions!$B$33/12-Assumptions!$B$36*Assumptions!$B$38/12),0)</f>
        <v/>
      </c>
      <c r="Y80" s="21">
        <f>IF(AND(A80&gt;=$AE$4,A80&lt;=Assumptions!$B$59),(MIN(Program!$C$5,MAX(0,(A80-$AE$4+1)*Assumptions!$B$39))*Assumptions!$B$30*(1+Assumptions!$B$31)*(1-Assumptions!$B$32)+Program!$C$9*Assumptions!$B$43*Assumptions!$B$44/12+Program!$C$5*Assumptions!$B$35*Assumptions!$B$34-Program!$C$5*Assumptions!$B$33/12-Assumptions!$B$37*Assumptions!$B$38/12),0)</f>
        <v/>
      </c>
      <c r="Z80" s="31">
        <f>SUMIF(Sellout!$A$6:$A$35,A80,Sellout!$D$6:$D$35)*(1-Assumptions!$B$49)</f>
        <v/>
      </c>
      <c r="AA80" s="31">
        <f>IF(A80=Assumptions!$B$58,Ops!$B$23,0)+IF(A80=Assumptions!$B$59,Ops!$C$23,0)</f>
        <v/>
      </c>
      <c r="AB80" s="21">
        <f>-O80+X80+Y80+Z80+AA80</f>
        <v/>
      </c>
      <c r="AC80" s="21">
        <f>AB80+S80-V80</f>
        <v/>
      </c>
    </row>
    <row r="81">
      <c r="A81" s="42" t="n">
        <v>76</v>
      </c>
      <c r="B81" s="43">
        <f>EDATE(Assumptions!$B$7,A81-1)</f>
        <v/>
      </c>
      <c r="C81" s="30">
        <f>IF(A81&lt;Assumptions!$B$9,"Pre-dev",IF(A81&lt;$AE$2,"Construction",IF(A81&lt;=Assumptions!$B$59,"Lease-up / exit","Tail")))</f>
        <v/>
      </c>
      <c r="D81" s="42">
        <f>IF(AND(A81&gt;=Assumptions!$B$9,A81&lt;$AE$2),(A81-Assumptions!$B$9+1)*($AE$2-A81),0)</f>
        <v/>
      </c>
      <c r="E81" s="44">
        <f>IFERROR(D81/$AE$6,0)</f>
        <v/>
      </c>
      <c r="F81" s="21">
        <f>IF(A81=1,DevBudget!$B$5,0)</f>
        <v/>
      </c>
      <c r="G81" s="21">
        <f>E81*DevBudget!$B$6</f>
        <v/>
      </c>
      <c r="H81" s="21">
        <f>E81*DevBudget!$B$7</f>
        <v/>
      </c>
      <c r="I81" s="21">
        <f>E81*DevBudget!$B$8</f>
        <v/>
      </c>
      <c r="J81" s="21">
        <f>E81*(DevBudget!$B$9+DevBudget!$B$10)</f>
        <v/>
      </c>
      <c r="K81" s="21">
        <f>E81*DevBudget!$B$12</f>
        <v/>
      </c>
      <c r="L81" s="21">
        <f>E81*DevBudget!$B$13</f>
        <v/>
      </c>
      <c r="M81" s="21">
        <f>IF(A81=Assumptions!$B$9,Assumptions!$B$69+Assumptions!$B$72,0)+IF(A81=$AE$4,Assumptions!$B$70+Assumptions!$B$71+Assumptions!$B$73,0)</f>
        <v/>
      </c>
      <c r="N81" s="21">
        <f>E81*DevBudget!$B$16</f>
        <v/>
      </c>
      <c r="O81" s="21">
        <f>SUM(F81:N81)</f>
        <v/>
      </c>
      <c r="P81" s="21">
        <f>P80+O81</f>
        <v/>
      </c>
      <c r="Q81" s="21">
        <f>MIN(O81,MAX(0,DevBudget!$B$19-R80))</f>
        <v/>
      </c>
      <c r="R81" s="21">
        <f>R80+Q81</f>
        <v/>
      </c>
      <c r="S81" s="21">
        <f>MIN(MAX(0,O81-Q81),MAX(0,Assumptions!$B$24-T81-U81))</f>
        <v/>
      </c>
      <c r="T81" s="21">
        <f>W80</f>
        <v/>
      </c>
      <c r="U81" s="21">
        <f>T81*Assumptions!$B$25/12</f>
        <v/>
      </c>
      <c r="V81" s="21">
        <f>MIN(T81+U81+S81,MAX(0,Z81+AA81))</f>
        <v/>
      </c>
      <c r="W81" s="21">
        <f>T81+S81+U81-V81</f>
        <v/>
      </c>
      <c r="X81" s="21">
        <f>IF(AND(A81&gt;=$AE$2,A81&lt;=Assumptions!$B$58),(MIN(Program!$D$5,MAX(0,(A81-$AE$2+1)*Assumptions!$B$39))*Assumptions!$B$29*(1+Assumptions!$B$31)*(1-Assumptions!$B$32)+Program!$D$9*Assumptions!$B$43*Assumptions!$B$44/12+Program!$D$5*Assumptions!$B$35*Assumptions!$B$34-Program!$D$5*Assumptions!$B$33/12-Assumptions!$B$36*Assumptions!$B$38/12),0)</f>
        <v/>
      </c>
      <c r="Y81" s="21">
        <f>IF(AND(A81&gt;=$AE$4,A81&lt;=Assumptions!$B$59),(MIN(Program!$C$5,MAX(0,(A81-$AE$4+1)*Assumptions!$B$39))*Assumptions!$B$30*(1+Assumptions!$B$31)*(1-Assumptions!$B$32)+Program!$C$9*Assumptions!$B$43*Assumptions!$B$44/12+Program!$C$5*Assumptions!$B$35*Assumptions!$B$34-Program!$C$5*Assumptions!$B$33/12-Assumptions!$B$37*Assumptions!$B$38/12),0)</f>
        <v/>
      </c>
      <c r="Z81" s="31">
        <f>SUMIF(Sellout!$A$6:$A$35,A81,Sellout!$D$6:$D$35)*(1-Assumptions!$B$49)</f>
        <v/>
      </c>
      <c r="AA81" s="31">
        <f>IF(A81=Assumptions!$B$58,Ops!$B$23,0)+IF(A81=Assumptions!$B$59,Ops!$C$23,0)</f>
        <v/>
      </c>
      <c r="AB81" s="21">
        <f>-O81+X81+Y81+Z81+AA81</f>
        <v/>
      </c>
      <c r="AC81" s="21">
        <f>AB81+S81-V81</f>
        <v/>
      </c>
    </row>
    <row r="82">
      <c r="A82" s="42" t="n">
        <v>77</v>
      </c>
      <c r="B82" s="43">
        <f>EDATE(Assumptions!$B$7,A82-1)</f>
        <v/>
      </c>
      <c r="C82" s="30">
        <f>IF(A82&lt;Assumptions!$B$9,"Pre-dev",IF(A82&lt;$AE$2,"Construction",IF(A82&lt;=Assumptions!$B$59,"Lease-up / exit","Tail")))</f>
        <v/>
      </c>
      <c r="D82" s="42">
        <f>IF(AND(A82&gt;=Assumptions!$B$9,A82&lt;$AE$2),(A82-Assumptions!$B$9+1)*($AE$2-A82),0)</f>
        <v/>
      </c>
      <c r="E82" s="44">
        <f>IFERROR(D82/$AE$6,0)</f>
        <v/>
      </c>
      <c r="F82" s="21">
        <f>IF(A82=1,DevBudget!$B$5,0)</f>
        <v/>
      </c>
      <c r="G82" s="21">
        <f>E82*DevBudget!$B$6</f>
        <v/>
      </c>
      <c r="H82" s="21">
        <f>E82*DevBudget!$B$7</f>
        <v/>
      </c>
      <c r="I82" s="21">
        <f>E82*DevBudget!$B$8</f>
        <v/>
      </c>
      <c r="J82" s="21">
        <f>E82*(DevBudget!$B$9+DevBudget!$B$10)</f>
        <v/>
      </c>
      <c r="K82" s="21">
        <f>E82*DevBudget!$B$12</f>
        <v/>
      </c>
      <c r="L82" s="21">
        <f>E82*DevBudget!$B$13</f>
        <v/>
      </c>
      <c r="M82" s="21">
        <f>IF(A82=Assumptions!$B$9,Assumptions!$B$69+Assumptions!$B$72,0)+IF(A82=$AE$4,Assumptions!$B$70+Assumptions!$B$71+Assumptions!$B$73,0)</f>
        <v/>
      </c>
      <c r="N82" s="21">
        <f>E82*DevBudget!$B$16</f>
        <v/>
      </c>
      <c r="O82" s="21">
        <f>SUM(F82:N82)</f>
        <v/>
      </c>
      <c r="P82" s="21">
        <f>P81+O82</f>
        <v/>
      </c>
      <c r="Q82" s="21">
        <f>MIN(O82,MAX(0,DevBudget!$B$19-R81))</f>
        <v/>
      </c>
      <c r="R82" s="21">
        <f>R81+Q82</f>
        <v/>
      </c>
      <c r="S82" s="21">
        <f>MIN(MAX(0,O82-Q82),MAX(0,Assumptions!$B$24-T82-U82))</f>
        <v/>
      </c>
      <c r="T82" s="21">
        <f>W81</f>
        <v/>
      </c>
      <c r="U82" s="21">
        <f>T82*Assumptions!$B$25/12</f>
        <v/>
      </c>
      <c r="V82" s="21">
        <f>MIN(T82+U82+S82,MAX(0,Z82+AA82))</f>
        <v/>
      </c>
      <c r="W82" s="21">
        <f>T82+S82+U82-V82</f>
        <v/>
      </c>
      <c r="X82" s="21">
        <f>IF(AND(A82&gt;=$AE$2,A82&lt;=Assumptions!$B$58),(MIN(Program!$D$5,MAX(0,(A82-$AE$2+1)*Assumptions!$B$39))*Assumptions!$B$29*(1+Assumptions!$B$31)*(1-Assumptions!$B$32)+Program!$D$9*Assumptions!$B$43*Assumptions!$B$44/12+Program!$D$5*Assumptions!$B$35*Assumptions!$B$34-Program!$D$5*Assumptions!$B$33/12-Assumptions!$B$36*Assumptions!$B$38/12),0)</f>
        <v/>
      </c>
      <c r="Y82" s="21">
        <f>IF(AND(A82&gt;=$AE$4,A82&lt;=Assumptions!$B$59),(MIN(Program!$C$5,MAX(0,(A82-$AE$4+1)*Assumptions!$B$39))*Assumptions!$B$30*(1+Assumptions!$B$31)*(1-Assumptions!$B$32)+Program!$C$9*Assumptions!$B$43*Assumptions!$B$44/12+Program!$C$5*Assumptions!$B$35*Assumptions!$B$34-Program!$C$5*Assumptions!$B$33/12-Assumptions!$B$37*Assumptions!$B$38/12),0)</f>
        <v/>
      </c>
      <c r="Z82" s="31">
        <f>SUMIF(Sellout!$A$6:$A$35,A82,Sellout!$D$6:$D$35)*(1-Assumptions!$B$49)</f>
        <v/>
      </c>
      <c r="AA82" s="31">
        <f>IF(A82=Assumptions!$B$58,Ops!$B$23,0)+IF(A82=Assumptions!$B$59,Ops!$C$23,0)</f>
        <v/>
      </c>
      <c r="AB82" s="21">
        <f>-O82+X82+Y82+Z82+AA82</f>
        <v/>
      </c>
      <c r="AC82" s="21">
        <f>AB82+S82-V82</f>
        <v/>
      </c>
    </row>
    <row r="83">
      <c r="A83" s="42" t="n">
        <v>78</v>
      </c>
      <c r="B83" s="43">
        <f>EDATE(Assumptions!$B$7,A83-1)</f>
        <v/>
      </c>
      <c r="C83" s="30">
        <f>IF(A83&lt;Assumptions!$B$9,"Pre-dev",IF(A83&lt;$AE$2,"Construction",IF(A83&lt;=Assumptions!$B$59,"Lease-up / exit","Tail")))</f>
        <v/>
      </c>
      <c r="D83" s="42">
        <f>IF(AND(A83&gt;=Assumptions!$B$9,A83&lt;$AE$2),(A83-Assumptions!$B$9+1)*($AE$2-A83),0)</f>
        <v/>
      </c>
      <c r="E83" s="44">
        <f>IFERROR(D83/$AE$6,0)</f>
        <v/>
      </c>
      <c r="F83" s="21">
        <f>IF(A83=1,DevBudget!$B$5,0)</f>
        <v/>
      </c>
      <c r="G83" s="21">
        <f>E83*DevBudget!$B$6</f>
        <v/>
      </c>
      <c r="H83" s="21">
        <f>E83*DevBudget!$B$7</f>
        <v/>
      </c>
      <c r="I83" s="21">
        <f>E83*DevBudget!$B$8</f>
        <v/>
      </c>
      <c r="J83" s="21">
        <f>E83*(DevBudget!$B$9+DevBudget!$B$10)</f>
        <v/>
      </c>
      <c r="K83" s="21">
        <f>E83*DevBudget!$B$12</f>
        <v/>
      </c>
      <c r="L83" s="21">
        <f>E83*DevBudget!$B$13</f>
        <v/>
      </c>
      <c r="M83" s="21">
        <f>IF(A83=Assumptions!$B$9,Assumptions!$B$69+Assumptions!$B$72,0)+IF(A83=$AE$4,Assumptions!$B$70+Assumptions!$B$71+Assumptions!$B$73,0)</f>
        <v/>
      </c>
      <c r="N83" s="21">
        <f>E83*DevBudget!$B$16</f>
        <v/>
      </c>
      <c r="O83" s="21">
        <f>SUM(F83:N83)</f>
        <v/>
      </c>
      <c r="P83" s="21">
        <f>P82+O83</f>
        <v/>
      </c>
      <c r="Q83" s="21">
        <f>MIN(O83,MAX(0,DevBudget!$B$19-R82))</f>
        <v/>
      </c>
      <c r="R83" s="21">
        <f>R82+Q83</f>
        <v/>
      </c>
      <c r="S83" s="21">
        <f>MIN(MAX(0,O83-Q83),MAX(0,Assumptions!$B$24-T83-U83))</f>
        <v/>
      </c>
      <c r="T83" s="21">
        <f>W82</f>
        <v/>
      </c>
      <c r="U83" s="21">
        <f>T83*Assumptions!$B$25/12</f>
        <v/>
      </c>
      <c r="V83" s="21">
        <f>MIN(T83+U83+S83,MAX(0,Z83+AA83))</f>
        <v/>
      </c>
      <c r="W83" s="21">
        <f>T83+S83+U83-V83</f>
        <v/>
      </c>
      <c r="X83" s="21">
        <f>IF(AND(A83&gt;=$AE$2,A83&lt;=Assumptions!$B$58),(MIN(Program!$D$5,MAX(0,(A83-$AE$2+1)*Assumptions!$B$39))*Assumptions!$B$29*(1+Assumptions!$B$31)*(1-Assumptions!$B$32)+Program!$D$9*Assumptions!$B$43*Assumptions!$B$44/12+Program!$D$5*Assumptions!$B$35*Assumptions!$B$34-Program!$D$5*Assumptions!$B$33/12-Assumptions!$B$36*Assumptions!$B$38/12),0)</f>
        <v/>
      </c>
      <c r="Y83" s="21">
        <f>IF(AND(A83&gt;=$AE$4,A83&lt;=Assumptions!$B$59),(MIN(Program!$C$5,MAX(0,(A83-$AE$4+1)*Assumptions!$B$39))*Assumptions!$B$30*(1+Assumptions!$B$31)*(1-Assumptions!$B$32)+Program!$C$9*Assumptions!$B$43*Assumptions!$B$44/12+Program!$C$5*Assumptions!$B$35*Assumptions!$B$34-Program!$C$5*Assumptions!$B$33/12-Assumptions!$B$37*Assumptions!$B$38/12),0)</f>
        <v/>
      </c>
      <c r="Z83" s="31">
        <f>SUMIF(Sellout!$A$6:$A$35,A83,Sellout!$D$6:$D$35)*(1-Assumptions!$B$49)</f>
        <v/>
      </c>
      <c r="AA83" s="31">
        <f>IF(A83=Assumptions!$B$58,Ops!$B$23,0)+IF(A83=Assumptions!$B$59,Ops!$C$23,0)</f>
        <v/>
      </c>
      <c r="AB83" s="21">
        <f>-O83+X83+Y83+Z83+AA83</f>
        <v/>
      </c>
      <c r="AC83" s="21">
        <f>AB83+S83-V83</f>
        <v/>
      </c>
    </row>
    <row r="84">
      <c r="A84" s="42" t="n">
        <v>79</v>
      </c>
      <c r="B84" s="43">
        <f>EDATE(Assumptions!$B$7,A84-1)</f>
        <v/>
      </c>
      <c r="C84" s="30">
        <f>IF(A84&lt;Assumptions!$B$9,"Pre-dev",IF(A84&lt;$AE$2,"Construction",IF(A84&lt;=Assumptions!$B$59,"Lease-up / exit","Tail")))</f>
        <v/>
      </c>
      <c r="D84" s="42">
        <f>IF(AND(A84&gt;=Assumptions!$B$9,A84&lt;$AE$2),(A84-Assumptions!$B$9+1)*($AE$2-A84),0)</f>
        <v/>
      </c>
      <c r="E84" s="44">
        <f>IFERROR(D84/$AE$6,0)</f>
        <v/>
      </c>
      <c r="F84" s="21">
        <f>IF(A84=1,DevBudget!$B$5,0)</f>
        <v/>
      </c>
      <c r="G84" s="21">
        <f>E84*DevBudget!$B$6</f>
        <v/>
      </c>
      <c r="H84" s="21">
        <f>E84*DevBudget!$B$7</f>
        <v/>
      </c>
      <c r="I84" s="21">
        <f>E84*DevBudget!$B$8</f>
        <v/>
      </c>
      <c r="J84" s="21">
        <f>E84*(DevBudget!$B$9+DevBudget!$B$10)</f>
        <v/>
      </c>
      <c r="K84" s="21">
        <f>E84*DevBudget!$B$12</f>
        <v/>
      </c>
      <c r="L84" s="21">
        <f>E84*DevBudget!$B$13</f>
        <v/>
      </c>
      <c r="M84" s="21">
        <f>IF(A84=Assumptions!$B$9,Assumptions!$B$69+Assumptions!$B$72,0)+IF(A84=$AE$4,Assumptions!$B$70+Assumptions!$B$71+Assumptions!$B$73,0)</f>
        <v/>
      </c>
      <c r="N84" s="21">
        <f>E84*DevBudget!$B$16</f>
        <v/>
      </c>
      <c r="O84" s="21">
        <f>SUM(F84:N84)</f>
        <v/>
      </c>
      <c r="P84" s="21">
        <f>P83+O84</f>
        <v/>
      </c>
      <c r="Q84" s="21">
        <f>MIN(O84,MAX(0,DevBudget!$B$19-R83))</f>
        <v/>
      </c>
      <c r="R84" s="21">
        <f>R83+Q84</f>
        <v/>
      </c>
      <c r="S84" s="21">
        <f>MIN(MAX(0,O84-Q84),MAX(0,Assumptions!$B$24-T84-U84))</f>
        <v/>
      </c>
      <c r="T84" s="21">
        <f>W83</f>
        <v/>
      </c>
      <c r="U84" s="21">
        <f>T84*Assumptions!$B$25/12</f>
        <v/>
      </c>
      <c r="V84" s="21">
        <f>MIN(T84+U84+S84,MAX(0,Z84+AA84))</f>
        <v/>
      </c>
      <c r="W84" s="21">
        <f>T84+S84+U84-V84</f>
        <v/>
      </c>
      <c r="X84" s="21">
        <f>IF(AND(A84&gt;=$AE$2,A84&lt;=Assumptions!$B$58),(MIN(Program!$D$5,MAX(0,(A84-$AE$2+1)*Assumptions!$B$39))*Assumptions!$B$29*(1+Assumptions!$B$31)*(1-Assumptions!$B$32)+Program!$D$9*Assumptions!$B$43*Assumptions!$B$44/12+Program!$D$5*Assumptions!$B$35*Assumptions!$B$34-Program!$D$5*Assumptions!$B$33/12-Assumptions!$B$36*Assumptions!$B$38/12),0)</f>
        <v/>
      </c>
      <c r="Y84" s="21">
        <f>IF(AND(A84&gt;=$AE$4,A84&lt;=Assumptions!$B$59),(MIN(Program!$C$5,MAX(0,(A84-$AE$4+1)*Assumptions!$B$39))*Assumptions!$B$30*(1+Assumptions!$B$31)*(1-Assumptions!$B$32)+Program!$C$9*Assumptions!$B$43*Assumptions!$B$44/12+Program!$C$5*Assumptions!$B$35*Assumptions!$B$34-Program!$C$5*Assumptions!$B$33/12-Assumptions!$B$37*Assumptions!$B$38/12),0)</f>
        <v/>
      </c>
      <c r="Z84" s="31">
        <f>SUMIF(Sellout!$A$6:$A$35,A84,Sellout!$D$6:$D$35)*(1-Assumptions!$B$49)</f>
        <v/>
      </c>
      <c r="AA84" s="31">
        <f>IF(A84=Assumptions!$B$58,Ops!$B$23,0)+IF(A84=Assumptions!$B$59,Ops!$C$23,0)</f>
        <v/>
      </c>
      <c r="AB84" s="21">
        <f>-O84+X84+Y84+Z84+AA84</f>
        <v/>
      </c>
      <c r="AC84" s="21">
        <f>AB84+S84-V84</f>
        <v/>
      </c>
    </row>
    <row r="85">
      <c r="A85" s="42" t="n">
        <v>80</v>
      </c>
      <c r="B85" s="43">
        <f>EDATE(Assumptions!$B$7,A85-1)</f>
        <v/>
      </c>
      <c r="C85" s="30">
        <f>IF(A85&lt;Assumptions!$B$9,"Pre-dev",IF(A85&lt;$AE$2,"Construction",IF(A85&lt;=Assumptions!$B$59,"Lease-up / exit","Tail")))</f>
        <v/>
      </c>
      <c r="D85" s="42">
        <f>IF(AND(A85&gt;=Assumptions!$B$9,A85&lt;$AE$2),(A85-Assumptions!$B$9+1)*($AE$2-A85),0)</f>
        <v/>
      </c>
      <c r="E85" s="44">
        <f>IFERROR(D85/$AE$6,0)</f>
        <v/>
      </c>
      <c r="F85" s="21">
        <f>IF(A85=1,DevBudget!$B$5,0)</f>
        <v/>
      </c>
      <c r="G85" s="21">
        <f>E85*DevBudget!$B$6</f>
        <v/>
      </c>
      <c r="H85" s="21">
        <f>E85*DevBudget!$B$7</f>
        <v/>
      </c>
      <c r="I85" s="21">
        <f>E85*DevBudget!$B$8</f>
        <v/>
      </c>
      <c r="J85" s="21">
        <f>E85*(DevBudget!$B$9+DevBudget!$B$10)</f>
        <v/>
      </c>
      <c r="K85" s="21">
        <f>E85*DevBudget!$B$12</f>
        <v/>
      </c>
      <c r="L85" s="21">
        <f>E85*DevBudget!$B$13</f>
        <v/>
      </c>
      <c r="M85" s="21">
        <f>IF(A85=Assumptions!$B$9,Assumptions!$B$69+Assumptions!$B$72,0)+IF(A85=$AE$4,Assumptions!$B$70+Assumptions!$B$71+Assumptions!$B$73,0)</f>
        <v/>
      </c>
      <c r="N85" s="21">
        <f>E85*DevBudget!$B$16</f>
        <v/>
      </c>
      <c r="O85" s="21">
        <f>SUM(F85:N85)</f>
        <v/>
      </c>
      <c r="P85" s="21">
        <f>P84+O85</f>
        <v/>
      </c>
      <c r="Q85" s="21">
        <f>MIN(O85,MAX(0,DevBudget!$B$19-R84))</f>
        <v/>
      </c>
      <c r="R85" s="21">
        <f>R84+Q85</f>
        <v/>
      </c>
      <c r="S85" s="21">
        <f>MIN(MAX(0,O85-Q85),MAX(0,Assumptions!$B$24-T85-U85))</f>
        <v/>
      </c>
      <c r="T85" s="21">
        <f>W84</f>
        <v/>
      </c>
      <c r="U85" s="21">
        <f>T85*Assumptions!$B$25/12</f>
        <v/>
      </c>
      <c r="V85" s="21">
        <f>MIN(T85+U85+S85,MAX(0,Z85+AA85))</f>
        <v/>
      </c>
      <c r="W85" s="21">
        <f>T85+S85+U85-V85</f>
        <v/>
      </c>
      <c r="X85" s="21">
        <f>IF(AND(A85&gt;=$AE$2,A85&lt;=Assumptions!$B$58),(MIN(Program!$D$5,MAX(0,(A85-$AE$2+1)*Assumptions!$B$39))*Assumptions!$B$29*(1+Assumptions!$B$31)*(1-Assumptions!$B$32)+Program!$D$9*Assumptions!$B$43*Assumptions!$B$44/12+Program!$D$5*Assumptions!$B$35*Assumptions!$B$34-Program!$D$5*Assumptions!$B$33/12-Assumptions!$B$36*Assumptions!$B$38/12),0)</f>
        <v/>
      </c>
      <c r="Y85" s="21">
        <f>IF(AND(A85&gt;=$AE$4,A85&lt;=Assumptions!$B$59),(MIN(Program!$C$5,MAX(0,(A85-$AE$4+1)*Assumptions!$B$39))*Assumptions!$B$30*(1+Assumptions!$B$31)*(1-Assumptions!$B$32)+Program!$C$9*Assumptions!$B$43*Assumptions!$B$44/12+Program!$C$5*Assumptions!$B$35*Assumptions!$B$34-Program!$C$5*Assumptions!$B$33/12-Assumptions!$B$37*Assumptions!$B$38/12),0)</f>
        <v/>
      </c>
      <c r="Z85" s="31">
        <f>SUMIF(Sellout!$A$6:$A$35,A85,Sellout!$D$6:$D$35)*(1-Assumptions!$B$49)</f>
        <v/>
      </c>
      <c r="AA85" s="31">
        <f>IF(A85=Assumptions!$B$58,Ops!$B$23,0)+IF(A85=Assumptions!$B$59,Ops!$C$23,0)</f>
        <v/>
      </c>
      <c r="AB85" s="21">
        <f>-O85+X85+Y85+Z85+AA85</f>
        <v/>
      </c>
      <c r="AC85" s="21">
        <f>AB85+S85-V85</f>
        <v/>
      </c>
    </row>
    <row r="86">
      <c r="A86" s="42" t="n">
        <v>81</v>
      </c>
      <c r="B86" s="43">
        <f>EDATE(Assumptions!$B$7,A86-1)</f>
        <v/>
      </c>
      <c r="C86" s="30">
        <f>IF(A86&lt;Assumptions!$B$9,"Pre-dev",IF(A86&lt;$AE$2,"Construction",IF(A86&lt;=Assumptions!$B$59,"Lease-up / exit","Tail")))</f>
        <v/>
      </c>
      <c r="D86" s="42">
        <f>IF(AND(A86&gt;=Assumptions!$B$9,A86&lt;$AE$2),(A86-Assumptions!$B$9+1)*($AE$2-A86),0)</f>
        <v/>
      </c>
      <c r="E86" s="44">
        <f>IFERROR(D86/$AE$6,0)</f>
        <v/>
      </c>
      <c r="F86" s="21">
        <f>IF(A86=1,DevBudget!$B$5,0)</f>
        <v/>
      </c>
      <c r="G86" s="21">
        <f>E86*DevBudget!$B$6</f>
        <v/>
      </c>
      <c r="H86" s="21">
        <f>E86*DevBudget!$B$7</f>
        <v/>
      </c>
      <c r="I86" s="21">
        <f>E86*DevBudget!$B$8</f>
        <v/>
      </c>
      <c r="J86" s="21">
        <f>E86*(DevBudget!$B$9+DevBudget!$B$10)</f>
        <v/>
      </c>
      <c r="K86" s="21">
        <f>E86*DevBudget!$B$12</f>
        <v/>
      </c>
      <c r="L86" s="21">
        <f>E86*DevBudget!$B$13</f>
        <v/>
      </c>
      <c r="M86" s="21">
        <f>IF(A86=Assumptions!$B$9,Assumptions!$B$69+Assumptions!$B$72,0)+IF(A86=$AE$4,Assumptions!$B$70+Assumptions!$B$71+Assumptions!$B$73,0)</f>
        <v/>
      </c>
      <c r="N86" s="21">
        <f>E86*DevBudget!$B$16</f>
        <v/>
      </c>
      <c r="O86" s="21">
        <f>SUM(F86:N86)</f>
        <v/>
      </c>
      <c r="P86" s="21">
        <f>P85+O86</f>
        <v/>
      </c>
      <c r="Q86" s="21">
        <f>MIN(O86,MAX(0,DevBudget!$B$19-R85))</f>
        <v/>
      </c>
      <c r="R86" s="21">
        <f>R85+Q86</f>
        <v/>
      </c>
      <c r="S86" s="21">
        <f>MIN(MAX(0,O86-Q86),MAX(0,Assumptions!$B$24-T86-U86))</f>
        <v/>
      </c>
      <c r="T86" s="21">
        <f>W85</f>
        <v/>
      </c>
      <c r="U86" s="21">
        <f>T86*Assumptions!$B$25/12</f>
        <v/>
      </c>
      <c r="V86" s="21">
        <f>MIN(T86+U86+S86,MAX(0,Z86+AA86))</f>
        <v/>
      </c>
      <c r="W86" s="21">
        <f>T86+S86+U86-V86</f>
        <v/>
      </c>
      <c r="X86" s="21">
        <f>IF(AND(A86&gt;=$AE$2,A86&lt;=Assumptions!$B$58),(MIN(Program!$D$5,MAX(0,(A86-$AE$2+1)*Assumptions!$B$39))*Assumptions!$B$29*(1+Assumptions!$B$31)*(1-Assumptions!$B$32)+Program!$D$9*Assumptions!$B$43*Assumptions!$B$44/12+Program!$D$5*Assumptions!$B$35*Assumptions!$B$34-Program!$D$5*Assumptions!$B$33/12-Assumptions!$B$36*Assumptions!$B$38/12),0)</f>
        <v/>
      </c>
      <c r="Y86" s="21">
        <f>IF(AND(A86&gt;=$AE$4,A86&lt;=Assumptions!$B$59),(MIN(Program!$C$5,MAX(0,(A86-$AE$4+1)*Assumptions!$B$39))*Assumptions!$B$30*(1+Assumptions!$B$31)*(1-Assumptions!$B$32)+Program!$C$9*Assumptions!$B$43*Assumptions!$B$44/12+Program!$C$5*Assumptions!$B$35*Assumptions!$B$34-Program!$C$5*Assumptions!$B$33/12-Assumptions!$B$37*Assumptions!$B$38/12),0)</f>
        <v/>
      </c>
      <c r="Z86" s="31">
        <f>SUMIF(Sellout!$A$6:$A$35,A86,Sellout!$D$6:$D$35)*(1-Assumptions!$B$49)</f>
        <v/>
      </c>
      <c r="AA86" s="31">
        <f>IF(A86=Assumptions!$B$58,Ops!$B$23,0)+IF(A86=Assumptions!$B$59,Ops!$C$23,0)</f>
        <v/>
      </c>
      <c r="AB86" s="21">
        <f>-O86+X86+Y86+Z86+AA86</f>
        <v/>
      </c>
      <c r="AC86" s="21">
        <f>AB86+S86-V86</f>
        <v/>
      </c>
    </row>
    <row r="87">
      <c r="A87" s="42" t="n">
        <v>82</v>
      </c>
      <c r="B87" s="43">
        <f>EDATE(Assumptions!$B$7,A87-1)</f>
        <v/>
      </c>
      <c r="C87" s="30">
        <f>IF(A87&lt;Assumptions!$B$9,"Pre-dev",IF(A87&lt;$AE$2,"Construction",IF(A87&lt;=Assumptions!$B$59,"Lease-up / exit","Tail")))</f>
        <v/>
      </c>
      <c r="D87" s="42">
        <f>IF(AND(A87&gt;=Assumptions!$B$9,A87&lt;$AE$2),(A87-Assumptions!$B$9+1)*($AE$2-A87),0)</f>
        <v/>
      </c>
      <c r="E87" s="44">
        <f>IFERROR(D87/$AE$6,0)</f>
        <v/>
      </c>
      <c r="F87" s="21">
        <f>IF(A87=1,DevBudget!$B$5,0)</f>
        <v/>
      </c>
      <c r="G87" s="21">
        <f>E87*DevBudget!$B$6</f>
        <v/>
      </c>
      <c r="H87" s="21">
        <f>E87*DevBudget!$B$7</f>
        <v/>
      </c>
      <c r="I87" s="21">
        <f>E87*DevBudget!$B$8</f>
        <v/>
      </c>
      <c r="J87" s="21">
        <f>E87*(DevBudget!$B$9+DevBudget!$B$10)</f>
        <v/>
      </c>
      <c r="K87" s="21">
        <f>E87*DevBudget!$B$12</f>
        <v/>
      </c>
      <c r="L87" s="21">
        <f>E87*DevBudget!$B$13</f>
        <v/>
      </c>
      <c r="M87" s="21">
        <f>IF(A87=Assumptions!$B$9,Assumptions!$B$69+Assumptions!$B$72,0)+IF(A87=$AE$4,Assumptions!$B$70+Assumptions!$B$71+Assumptions!$B$73,0)</f>
        <v/>
      </c>
      <c r="N87" s="21">
        <f>E87*DevBudget!$B$16</f>
        <v/>
      </c>
      <c r="O87" s="21">
        <f>SUM(F87:N87)</f>
        <v/>
      </c>
      <c r="P87" s="21">
        <f>P86+O87</f>
        <v/>
      </c>
      <c r="Q87" s="21">
        <f>MIN(O87,MAX(0,DevBudget!$B$19-R86))</f>
        <v/>
      </c>
      <c r="R87" s="21">
        <f>R86+Q87</f>
        <v/>
      </c>
      <c r="S87" s="21">
        <f>MIN(MAX(0,O87-Q87),MAX(0,Assumptions!$B$24-T87-U87))</f>
        <v/>
      </c>
      <c r="T87" s="21">
        <f>W86</f>
        <v/>
      </c>
      <c r="U87" s="21">
        <f>T87*Assumptions!$B$25/12</f>
        <v/>
      </c>
      <c r="V87" s="21">
        <f>MIN(T87+U87+S87,MAX(0,Z87+AA87))</f>
        <v/>
      </c>
      <c r="W87" s="21">
        <f>T87+S87+U87-V87</f>
        <v/>
      </c>
      <c r="X87" s="21">
        <f>IF(AND(A87&gt;=$AE$2,A87&lt;=Assumptions!$B$58),(MIN(Program!$D$5,MAX(0,(A87-$AE$2+1)*Assumptions!$B$39))*Assumptions!$B$29*(1+Assumptions!$B$31)*(1-Assumptions!$B$32)+Program!$D$9*Assumptions!$B$43*Assumptions!$B$44/12+Program!$D$5*Assumptions!$B$35*Assumptions!$B$34-Program!$D$5*Assumptions!$B$33/12-Assumptions!$B$36*Assumptions!$B$38/12),0)</f>
        <v/>
      </c>
      <c r="Y87" s="21">
        <f>IF(AND(A87&gt;=$AE$4,A87&lt;=Assumptions!$B$59),(MIN(Program!$C$5,MAX(0,(A87-$AE$4+1)*Assumptions!$B$39))*Assumptions!$B$30*(1+Assumptions!$B$31)*(1-Assumptions!$B$32)+Program!$C$9*Assumptions!$B$43*Assumptions!$B$44/12+Program!$C$5*Assumptions!$B$35*Assumptions!$B$34-Program!$C$5*Assumptions!$B$33/12-Assumptions!$B$37*Assumptions!$B$38/12),0)</f>
        <v/>
      </c>
      <c r="Z87" s="31">
        <f>SUMIF(Sellout!$A$6:$A$35,A87,Sellout!$D$6:$D$35)*(1-Assumptions!$B$49)</f>
        <v/>
      </c>
      <c r="AA87" s="31">
        <f>IF(A87=Assumptions!$B$58,Ops!$B$23,0)+IF(A87=Assumptions!$B$59,Ops!$C$23,0)</f>
        <v/>
      </c>
      <c r="AB87" s="21">
        <f>-O87+X87+Y87+Z87+AA87</f>
        <v/>
      </c>
      <c r="AC87" s="21">
        <f>AB87+S87-V87</f>
        <v/>
      </c>
    </row>
    <row r="88">
      <c r="A88" s="42" t="n">
        <v>83</v>
      </c>
      <c r="B88" s="43">
        <f>EDATE(Assumptions!$B$7,A88-1)</f>
        <v/>
      </c>
      <c r="C88" s="30">
        <f>IF(A88&lt;Assumptions!$B$9,"Pre-dev",IF(A88&lt;$AE$2,"Construction",IF(A88&lt;=Assumptions!$B$59,"Lease-up / exit","Tail")))</f>
        <v/>
      </c>
      <c r="D88" s="42">
        <f>IF(AND(A88&gt;=Assumptions!$B$9,A88&lt;$AE$2),(A88-Assumptions!$B$9+1)*($AE$2-A88),0)</f>
        <v/>
      </c>
      <c r="E88" s="44">
        <f>IFERROR(D88/$AE$6,0)</f>
        <v/>
      </c>
      <c r="F88" s="21">
        <f>IF(A88=1,DevBudget!$B$5,0)</f>
        <v/>
      </c>
      <c r="G88" s="21">
        <f>E88*DevBudget!$B$6</f>
        <v/>
      </c>
      <c r="H88" s="21">
        <f>E88*DevBudget!$B$7</f>
        <v/>
      </c>
      <c r="I88" s="21">
        <f>E88*DevBudget!$B$8</f>
        <v/>
      </c>
      <c r="J88" s="21">
        <f>E88*(DevBudget!$B$9+DevBudget!$B$10)</f>
        <v/>
      </c>
      <c r="K88" s="21">
        <f>E88*DevBudget!$B$12</f>
        <v/>
      </c>
      <c r="L88" s="21">
        <f>E88*DevBudget!$B$13</f>
        <v/>
      </c>
      <c r="M88" s="21">
        <f>IF(A88=Assumptions!$B$9,Assumptions!$B$69+Assumptions!$B$72,0)+IF(A88=$AE$4,Assumptions!$B$70+Assumptions!$B$71+Assumptions!$B$73,0)</f>
        <v/>
      </c>
      <c r="N88" s="21">
        <f>E88*DevBudget!$B$16</f>
        <v/>
      </c>
      <c r="O88" s="21">
        <f>SUM(F88:N88)</f>
        <v/>
      </c>
      <c r="P88" s="21">
        <f>P87+O88</f>
        <v/>
      </c>
      <c r="Q88" s="21">
        <f>MIN(O88,MAX(0,DevBudget!$B$19-R87))</f>
        <v/>
      </c>
      <c r="R88" s="21">
        <f>R87+Q88</f>
        <v/>
      </c>
      <c r="S88" s="21">
        <f>MIN(MAX(0,O88-Q88),MAX(0,Assumptions!$B$24-T88-U88))</f>
        <v/>
      </c>
      <c r="T88" s="21">
        <f>W87</f>
        <v/>
      </c>
      <c r="U88" s="21">
        <f>T88*Assumptions!$B$25/12</f>
        <v/>
      </c>
      <c r="V88" s="21">
        <f>MIN(T88+U88+S88,MAX(0,Z88+AA88))</f>
        <v/>
      </c>
      <c r="W88" s="21">
        <f>T88+S88+U88-V88</f>
        <v/>
      </c>
      <c r="X88" s="21">
        <f>IF(AND(A88&gt;=$AE$2,A88&lt;=Assumptions!$B$58),(MIN(Program!$D$5,MAX(0,(A88-$AE$2+1)*Assumptions!$B$39))*Assumptions!$B$29*(1+Assumptions!$B$31)*(1-Assumptions!$B$32)+Program!$D$9*Assumptions!$B$43*Assumptions!$B$44/12+Program!$D$5*Assumptions!$B$35*Assumptions!$B$34-Program!$D$5*Assumptions!$B$33/12-Assumptions!$B$36*Assumptions!$B$38/12),0)</f>
        <v/>
      </c>
      <c r="Y88" s="21">
        <f>IF(AND(A88&gt;=$AE$4,A88&lt;=Assumptions!$B$59),(MIN(Program!$C$5,MAX(0,(A88-$AE$4+1)*Assumptions!$B$39))*Assumptions!$B$30*(1+Assumptions!$B$31)*(1-Assumptions!$B$32)+Program!$C$9*Assumptions!$B$43*Assumptions!$B$44/12+Program!$C$5*Assumptions!$B$35*Assumptions!$B$34-Program!$C$5*Assumptions!$B$33/12-Assumptions!$B$37*Assumptions!$B$38/12),0)</f>
        <v/>
      </c>
      <c r="Z88" s="31">
        <f>SUMIF(Sellout!$A$6:$A$35,A88,Sellout!$D$6:$D$35)*(1-Assumptions!$B$49)</f>
        <v/>
      </c>
      <c r="AA88" s="31">
        <f>IF(A88=Assumptions!$B$58,Ops!$B$23,0)+IF(A88=Assumptions!$B$59,Ops!$C$23,0)</f>
        <v/>
      </c>
      <c r="AB88" s="21">
        <f>-O88+X88+Y88+Z88+AA88</f>
        <v/>
      </c>
      <c r="AC88" s="21">
        <f>AB88+S88-V88</f>
        <v/>
      </c>
    </row>
    <row r="89">
      <c r="A89" s="42" t="n">
        <v>84</v>
      </c>
      <c r="B89" s="43">
        <f>EDATE(Assumptions!$B$7,A89-1)</f>
        <v/>
      </c>
      <c r="C89" s="30">
        <f>IF(A89&lt;Assumptions!$B$9,"Pre-dev",IF(A89&lt;$AE$2,"Construction",IF(A89&lt;=Assumptions!$B$59,"Lease-up / exit","Tail")))</f>
        <v/>
      </c>
      <c r="D89" s="42">
        <f>IF(AND(A89&gt;=Assumptions!$B$9,A89&lt;$AE$2),(A89-Assumptions!$B$9+1)*($AE$2-A89),0)</f>
        <v/>
      </c>
      <c r="E89" s="44">
        <f>IFERROR(D89/$AE$6,0)</f>
        <v/>
      </c>
      <c r="F89" s="21">
        <f>IF(A89=1,DevBudget!$B$5,0)</f>
        <v/>
      </c>
      <c r="G89" s="21">
        <f>E89*DevBudget!$B$6</f>
        <v/>
      </c>
      <c r="H89" s="21">
        <f>E89*DevBudget!$B$7</f>
        <v/>
      </c>
      <c r="I89" s="21">
        <f>E89*DevBudget!$B$8</f>
        <v/>
      </c>
      <c r="J89" s="21">
        <f>E89*(DevBudget!$B$9+DevBudget!$B$10)</f>
        <v/>
      </c>
      <c r="K89" s="21">
        <f>E89*DevBudget!$B$12</f>
        <v/>
      </c>
      <c r="L89" s="21">
        <f>E89*DevBudget!$B$13</f>
        <v/>
      </c>
      <c r="M89" s="21">
        <f>IF(A89=Assumptions!$B$9,Assumptions!$B$69+Assumptions!$B$72,0)+IF(A89=$AE$4,Assumptions!$B$70+Assumptions!$B$71+Assumptions!$B$73,0)</f>
        <v/>
      </c>
      <c r="N89" s="21">
        <f>E89*DevBudget!$B$16</f>
        <v/>
      </c>
      <c r="O89" s="21">
        <f>SUM(F89:N89)</f>
        <v/>
      </c>
      <c r="P89" s="21">
        <f>P88+O89</f>
        <v/>
      </c>
      <c r="Q89" s="21">
        <f>MIN(O89,MAX(0,DevBudget!$B$19-R88))</f>
        <v/>
      </c>
      <c r="R89" s="21">
        <f>R88+Q89</f>
        <v/>
      </c>
      <c r="S89" s="21">
        <f>MIN(MAX(0,O89-Q89),MAX(0,Assumptions!$B$24-T89-U89))</f>
        <v/>
      </c>
      <c r="T89" s="21">
        <f>W88</f>
        <v/>
      </c>
      <c r="U89" s="21">
        <f>T89*Assumptions!$B$25/12</f>
        <v/>
      </c>
      <c r="V89" s="21">
        <f>MIN(T89+U89+S89,MAX(0,Z89+AA89))</f>
        <v/>
      </c>
      <c r="W89" s="21">
        <f>T89+S89+U89-V89</f>
        <v/>
      </c>
      <c r="X89" s="21">
        <f>IF(AND(A89&gt;=$AE$2,A89&lt;=Assumptions!$B$58),(MIN(Program!$D$5,MAX(0,(A89-$AE$2+1)*Assumptions!$B$39))*Assumptions!$B$29*(1+Assumptions!$B$31)*(1-Assumptions!$B$32)+Program!$D$9*Assumptions!$B$43*Assumptions!$B$44/12+Program!$D$5*Assumptions!$B$35*Assumptions!$B$34-Program!$D$5*Assumptions!$B$33/12-Assumptions!$B$36*Assumptions!$B$38/12),0)</f>
        <v/>
      </c>
      <c r="Y89" s="21">
        <f>IF(AND(A89&gt;=$AE$4,A89&lt;=Assumptions!$B$59),(MIN(Program!$C$5,MAX(0,(A89-$AE$4+1)*Assumptions!$B$39))*Assumptions!$B$30*(1+Assumptions!$B$31)*(1-Assumptions!$B$32)+Program!$C$9*Assumptions!$B$43*Assumptions!$B$44/12+Program!$C$5*Assumptions!$B$35*Assumptions!$B$34-Program!$C$5*Assumptions!$B$33/12-Assumptions!$B$37*Assumptions!$B$38/12),0)</f>
        <v/>
      </c>
      <c r="Z89" s="31">
        <f>SUMIF(Sellout!$A$6:$A$35,A89,Sellout!$D$6:$D$35)*(1-Assumptions!$B$49)</f>
        <v/>
      </c>
      <c r="AA89" s="31">
        <f>IF(A89=Assumptions!$B$58,Ops!$B$23,0)+IF(A89=Assumptions!$B$59,Ops!$C$23,0)</f>
        <v/>
      </c>
      <c r="AB89" s="21">
        <f>-O89+X89+Y89+Z89+AA89</f>
        <v/>
      </c>
      <c r="AC89" s="21">
        <f>AB89+S89-V89</f>
        <v/>
      </c>
    </row>
    <row r="90">
      <c r="A90" s="42" t="n">
        <v>85</v>
      </c>
      <c r="B90" s="43">
        <f>EDATE(Assumptions!$B$7,A90-1)</f>
        <v/>
      </c>
      <c r="C90" s="30">
        <f>IF(A90&lt;Assumptions!$B$9,"Pre-dev",IF(A90&lt;$AE$2,"Construction",IF(A90&lt;=Assumptions!$B$59,"Lease-up / exit","Tail")))</f>
        <v/>
      </c>
      <c r="D90" s="42">
        <f>IF(AND(A90&gt;=Assumptions!$B$9,A90&lt;$AE$2),(A90-Assumptions!$B$9+1)*($AE$2-A90),0)</f>
        <v/>
      </c>
      <c r="E90" s="44">
        <f>IFERROR(D90/$AE$6,0)</f>
        <v/>
      </c>
      <c r="F90" s="21">
        <f>IF(A90=1,DevBudget!$B$5,0)</f>
        <v/>
      </c>
      <c r="G90" s="21">
        <f>E90*DevBudget!$B$6</f>
        <v/>
      </c>
      <c r="H90" s="21">
        <f>E90*DevBudget!$B$7</f>
        <v/>
      </c>
      <c r="I90" s="21">
        <f>E90*DevBudget!$B$8</f>
        <v/>
      </c>
      <c r="J90" s="21">
        <f>E90*(DevBudget!$B$9+DevBudget!$B$10)</f>
        <v/>
      </c>
      <c r="K90" s="21">
        <f>E90*DevBudget!$B$12</f>
        <v/>
      </c>
      <c r="L90" s="21">
        <f>E90*DevBudget!$B$13</f>
        <v/>
      </c>
      <c r="M90" s="21">
        <f>IF(A90=Assumptions!$B$9,Assumptions!$B$69+Assumptions!$B$72,0)+IF(A90=$AE$4,Assumptions!$B$70+Assumptions!$B$71+Assumptions!$B$73,0)</f>
        <v/>
      </c>
      <c r="N90" s="21">
        <f>E90*DevBudget!$B$16</f>
        <v/>
      </c>
      <c r="O90" s="21">
        <f>SUM(F90:N90)</f>
        <v/>
      </c>
      <c r="P90" s="21">
        <f>P89+O90</f>
        <v/>
      </c>
      <c r="Q90" s="21">
        <f>MIN(O90,MAX(0,DevBudget!$B$19-R89))</f>
        <v/>
      </c>
      <c r="R90" s="21">
        <f>R89+Q90</f>
        <v/>
      </c>
      <c r="S90" s="21">
        <f>MIN(MAX(0,O90-Q90),MAX(0,Assumptions!$B$24-T90-U90))</f>
        <v/>
      </c>
      <c r="T90" s="21">
        <f>W89</f>
        <v/>
      </c>
      <c r="U90" s="21">
        <f>T90*Assumptions!$B$25/12</f>
        <v/>
      </c>
      <c r="V90" s="21">
        <f>MIN(T90+U90+S90,MAX(0,Z90+AA90))</f>
        <v/>
      </c>
      <c r="W90" s="21">
        <f>T90+S90+U90-V90</f>
        <v/>
      </c>
      <c r="X90" s="21">
        <f>IF(AND(A90&gt;=$AE$2,A90&lt;=Assumptions!$B$58),(MIN(Program!$D$5,MAX(0,(A90-$AE$2+1)*Assumptions!$B$39))*Assumptions!$B$29*(1+Assumptions!$B$31)*(1-Assumptions!$B$32)+Program!$D$9*Assumptions!$B$43*Assumptions!$B$44/12+Program!$D$5*Assumptions!$B$35*Assumptions!$B$34-Program!$D$5*Assumptions!$B$33/12-Assumptions!$B$36*Assumptions!$B$38/12),0)</f>
        <v/>
      </c>
      <c r="Y90" s="21">
        <f>IF(AND(A90&gt;=$AE$4,A90&lt;=Assumptions!$B$59),(MIN(Program!$C$5,MAX(0,(A90-$AE$4+1)*Assumptions!$B$39))*Assumptions!$B$30*(1+Assumptions!$B$31)*(1-Assumptions!$B$32)+Program!$C$9*Assumptions!$B$43*Assumptions!$B$44/12+Program!$C$5*Assumptions!$B$35*Assumptions!$B$34-Program!$C$5*Assumptions!$B$33/12-Assumptions!$B$37*Assumptions!$B$38/12),0)</f>
        <v/>
      </c>
      <c r="Z90" s="31">
        <f>SUMIF(Sellout!$A$6:$A$35,A90,Sellout!$D$6:$D$35)*(1-Assumptions!$B$49)</f>
        <v/>
      </c>
      <c r="AA90" s="31">
        <f>IF(A90=Assumptions!$B$58,Ops!$B$23,0)+IF(A90=Assumptions!$B$59,Ops!$C$23,0)</f>
        <v/>
      </c>
      <c r="AB90" s="21">
        <f>-O90+X90+Y90+Z90+AA90</f>
        <v/>
      </c>
      <c r="AC90" s="21">
        <f>AB90+S90-V90</f>
        <v/>
      </c>
    </row>
    <row r="91">
      <c r="A91" s="42" t="n">
        <v>86</v>
      </c>
      <c r="B91" s="43">
        <f>EDATE(Assumptions!$B$7,A91-1)</f>
        <v/>
      </c>
      <c r="C91" s="30">
        <f>IF(A91&lt;Assumptions!$B$9,"Pre-dev",IF(A91&lt;$AE$2,"Construction",IF(A91&lt;=Assumptions!$B$59,"Lease-up / exit","Tail")))</f>
        <v/>
      </c>
      <c r="D91" s="42">
        <f>IF(AND(A91&gt;=Assumptions!$B$9,A91&lt;$AE$2),(A91-Assumptions!$B$9+1)*($AE$2-A91),0)</f>
        <v/>
      </c>
      <c r="E91" s="44">
        <f>IFERROR(D91/$AE$6,0)</f>
        <v/>
      </c>
      <c r="F91" s="21">
        <f>IF(A91=1,DevBudget!$B$5,0)</f>
        <v/>
      </c>
      <c r="G91" s="21">
        <f>E91*DevBudget!$B$6</f>
        <v/>
      </c>
      <c r="H91" s="21">
        <f>E91*DevBudget!$B$7</f>
        <v/>
      </c>
      <c r="I91" s="21">
        <f>E91*DevBudget!$B$8</f>
        <v/>
      </c>
      <c r="J91" s="21">
        <f>E91*(DevBudget!$B$9+DevBudget!$B$10)</f>
        <v/>
      </c>
      <c r="K91" s="21">
        <f>E91*DevBudget!$B$12</f>
        <v/>
      </c>
      <c r="L91" s="21">
        <f>E91*DevBudget!$B$13</f>
        <v/>
      </c>
      <c r="M91" s="21">
        <f>IF(A91=Assumptions!$B$9,Assumptions!$B$69+Assumptions!$B$72,0)+IF(A91=$AE$4,Assumptions!$B$70+Assumptions!$B$71+Assumptions!$B$73,0)</f>
        <v/>
      </c>
      <c r="N91" s="21">
        <f>E91*DevBudget!$B$16</f>
        <v/>
      </c>
      <c r="O91" s="21">
        <f>SUM(F91:N91)</f>
        <v/>
      </c>
      <c r="P91" s="21">
        <f>P90+O91</f>
        <v/>
      </c>
      <c r="Q91" s="21">
        <f>MIN(O91,MAX(0,DevBudget!$B$19-R90))</f>
        <v/>
      </c>
      <c r="R91" s="21">
        <f>R90+Q91</f>
        <v/>
      </c>
      <c r="S91" s="21">
        <f>MIN(MAX(0,O91-Q91),MAX(0,Assumptions!$B$24-T91-U91))</f>
        <v/>
      </c>
      <c r="T91" s="21">
        <f>W90</f>
        <v/>
      </c>
      <c r="U91" s="21">
        <f>T91*Assumptions!$B$25/12</f>
        <v/>
      </c>
      <c r="V91" s="21">
        <f>MIN(T91+U91+S91,MAX(0,Z91+AA91))</f>
        <v/>
      </c>
      <c r="W91" s="21">
        <f>T91+S91+U91-V91</f>
        <v/>
      </c>
      <c r="X91" s="21">
        <f>IF(AND(A91&gt;=$AE$2,A91&lt;=Assumptions!$B$58),(MIN(Program!$D$5,MAX(0,(A91-$AE$2+1)*Assumptions!$B$39))*Assumptions!$B$29*(1+Assumptions!$B$31)*(1-Assumptions!$B$32)+Program!$D$9*Assumptions!$B$43*Assumptions!$B$44/12+Program!$D$5*Assumptions!$B$35*Assumptions!$B$34-Program!$D$5*Assumptions!$B$33/12-Assumptions!$B$36*Assumptions!$B$38/12),0)</f>
        <v/>
      </c>
      <c r="Y91" s="21">
        <f>IF(AND(A91&gt;=$AE$4,A91&lt;=Assumptions!$B$59),(MIN(Program!$C$5,MAX(0,(A91-$AE$4+1)*Assumptions!$B$39))*Assumptions!$B$30*(1+Assumptions!$B$31)*(1-Assumptions!$B$32)+Program!$C$9*Assumptions!$B$43*Assumptions!$B$44/12+Program!$C$5*Assumptions!$B$35*Assumptions!$B$34-Program!$C$5*Assumptions!$B$33/12-Assumptions!$B$37*Assumptions!$B$38/12),0)</f>
        <v/>
      </c>
      <c r="Z91" s="31">
        <f>SUMIF(Sellout!$A$6:$A$35,A91,Sellout!$D$6:$D$35)*(1-Assumptions!$B$49)</f>
        <v/>
      </c>
      <c r="AA91" s="31">
        <f>IF(A91=Assumptions!$B$58,Ops!$B$23,0)+IF(A91=Assumptions!$B$59,Ops!$C$23,0)</f>
        <v/>
      </c>
      <c r="AB91" s="21">
        <f>-O91+X91+Y91+Z91+AA91</f>
        <v/>
      </c>
      <c r="AC91" s="21">
        <f>AB91+S91-V91</f>
        <v/>
      </c>
    </row>
    <row r="92">
      <c r="A92" s="42" t="n">
        <v>87</v>
      </c>
      <c r="B92" s="43">
        <f>EDATE(Assumptions!$B$7,A92-1)</f>
        <v/>
      </c>
      <c r="C92" s="30">
        <f>IF(A92&lt;Assumptions!$B$9,"Pre-dev",IF(A92&lt;$AE$2,"Construction",IF(A92&lt;=Assumptions!$B$59,"Lease-up / exit","Tail")))</f>
        <v/>
      </c>
      <c r="D92" s="42">
        <f>IF(AND(A92&gt;=Assumptions!$B$9,A92&lt;$AE$2),(A92-Assumptions!$B$9+1)*($AE$2-A92),0)</f>
        <v/>
      </c>
      <c r="E92" s="44">
        <f>IFERROR(D92/$AE$6,0)</f>
        <v/>
      </c>
      <c r="F92" s="21">
        <f>IF(A92=1,DevBudget!$B$5,0)</f>
        <v/>
      </c>
      <c r="G92" s="21">
        <f>E92*DevBudget!$B$6</f>
        <v/>
      </c>
      <c r="H92" s="21">
        <f>E92*DevBudget!$B$7</f>
        <v/>
      </c>
      <c r="I92" s="21">
        <f>E92*DevBudget!$B$8</f>
        <v/>
      </c>
      <c r="J92" s="21">
        <f>E92*(DevBudget!$B$9+DevBudget!$B$10)</f>
        <v/>
      </c>
      <c r="K92" s="21">
        <f>E92*DevBudget!$B$12</f>
        <v/>
      </c>
      <c r="L92" s="21">
        <f>E92*DevBudget!$B$13</f>
        <v/>
      </c>
      <c r="M92" s="21">
        <f>IF(A92=Assumptions!$B$9,Assumptions!$B$69+Assumptions!$B$72,0)+IF(A92=$AE$4,Assumptions!$B$70+Assumptions!$B$71+Assumptions!$B$73,0)</f>
        <v/>
      </c>
      <c r="N92" s="21">
        <f>E92*DevBudget!$B$16</f>
        <v/>
      </c>
      <c r="O92" s="21">
        <f>SUM(F92:N92)</f>
        <v/>
      </c>
      <c r="P92" s="21">
        <f>P91+O92</f>
        <v/>
      </c>
      <c r="Q92" s="21">
        <f>MIN(O92,MAX(0,DevBudget!$B$19-R91))</f>
        <v/>
      </c>
      <c r="R92" s="21">
        <f>R91+Q92</f>
        <v/>
      </c>
      <c r="S92" s="21">
        <f>MIN(MAX(0,O92-Q92),MAX(0,Assumptions!$B$24-T92-U92))</f>
        <v/>
      </c>
      <c r="T92" s="21">
        <f>W91</f>
        <v/>
      </c>
      <c r="U92" s="21">
        <f>T92*Assumptions!$B$25/12</f>
        <v/>
      </c>
      <c r="V92" s="21">
        <f>MIN(T92+U92+S92,MAX(0,Z92+AA92))</f>
        <v/>
      </c>
      <c r="W92" s="21">
        <f>T92+S92+U92-V92</f>
        <v/>
      </c>
      <c r="X92" s="21">
        <f>IF(AND(A92&gt;=$AE$2,A92&lt;=Assumptions!$B$58),(MIN(Program!$D$5,MAX(0,(A92-$AE$2+1)*Assumptions!$B$39))*Assumptions!$B$29*(1+Assumptions!$B$31)*(1-Assumptions!$B$32)+Program!$D$9*Assumptions!$B$43*Assumptions!$B$44/12+Program!$D$5*Assumptions!$B$35*Assumptions!$B$34-Program!$D$5*Assumptions!$B$33/12-Assumptions!$B$36*Assumptions!$B$38/12),0)</f>
        <v/>
      </c>
      <c r="Y92" s="21">
        <f>IF(AND(A92&gt;=$AE$4,A92&lt;=Assumptions!$B$59),(MIN(Program!$C$5,MAX(0,(A92-$AE$4+1)*Assumptions!$B$39))*Assumptions!$B$30*(1+Assumptions!$B$31)*(1-Assumptions!$B$32)+Program!$C$9*Assumptions!$B$43*Assumptions!$B$44/12+Program!$C$5*Assumptions!$B$35*Assumptions!$B$34-Program!$C$5*Assumptions!$B$33/12-Assumptions!$B$37*Assumptions!$B$38/12),0)</f>
        <v/>
      </c>
      <c r="Z92" s="31">
        <f>SUMIF(Sellout!$A$6:$A$35,A92,Sellout!$D$6:$D$35)*(1-Assumptions!$B$49)</f>
        <v/>
      </c>
      <c r="AA92" s="31">
        <f>IF(A92=Assumptions!$B$58,Ops!$B$23,0)+IF(A92=Assumptions!$B$59,Ops!$C$23,0)</f>
        <v/>
      </c>
      <c r="AB92" s="21">
        <f>-O92+X92+Y92+Z92+AA92</f>
        <v/>
      </c>
      <c r="AC92" s="21">
        <f>AB92+S92-V92</f>
        <v/>
      </c>
    </row>
    <row r="93">
      <c r="A93" s="42" t="n">
        <v>88</v>
      </c>
      <c r="B93" s="43">
        <f>EDATE(Assumptions!$B$7,A93-1)</f>
        <v/>
      </c>
      <c r="C93" s="30">
        <f>IF(A93&lt;Assumptions!$B$9,"Pre-dev",IF(A93&lt;$AE$2,"Construction",IF(A93&lt;=Assumptions!$B$59,"Lease-up / exit","Tail")))</f>
        <v/>
      </c>
      <c r="D93" s="42">
        <f>IF(AND(A93&gt;=Assumptions!$B$9,A93&lt;$AE$2),(A93-Assumptions!$B$9+1)*($AE$2-A93),0)</f>
        <v/>
      </c>
      <c r="E93" s="44">
        <f>IFERROR(D93/$AE$6,0)</f>
        <v/>
      </c>
      <c r="F93" s="21">
        <f>IF(A93=1,DevBudget!$B$5,0)</f>
        <v/>
      </c>
      <c r="G93" s="21">
        <f>E93*DevBudget!$B$6</f>
        <v/>
      </c>
      <c r="H93" s="21">
        <f>E93*DevBudget!$B$7</f>
        <v/>
      </c>
      <c r="I93" s="21">
        <f>E93*DevBudget!$B$8</f>
        <v/>
      </c>
      <c r="J93" s="21">
        <f>E93*(DevBudget!$B$9+DevBudget!$B$10)</f>
        <v/>
      </c>
      <c r="K93" s="21">
        <f>E93*DevBudget!$B$12</f>
        <v/>
      </c>
      <c r="L93" s="21">
        <f>E93*DevBudget!$B$13</f>
        <v/>
      </c>
      <c r="M93" s="21">
        <f>IF(A93=Assumptions!$B$9,Assumptions!$B$69+Assumptions!$B$72,0)+IF(A93=$AE$4,Assumptions!$B$70+Assumptions!$B$71+Assumptions!$B$73,0)</f>
        <v/>
      </c>
      <c r="N93" s="21">
        <f>E93*DevBudget!$B$16</f>
        <v/>
      </c>
      <c r="O93" s="21">
        <f>SUM(F93:N93)</f>
        <v/>
      </c>
      <c r="P93" s="21">
        <f>P92+O93</f>
        <v/>
      </c>
      <c r="Q93" s="21">
        <f>MIN(O93,MAX(0,DevBudget!$B$19-R92))</f>
        <v/>
      </c>
      <c r="R93" s="21">
        <f>R92+Q93</f>
        <v/>
      </c>
      <c r="S93" s="21">
        <f>MIN(MAX(0,O93-Q93),MAX(0,Assumptions!$B$24-T93-U93))</f>
        <v/>
      </c>
      <c r="T93" s="21">
        <f>W92</f>
        <v/>
      </c>
      <c r="U93" s="21">
        <f>T93*Assumptions!$B$25/12</f>
        <v/>
      </c>
      <c r="V93" s="21">
        <f>MIN(T93+U93+S93,MAX(0,Z93+AA93))</f>
        <v/>
      </c>
      <c r="W93" s="21">
        <f>T93+S93+U93-V93</f>
        <v/>
      </c>
      <c r="X93" s="21">
        <f>IF(AND(A93&gt;=$AE$2,A93&lt;=Assumptions!$B$58),(MIN(Program!$D$5,MAX(0,(A93-$AE$2+1)*Assumptions!$B$39))*Assumptions!$B$29*(1+Assumptions!$B$31)*(1-Assumptions!$B$32)+Program!$D$9*Assumptions!$B$43*Assumptions!$B$44/12+Program!$D$5*Assumptions!$B$35*Assumptions!$B$34-Program!$D$5*Assumptions!$B$33/12-Assumptions!$B$36*Assumptions!$B$38/12),0)</f>
        <v/>
      </c>
      <c r="Y93" s="21">
        <f>IF(AND(A93&gt;=$AE$4,A93&lt;=Assumptions!$B$59),(MIN(Program!$C$5,MAX(0,(A93-$AE$4+1)*Assumptions!$B$39))*Assumptions!$B$30*(1+Assumptions!$B$31)*(1-Assumptions!$B$32)+Program!$C$9*Assumptions!$B$43*Assumptions!$B$44/12+Program!$C$5*Assumptions!$B$35*Assumptions!$B$34-Program!$C$5*Assumptions!$B$33/12-Assumptions!$B$37*Assumptions!$B$38/12),0)</f>
        <v/>
      </c>
      <c r="Z93" s="31">
        <f>SUMIF(Sellout!$A$6:$A$35,A93,Sellout!$D$6:$D$35)*(1-Assumptions!$B$49)</f>
        <v/>
      </c>
      <c r="AA93" s="31">
        <f>IF(A93=Assumptions!$B$58,Ops!$B$23,0)+IF(A93=Assumptions!$B$59,Ops!$C$23,0)</f>
        <v/>
      </c>
      <c r="AB93" s="21">
        <f>-O93+X93+Y93+Z93+AA93</f>
        <v/>
      </c>
      <c r="AC93" s="21">
        <f>AB93+S93-V93</f>
        <v/>
      </c>
    </row>
    <row r="94">
      <c r="A94" s="42" t="n">
        <v>89</v>
      </c>
      <c r="B94" s="43">
        <f>EDATE(Assumptions!$B$7,A94-1)</f>
        <v/>
      </c>
      <c r="C94" s="30">
        <f>IF(A94&lt;Assumptions!$B$9,"Pre-dev",IF(A94&lt;$AE$2,"Construction",IF(A94&lt;=Assumptions!$B$59,"Lease-up / exit","Tail")))</f>
        <v/>
      </c>
      <c r="D94" s="42">
        <f>IF(AND(A94&gt;=Assumptions!$B$9,A94&lt;$AE$2),(A94-Assumptions!$B$9+1)*($AE$2-A94),0)</f>
        <v/>
      </c>
      <c r="E94" s="44">
        <f>IFERROR(D94/$AE$6,0)</f>
        <v/>
      </c>
      <c r="F94" s="21">
        <f>IF(A94=1,DevBudget!$B$5,0)</f>
        <v/>
      </c>
      <c r="G94" s="21">
        <f>E94*DevBudget!$B$6</f>
        <v/>
      </c>
      <c r="H94" s="21">
        <f>E94*DevBudget!$B$7</f>
        <v/>
      </c>
      <c r="I94" s="21">
        <f>E94*DevBudget!$B$8</f>
        <v/>
      </c>
      <c r="J94" s="21">
        <f>E94*(DevBudget!$B$9+DevBudget!$B$10)</f>
        <v/>
      </c>
      <c r="K94" s="21">
        <f>E94*DevBudget!$B$12</f>
        <v/>
      </c>
      <c r="L94" s="21">
        <f>E94*DevBudget!$B$13</f>
        <v/>
      </c>
      <c r="M94" s="21">
        <f>IF(A94=Assumptions!$B$9,Assumptions!$B$69+Assumptions!$B$72,0)+IF(A94=$AE$4,Assumptions!$B$70+Assumptions!$B$71+Assumptions!$B$73,0)</f>
        <v/>
      </c>
      <c r="N94" s="21">
        <f>E94*DevBudget!$B$16</f>
        <v/>
      </c>
      <c r="O94" s="21">
        <f>SUM(F94:N94)</f>
        <v/>
      </c>
      <c r="P94" s="21">
        <f>P93+O94</f>
        <v/>
      </c>
      <c r="Q94" s="21">
        <f>MIN(O94,MAX(0,DevBudget!$B$19-R93))</f>
        <v/>
      </c>
      <c r="R94" s="21">
        <f>R93+Q94</f>
        <v/>
      </c>
      <c r="S94" s="21">
        <f>MIN(MAX(0,O94-Q94),MAX(0,Assumptions!$B$24-T94-U94))</f>
        <v/>
      </c>
      <c r="T94" s="21">
        <f>W93</f>
        <v/>
      </c>
      <c r="U94" s="21">
        <f>T94*Assumptions!$B$25/12</f>
        <v/>
      </c>
      <c r="V94" s="21">
        <f>MIN(T94+U94+S94,MAX(0,Z94+AA94))</f>
        <v/>
      </c>
      <c r="W94" s="21">
        <f>T94+S94+U94-V94</f>
        <v/>
      </c>
      <c r="X94" s="21">
        <f>IF(AND(A94&gt;=$AE$2,A94&lt;=Assumptions!$B$58),(MIN(Program!$D$5,MAX(0,(A94-$AE$2+1)*Assumptions!$B$39))*Assumptions!$B$29*(1+Assumptions!$B$31)*(1-Assumptions!$B$32)+Program!$D$9*Assumptions!$B$43*Assumptions!$B$44/12+Program!$D$5*Assumptions!$B$35*Assumptions!$B$34-Program!$D$5*Assumptions!$B$33/12-Assumptions!$B$36*Assumptions!$B$38/12),0)</f>
        <v/>
      </c>
      <c r="Y94" s="21">
        <f>IF(AND(A94&gt;=$AE$4,A94&lt;=Assumptions!$B$59),(MIN(Program!$C$5,MAX(0,(A94-$AE$4+1)*Assumptions!$B$39))*Assumptions!$B$30*(1+Assumptions!$B$31)*(1-Assumptions!$B$32)+Program!$C$9*Assumptions!$B$43*Assumptions!$B$44/12+Program!$C$5*Assumptions!$B$35*Assumptions!$B$34-Program!$C$5*Assumptions!$B$33/12-Assumptions!$B$37*Assumptions!$B$38/12),0)</f>
        <v/>
      </c>
      <c r="Z94" s="31">
        <f>SUMIF(Sellout!$A$6:$A$35,A94,Sellout!$D$6:$D$35)*(1-Assumptions!$B$49)</f>
        <v/>
      </c>
      <c r="AA94" s="31">
        <f>IF(A94=Assumptions!$B$58,Ops!$B$23,0)+IF(A94=Assumptions!$B$59,Ops!$C$23,0)</f>
        <v/>
      </c>
      <c r="AB94" s="21">
        <f>-O94+X94+Y94+Z94+AA94</f>
        <v/>
      </c>
      <c r="AC94" s="21">
        <f>AB94+S94-V94</f>
        <v/>
      </c>
    </row>
    <row r="95">
      <c r="A95" s="42" t="n">
        <v>90</v>
      </c>
      <c r="B95" s="43">
        <f>EDATE(Assumptions!$B$7,A95-1)</f>
        <v/>
      </c>
      <c r="C95" s="30">
        <f>IF(A95&lt;Assumptions!$B$9,"Pre-dev",IF(A95&lt;$AE$2,"Construction",IF(A95&lt;=Assumptions!$B$59,"Lease-up / exit","Tail")))</f>
        <v/>
      </c>
      <c r="D95" s="42">
        <f>IF(AND(A95&gt;=Assumptions!$B$9,A95&lt;$AE$2),(A95-Assumptions!$B$9+1)*($AE$2-A95),0)</f>
        <v/>
      </c>
      <c r="E95" s="44">
        <f>IFERROR(D95/$AE$6,0)</f>
        <v/>
      </c>
      <c r="F95" s="21">
        <f>IF(A95=1,DevBudget!$B$5,0)</f>
        <v/>
      </c>
      <c r="G95" s="21">
        <f>E95*DevBudget!$B$6</f>
        <v/>
      </c>
      <c r="H95" s="21">
        <f>E95*DevBudget!$B$7</f>
        <v/>
      </c>
      <c r="I95" s="21">
        <f>E95*DevBudget!$B$8</f>
        <v/>
      </c>
      <c r="J95" s="21">
        <f>E95*(DevBudget!$B$9+DevBudget!$B$10)</f>
        <v/>
      </c>
      <c r="K95" s="21">
        <f>E95*DevBudget!$B$12</f>
        <v/>
      </c>
      <c r="L95" s="21">
        <f>E95*DevBudget!$B$13</f>
        <v/>
      </c>
      <c r="M95" s="21">
        <f>IF(A95=Assumptions!$B$9,Assumptions!$B$69+Assumptions!$B$72,0)+IF(A95=$AE$4,Assumptions!$B$70+Assumptions!$B$71+Assumptions!$B$73,0)</f>
        <v/>
      </c>
      <c r="N95" s="21">
        <f>E95*DevBudget!$B$16</f>
        <v/>
      </c>
      <c r="O95" s="21">
        <f>SUM(F95:N95)</f>
        <v/>
      </c>
      <c r="P95" s="21">
        <f>P94+O95</f>
        <v/>
      </c>
      <c r="Q95" s="21">
        <f>MIN(O95,MAX(0,DevBudget!$B$19-R94))</f>
        <v/>
      </c>
      <c r="R95" s="21">
        <f>R94+Q95</f>
        <v/>
      </c>
      <c r="S95" s="21">
        <f>MIN(MAX(0,O95-Q95),MAX(0,Assumptions!$B$24-T95-U95))</f>
        <v/>
      </c>
      <c r="T95" s="21">
        <f>W94</f>
        <v/>
      </c>
      <c r="U95" s="21">
        <f>T95*Assumptions!$B$25/12</f>
        <v/>
      </c>
      <c r="V95" s="21">
        <f>MIN(T95+U95+S95,MAX(0,Z95+AA95))</f>
        <v/>
      </c>
      <c r="W95" s="21">
        <f>T95+S95+U95-V95</f>
        <v/>
      </c>
      <c r="X95" s="21">
        <f>IF(AND(A95&gt;=$AE$2,A95&lt;=Assumptions!$B$58),(MIN(Program!$D$5,MAX(0,(A95-$AE$2+1)*Assumptions!$B$39))*Assumptions!$B$29*(1+Assumptions!$B$31)*(1-Assumptions!$B$32)+Program!$D$9*Assumptions!$B$43*Assumptions!$B$44/12+Program!$D$5*Assumptions!$B$35*Assumptions!$B$34-Program!$D$5*Assumptions!$B$33/12-Assumptions!$B$36*Assumptions!$B$38/12),0)</f>
        <v/>
      </c>
      <c r="Y95" s="21">
        <f>IF(AND(A95&gt;=$AE$4,A95&lt;=Assumptions!$B$59),(MIN(Program!$C$5,MAX(0,(A95-$AE$4+1)*Assumptions!$B$39))*Assumptions!$B$30*(1+Assumptions!$B$31)*(1-Assumptions!$B$32)+Program!$C$9*Assumptions!$B$43*Assumptions!$B$44/12+Program!$C$5*Assumptions!$B$35*Assumptions!$B$34-Program!$C$5*Assumptions!$B$33/12-Assumptions!$B$37*Assumptions!$B$38/12),0)</f>
        <v/>
      </c>
      <c r="Z95" s="31">
        <f>SUMIF(Sellout!$A$6:$A$35,A95,Sellout!$D$6:$D$35)*(1-Assumptions!$B$49)</f>
        <v/>
      </c>
      <c r="AA95" s="31">
        <f>IF(A95=Assumptions!$B$58,Ops!$B$23,0)+IF(A95=Assumptions!$B$59,Ops!$C$23,0)</f>
        <v/>
      </c>
      <c r="AB95" s="21">
        <f>-O95+X95+Y95+Z95+AA95</f>
        <v/>
      </c>
      <c r="AC95" s="21">
        <f>AB95+S95-V95</f>
        <v/>
      </c>
    </row>
    <row r="96">
      <c r="A96" s="42" t="n">
        <v>91</v>
      </c>
      <c r="B96" s="43">
        <f>EDATE(Assumptions!$B$7,A96-1)</f>
        <v/>
      </c>
      <c r="C96" s="30">
        <f>IF(A96&lt;Assumptions!$B$9,"Pre-dev",IF(A96&lt;$AE$2,"Construction",IF(A96&lt;=Assumptions!$B$59,"Lease-up / exit","Tail")))</f>
        <v/>
      </c>
      <c r="D96" s="42">
        <f>IF(AND(A96&gt;=Assumptions!$B$9,A96&lt;$AE$2),(A96-Assumptions!$B$9+1)*($AE$2-A96),0)</f>
        <v/>
      </c>
      <c r="E96" s="44">
        <f>IFERROR(D96/$AE$6,0)</f>
        <v/>
      </c>
      <c r="F96" s="21">
        <f>IF(A96=1,DevBudget!$B$5,0)</f>
        <v/>
      </c>
      <c r="G96" s="21">
        <f>E96*DevBudget!$B$6</f>
        <v/>
      </c>
      <c r="H96" s="21">
        <f>E96*DevBudget!$B$7</f>
        <v/>
      </c>
      <c r="I96" s="21">
        <f>E96*DevBudget!$B$8</f>
        <v/>
      </c>
      <c r="J96" s="21">
        <f>E96*(DevBudget!$B$9+DevBudget!$B$10)</f>
        <v/>
      </c>
      <c r="K96" s="21">
        <f>E96*DevBudget!$B$12</f>
        <v/>
      </c>
      <c r="L96" s="21">
        <f>E96*DevBudget!$B$13</f>
        <v/>
      </c>
      <c r="M96" s="21">
        <f>IF(A96=Assumptions!$B$9,Assumptions!$B$69+Assumptions!$B$72,0)+IF(A96=$AE$4,Assumptions!$B$70+Assumptions!$B$71+Assumptions!$B$73,0)</f>
        <v/>
      </c>
      <c r="N96" s="21">
        <f>E96*DevBudget!$B$16</f>
        <v/>
      </c>
      <c r="O96" s="21">
        <f>SUM(F96:N96)</f>
        <v/>
      </c>
      <c r="P96" s="21">
        <f>P95+O96</f>
        <v/>
      </c>
      <c r="Q96" s="21">
        <f>MIN(O96,MAX(0,DevBudget!$B$19-R95))</f>
        <v/>
      </c>
      <c r="R96" s="21">
        <f>R95+Q96</f>
        <v/>
      </c>
      <c r="S96" s="21">
        <f>MIN(MAX(0,O96-Q96),MAX(0,Assumptions!$B$24-T96-U96))</f>
        <v/>
      </c>
      <c r="T96" s="21">
        <f>W95</f>
        <v/>
      </c>
      <c r="U96" s="21">
        <f>T96*Assumptions!$B$25/12</f>
        <v/>
      </c>
      <c r="V96" s="21">
        <f>MIN(T96+U96+S96,MAX(0,Z96+AA96))</f>
        <v/>
      </c>
      <c r="W96" s="21">
        <f>T96+S96+U96-V96</f>
        <v/>
      </c>
      <c r="X96" s="21">
        <f>IF(AND(A96&gt;=$AE$2,A96&lt;=Assumptions!$B$58),(MIN(Program!$D$5,MAX(0,(A96-$AE$2+1)*Assumptions!$B$39))*Assumptions!$B$29*(1+Assumptions!$B$31)*(1-Assumptions!$B$32)+Program!$D$9*Assumptions!$B$43*Assumptions!$B$44/12+Program!$D$5*Assumptions!$B$35*Assumptions!$B$34-Program!$D$5*Assumptions!$B$33/12-Assumptions!$B$36*Assumptions!$B$38/12),0)</f>
        <v/>
      </c>
      <c r="Y96" s="21">
        <f>IF(AND(A96&gt;=$AE$4,A96&lt;=Assumptions!$B$59),(MIN(Program!$C$5,MAX(0,(A96-$AE$4+1)*Assumptions!$B$39))*Assumptions!$B$30*(1+Assumptions!$B$31)*(1-Assumptions!$B$32)+Program!$C$9*Assumptions!$B$43*Assumptions!$B$44/12+Program!$C$5*Assumptions!$B$35*Assumptions!$B$34-Program!$C$5*Assumptions!$B$33/12-Assumptions!$B$37*Assumptions!$B$38/12),0)</f>
        <v/>
      </c>
      <c r="Z96" s="31">
        <f>SUMIF(Sellout!$A$6:$A$35,A96,Sellout!$D$6:$D$35)*(1-Assumptions!$B$49)</f>
        <v/>
      </c>
      <c r="AA96" s="31">
        <f>IF(A96=Assumptions!$B$58,Ops!$B$23,0)+IF(A96=Assumptions!$B$59,Ops!$C$23,0)</f>
        <v/>
      </c>
      <c r="AB96" s="21">
        <f>-O96+X96+Y96+Z96+AA96</f>
        <v/>
      </c>
      <c r="AC96" s="21">
        <f>AB96+S96-V96</f>
        <v/>
      </c>
    </row>
    <row r="97">
      <c r="A97" s="42" t="n">
        <v>92</v>
      </c>
      <c r="B97" s="43">
        <f>EDATE(Assumptions!$B$7,A97-1)</f>
        <v/>
      </c>
      <c r="C97" s="30">
        <f>IF(A97&lt;Assumptions!$B$9,"Pre-dev",IF(A97&lt;$AE$2,"Construction",IF(A97&lt;=Assumptions!$B$59,"Lease-up / exit","Tail")))</f>
        <v/>
      </c>
      <c r="D97" s="42">
        <f>IF(AND(A97&gt;=Assumptions!$B$9,A97&lt;$AE$2),(A97-Assumptions!$B$9+1)*($AE$2-A97),0)</f>
        <v/>
      </c>
      <c r="E97" s="44">
        <f>IFERROR(D97/$AE$6,0)</f>
        <v/>
      </c>
      <c r="F97" s="21">
        <f>IF(A97=1,DevBudget!$B$5,0)</f>
        <v/>
      </c>
      <c r="G97" s="21">
        <f>E97*DevBudget!$B$6</f>
        <v/>
      </c>
      <c r="H97" s="21">
        <f>E97*DevBudget!$B$7</f>
        <v/>
      </c>
      <c r="I97" s="21">
        <f>E97*DevBudget!$B$8</f>
        <v/>
      </c>
      <c r="J97" s="21">
        <f>E97*(DevBudget!$B$9+DevBudget!$B$10)</f>
        <v/>
      </c>
      <c r="K97" s="21">
        <f>E97*DevBudget!$B$12</f>
        <v/>
      </c>
      <c r="L97" s="21">
        <f>E97*DevBudget!$B$13</f>
        <v/>
      </c>
      <c r="M97" s="21">
        <f>IF(A97=Assumptions!$B$9,Assumptions!$B$69+Assumptions!$B$72,0)+IF(A97=$AE$4,Assumptions!$B$70+Assumptions!$B$71+Assumptions!$B$73,0)</f>
        <v/>
      </c>
      <c r="N97" s="21">
        <f>E97*DevBudget!$B$16</f>
        <v/>
      </c>
      <c r="O97" s="21">
        <f>SUM(F97:N97)</f>
        <v/>
      </c>
      <c r="P97" s="21">
        <f>P96+O97</f>
        <v/>
      </c>
      <c r="Q97" s="21">
        <f>MIN(O97,MAX(0,DevBudget!$B$19-R96))</f>
        <v/>
      </c>
      <c r="R97" s="21">
        <f>R96+Q97</f>
        <v/>
      </c>
      <c r="S97" s="21">
        <f>MIN(MAX(0,O97-Q97),MAX(0,Assumptions!$B$24-T97-U97))</f>
        <v/>
      </c>
      <c r="T97" s="21">
        <f>W96</f>
        <v/>
      </c>
      <c r="U97" s="21">
        <f>T97*Assumptions!$B$25/12</f>
        <v/>
      </c>
      <c r="V97" s="21">
        <f>MIN(T97+U97+S97,MAX(0,Z97+AA97))</f>
        <v/>
      </c>
      <c r="W97" s="21">
        <f>T97+S97+U97-V97</f>
        <v/>
      </c>
      <c r="X97" s="21">
        <f>IF(AND(A97&gt;=$AE$2,A97&lt;=Assumptions!$B$58),(MIN(Program!$D$5,MAX(0,(A97-$AE$2+1)*Assumptions!$B$39))*Assumptions!$B$29*(1+Assumptions!$B$31)*(1-Assumptions!$B$32)+Program!$D$9*Assumptions!$B$43*Assumptions!$B$44/12+Program!$D$5*Assumptions!$B$35*Assumptions!$B$34-Program!$D$5*Assumptions!$B$33/12-Assumptions!$B$36*Assumptions!$B$38/12),0)</f>
        <v/>
      </c>
      <c r="Y97" s="21">
        <f>IF(AND(A97&gt;=$AE$4,A97&lt;=Assumptions!$B$59),(MIN(Program!$C$5,MAX(0,(A97-$AE$4+1)*Assumptions!$B$39))*Assumptions!$B$30*(1+Assumptions!$B$31)*(1-Assumptions!$B$32)+Program!$C$9*Assumptions!$B$43*Assumptions!$B$44/12+Program!$C$5*Assumptions!$B$35*Assumptions!$B$34-Program!$C$5*Assumptions!$B$33/12-Assumptions!$B$37*Assumptions!$B$38/12),0)</f>
        <v/>
      </c>
      <c r="Z97" s="31">
        <f>SUMIF(Sellout!$A$6:$A$35,A97,Sellout!$D$6:$D$35)*(1-Assumptions!$B$49)</f>
        <v/>
      </c>
      <c r="AA97" s="31">
        <f>IF(A97=Assumptions!$B$58,Ops!$B$23,0)+IF(A97=Assumptions!$B$59,Ops!$C$23,0)</f>
        <v/>
      </c>
      <c r="AB97" s="21">
        <f>-O97+X97+Y97+Z97+AA97</f>
        <v/>
      </c>
      <c r="AC97" s="21">
        <f>AB97+S97-V97</f>
        <v/>
      </c>
    </row>
    <row r="98">
      <c r="A98" s="42" t="n">
        <v>93</v>
      </c>
      <c r="B98" s="43">
        <f>EDATE(Assumptions!$B$7,A98-1)</f>
        <v/>
      </c>
      <c r="C98" s="30">
        <f>IF(A98&lt;Assumptions!$B$9,"Pre-dev",IF(A98&lt;$AE$2,"Construction",IF(A98&lt;=Assumptions!$B$59,"Lease-up / exit","Tail")))</f>
        <v/>
      </c>
      <c r="D98" s="42">
        <f>IF(AND(A98&gt;=Assumptions!$B$9,A98&lt;$AE$2),(A98-Assumptions!$B$9+1)*($AE$2-A98),0)</f>
        <v/>
      </c>
      <c r="E98" s="44">
        <f>IFERROR(D98/$AE$6,0)</f>
        <v/>
      </c>
      <c r="F98" s="21">
        <f>IF(A98=1,DevBudget!$B$5,0)</f>
        <v/>
      </c>
      <c r="G98" s="21">
        <f>E98*DevBudget!$B$6</f>
        <v/>
      </c>
      <c r="H98" s="21">
        <f>E98*DevBudget!$B$7</f>
        <v/>
      </c>
      <c r="I98" s="21">
        <f>E98*DevBudget!$B$8</f>
        <v/>
      </c>
      <c r="J98" s="21">
        <f>E98*(DevBudget!$B$9+DevBudget!$B$10)</f>
        <v/>
      </c>
      <c r="K98" s="21">
        <f>E98*DevBudget!$B$12</f>
        <v/>
      </c>
      <c r="L98" s="21">
        <f>E98*DevBudget!$B$13</f>
        <v/>
      </c>
      <c r="M98" s="21">
        <f>IF(A98=Assumptions!$B$9,Assumptions!$B$69+Assumptions!$B$72,0)+IF(A98=$AE$4,Assumptions!$B$70+Assumptions!$B$71+Assumptions!$B$73,0)</f>
        <v/>
      </c>
      <c r="N98" s="21">
        <f>E98*DevBudget!$B$16</f>
        <v/>
      </c>
      <c r="O98" s="21">
        <f>SUM(F98:N98)</f>
        <v/>
      </c>
      <c r="P98" s="21">
        <f>P97+O98</f>
        <v/>
      </c>
      <c r="Q98" s="21">
        <f>MIN(O98,MAX(0,DevBudget!$B$19-R97))</f>
        <v/>
      </c>
      <c r="R98" s="21">
        <f>R97+Q98</f>
        <v/>
      </c>
      <c r="S98" s="21">
        <f>MIN(MAX(0,O98-Q98),MAX(0,Assumptions!$B$24-T98-U98))</f>
        <v/>
      </c>
      <c r="T98" s="21">
        <f>W97</f>
        <v/>
      </c>
      <c r="U98" s="21">
        <f>T98*Assumptions!$B$25/12</f>
        <v/>
      </c>
      <c r="V98" s="21">
        <f>MIN(T98+U98+S98,MAX(0,Z98+AA98))</f>
        <v/>
      </c>
      <c r="W98" s="21">
        <f>T98+S98+U98-V98</f>
        <v/>
      </c>
      <c r="X98" s="21">
        <f>IF(AND(A98&gt;=$AE$2,A98&lt;=Assumptions!$B$58),(MIN(Program!$D$5,MAX(0,(A98-$AE$2+1)*Assumptions!$B$39))*Assumptions!$B$29*(1+Assumptions!$B$31)*(1-Assumptions!$B$32)+Program!$D$9*Assumptions!$B$43*Assumptions!$B$44/12+Program!$D$5*Assumptions!$B$35*Assumptions!$B$34-Program!$D$5*Assumptions!$B$33/12-Assumptions!$B$36*Assumptions!$B$38/12),0)</f>
        <v/>
      </c>
      <c r="Y98" s="21">
        <f>IF(AND(A98&gt;=$AE$4,A98&lt;=Assumptions!$B$59),(MIN(Program!$C$5,MAX(0,(A98-$AE$4+1)*Assumptions!$B$39))*Assumptions!$B$30*(1+Assumptions!$B$31)*(1-Assumptions!$B$32)+Program!$C$9*Assumptions!$B$43*Assumptions!$B$44/12+Program!$C$5*Assumptions!$B$35*Assumptions!$B$34-Program!$C$5*Assumptions!$B$33/12-Assumptions!$B$37*Assumptions!$B$38/12),0)</f>
        <v/>
      </c>
      <c r="Z98" s="31">
        <f>SUMIF(Sellout!$A$6:$A$35,A98,Sellout!$D$6:$D$35)*(1-Assumptions!$B$49)</f>
        <v/>
      </c>
      <c r="AA98" s="31">
        <f>IF(A98=Assumptions!$B$58,Ops!$B$23,0)+IF(A98=Assumptions!$B$59,Ops!$C$23,0)</f>
        <v/>
      </c>
      <c r="AB98" s="21">
        <f>-O98+X98+Y98+Z98+AA98</f>
        <v/>
      </c>
      <c r="AC98" s="21">
        <f>AB98+S98-V98</f>
        <v/>
      </c>
    </row>
    <row r="99">
      <c r="A99" s="42" t="n">
        <v>94</v>
      </c>
      <c r="B99" s="43">
        <f>EDATE(Assumptions!$B$7,A99-1)</f>
        <v/>
      </c>
      <c r="C99" s="30">
        <f>IF(A99&lt;Assumptions!$B$9,"Pre-dev",IF(A99&lt;$AE$2,"Construction",IF(A99&lt;=Assumptions!$B$59,"Lease-up / exit","Tail")))</f>
        <v/>
      </c>
      <c r="D99" s="42">
        <f>IF(AND(A99&gt;=Assumptions!$B$9,A99&lt;$AE$2),(A99-Assumptions!$B$9+1)*($AE$2-A99),0)</f>
        <v/>
      </c>
      <c r="E99" s="44">
        <f>IFERROR(D99/$AE$6,0)</f>
        <v/>
      </c>
      <c r="F99" s="21">
        <f>IF(A99=1,DevBudget!$B$5,0)</f>
        <v/>
      </c>
      <c r="G99" s="21">
        <f>E99*DevBudget!$B$6</f>
        <v/>
      </c>
      <c r="H99" s="21">
        <f>E99*DevBudget!$B$7</f>
        <v/>
      </c>
      <c r="I99" s="21">
        <f>E99*DevBudget!$B$8</f>
        <v/>
      </c>
      <c r="J99" s="21">
        <f>E99*(DevBudget!$B$9+DevBudget!$B$10)</f>
        <v/>
      </c>
      <c r="K99" s="21">
        <f>E99*DevBudget!$B$12</f>
        <v/>
      </c>
      <c r="L99" s="21">
        <f>E99*DevBudget!$B$13</f>
        <v/>
      </c>
      <c r="M99" s="21">
        <f>IF(A99=Assumptions!$B$9,Assumptions!$B$69+Assumptions!$B$72,0)+IF(A99=$AE$4,Assumptions!$B$70+Assumptions!$B$71+Assumptions!$B$73,0)</f>
        <v/>
      </c>
      <c r="N99" s="21">
        <f>E99*DevBudget!$B$16</f>
        <v/>
      </c>
      <c r="O99" s="21">
        <f>SUM(F99:N99)</f>
        <v/>
      </c>
      <c r="P99" s="21">
        <f>P98+O99</f>
        <v/>
      </c>
      <c r="Q99" s="21">
        <f>MIN(O99,MAX(0,DevBudget!$B$19-R98))</f>
        <v/>
      </c>
      <c r="R99" s="21">
        <f>R98+Q99</f>
        <v/>
      </c>
      <c r="S99" s="21">
        <f>MIN(MAX(0,O99-Q99),MAX(0,Assumptions!$B$24-T99-U99))</f>
        <v/>
      </c>
      <c r="T99" s="21">
        <f>W98</f>
        <v/>
      </c>
      <c r="U99" s="21">
        <f>T99*Assumptions!$B$25/12</f>
        <v/>
      </c>
      <c r="V99" s="21">
        <f>MIN(T99+U99+S99,MAX(0,Z99+AA99))</f>
        <v/>
      </c>
      <c r="W99" s="21">
        <f>T99+S99+U99-V99</f>
        <v/>
      </c>
      <c r="X99" s="21">
        <f>IF(AND(A99&gt;=$AE$2,A99&lt;=Assumptions!$B$58),(MIN(Program!$D$5,MAX(0,(A99-$AE$2+1)*Assumptions!$B$39))*Assumptions!$B$29*(1+Assumptions!$B$31)*(1-Assumptions!$B$32)+Program!$D$9*Assumptions!$B$43*Assumptions!$B$44/12+Program!$D$5*Assumptions!$B$35*Assumptions!$B$34-Program!$D$5*Assumptions!$B$33/12-Assumptions!$B$36*Assumptions!$B$38/12),0)</f>
        <v/>
      </c>
      <c r="Y99" s="21">
        <f>IF(AND(A99&gt;=$AE$4,A99&lt;=Assumptions!$B$59),(MIN(Program!$C$5,MAX(0,(A99-$AE$4+1)*Assumptions!$B$39))*Assumptions!$B$30*(1+Assumptions!$B$31)*(1-Assumptions!$B$32)+Program!$C$9*Assumptions!$B$43*Assumptions!$B$44/12+Program!$C$5*Assumptions!$B$35*Assumptions!$B$34-Program!$C$5*Assumptions!$B$33/12-Assumptions!$B$37*Assumptions!$B$38/12),0)</f>
        <v/>
      </c>
      <c r="Z99" s="31">
        <f>SUMIF(Sellout!$A$6:$A$35,A99,Sellout!$D$6:$D$35)*(1-Assumptions!$B$49)</f>
        <v/>
      </c>
      <c r="AA99" s="31">
        <f>IF(A99=Assumptions!$B$58,Ops!$B$23,0)+IF(A99=Assumptions!$B$59,Ops!$C$23,0)</f>
        <v/>
      </c>
      <c r="AB99" s="21">
        <f>-O99+X99+Y99+Z99+AA99</f>
        <v/>
      </c>
      <c r="AC99" s="21">
        <f>AB99+S99-V99</f>
        <v/>
      </c>
    </row>
    <row r="100">
      <c r="A100" s="42" t="n">
        <v>95</v>
      </c>
      <c r="B100" s="43">
        <f>EDATE(Assumptions!$B$7,A100-1)</f>
        <v/>
      </c>
      <c r="C100" s="30">
        <f>IF(A100&lt;Assumptions!$B$9,"Pre-dev",IF(A100&lt;$AE$2,"Construction",IF(A100&lt;=Assumptions!$B$59,"Lease-up / exit","Tail")))</f>
        <v/>
      </c>
      <c r="D100" s="42">
        <f>IF(AND(A100&gt;=Assumptions!$B$9,A100&lt;$AE$2),(A100-Assumptions!$B$9+1)*($AE$2-A100),0)</f>
        <v/>
      </c>
      <c r="E100" s="44">
        <f>IFERROR(D100/$AE$6,0)</f>
        <v/>
      </c>
      <c r="F100" s="21">
        <f>IF(A100=1,DevBudget!$B$5,0)</f>
        <v/>
      </c>
      <c r="G100" s="21">
        <f>E100*DevBudget!$B$6</f>
        <v/>
      </c>
      <c r="H100" s="21">
        <f>E100*DevBudget!$B$7</f>
        <v/>
      </c>
      <c r="I100" s="21">
        <f>E100*DevBudget!$B$8</f>
        <v/>
      </c>
      <c r="J100" s="21">
        <f>E100*(DevBudget!$B$9+DevBudget!$B$10)</f>
        <v/>
      </c>
      <c r="K100" s="21">
        <f>E100*DevBudget!$B$12</f>
        <v/>
      </c>
      <c r="L100" s="21">
        <f>E100*DevBudget!$B$13</f>
        <v/>
      </c>
      <c r="M100" s="21">
        <f>IF(A100=Assumptions!$B$9,Assumptions!$B$69+Assumptions!$B$72,0)+IF(A100=$AE$4,Assumptions!$B$70+Assumptions!$B$71+Assumptions!$B$73,0)</f>
        <v/>
      </c>
      <c r="N100" s="21">
        <f>E100*DevBudget!$B$16</f>
        <v/>
      </c>
      <c r="O100" s="21">
        <f>SUM(F100:N100)</f>
        <v/>
      </c>
      <c r="P100" s="21">
        <f>P99+O100</f>
        <v/>
      </c>
      <c r="Q100" s="21">
        <f>MIN(O100,MAX(0,DevBudget!$B$19-R99))</f>
        <v/>
      </c>
      <c r="R100" s="21">
        <f>R99+Q100</f>
        <v/>
      </c>
      <c r="S100" s="21">
        <f>MIN(MAX(0,O100-Q100),MAX(0,Assumptions!$B$24-T100-U100))</f>
        <v/>
      </c>
      <c r="T100" s="21">
        <f>W99</f>
        <v/>
      </c>
      <c r="U100" s="21">
        <f>T100*Assumptions!$B$25/12</f>
        <v/>
      </c>
      <c r="V100" s="21">
        <f>MIN(T100+U100+S100,MAX(0,Z100+AA100))</f>
        <v/>
      </c>
      <c r="W100" s="21">
        <f>T100+S100+U100-V100</f>
        <v/>
      </c>
      <c r="X100" s="21">
        <f>IF(AND(A100&gt;=$AE$2,A100&lt;=Assumptions!$B$58),(MIN(Program!$D$5,MAX(0,(A100-$AE$2+1)*Assumptions!$B$39))*Assumptions!$B$29*(1+Assumptions!$B$31)*(1-Assumptions!$B$32)+Program!$D$9*Assumptions!$B$43*Assumptions!$B$44/12+Program!$D$5*Assumptions!$B$35*Assumptions!$B$34-Program!$D$5*Assumptions!$B$33/12-Assumptions!$B$36*Assumptions!$B$38/12),0)</f>
        <v/>
      </c>
      <c r="Y100" s="21">
        <f>IF(AND(A100&gt;=$AE$4,A100&lt;=Assumptions!$B$59),(MIN(Program!$C$5,MAX(0,(A100-$AE$4+1)*Assumptions!$B$39))*Assumptions!$B$30*(1+Assumptions!$B$31)*(1-Assumptions!$B$32)+Program!$C$9*Assumptions!$B$43*Assumptions!$B$44/12+Program!$C$5*Assumptions!$B$35*Assumptions!$B$34-Program!$C$5*Assumptions!$B$33/12-Assumptions!$B$37*Assumptions!$B$38/12),0)</f>
        <v/>
      </c>
      <c r="Z100" s="31">
        <f>SUMIF(Sellout!$A$6:$A$35,A100,Sellout!$D$6:$D$35)*(1-Assumptions!$B$49)</f>
        <v/>
      </c>
      <c r="AA100" s="31">
        <f>IF(A100=Assumptions!$B$58,Ops!$B$23,0)+IF(A100=Assumptions!$B$59,Ops!$C$23,0)</f>
        <v/>
      </c>
      <c r="AB100" s="21">
        <f>-O100+X100+Y100+Z100+AA100</f>
        <v/>
      </c>
      <c r="AC100" s="21">
        <f>AB100+S100-V100</f>
        <v/>
      </c>
    </row>
    <row r="101">
      <c r="A101" s="42" t="n">
        <v>96</v>
      </c>
      <c r="B101" s="43">
        <f>EDATE(Assumptions!$B$7,A101-1)</f>
        <v/>
      </c>
      <c r="C101" s="30">
        <f>IF(A101&lt;Assumptions!$B$9,"Pre-dev",IF(A101&lt;$AE$2,"Construction",IF(A101&lt;=Assumptions!$B$59,"Lease-up / exit","Tail")))</f>
        <v/>
      </c>
      <c r="D101" s="42">
        <f>IF(AND(A101&gt;=Assumptions!$B$9,A101&lt;$AE$2),(A101-Assumptions!$B$9+1)*($AE$2-A101),0)</f>
        <v/>
      </c>
      <c r="E101" s="44">
        <f>IFERROR(D101/$AE$6,0)</f>
        <v/>
      </c>
      <c r="F101" s="21">
        <f>IF(A101=1,DevBudget!$B$5,0)</f>
        <v/>
      </c>
      <c r="G101" s="21">
        <f>E101*DevBudget!$B$6</f>
        <v/>
      </c>
      <c r="H101" s="21">
        <f>E101*DevBudget!$B$7</f>
        <v/>
      </c>
      <c r="I101" s="21">
        <f>E101*DevBudget!$B$8</f>
        <v/>
      </c>
      <c r="J101" s="21">
        <f>E101*(DevBudget!$B$9+DevBudget!$B$10)</f>
        <v/>
      </c>
      <c r="K101" s="21">
        <f>E101*DevBudget!$B$12</f>
        <v/>
      </c>
      <c r="L101" s="21">
        <f>E101*DevBudget!$B$13</f>
        <v/>
      </c>
      <c r="M101" s="21">
        <f>IF(A101=Assumptions!$B$9,Assumptions!$B$69+Assumptions!$B$72,0)+IF(A101=$AE$4,Assumptions!$B$70+Assumptions!$B$71+Assumptions!$B$73,0)</f>
        <v/>
      </c>
      <c r="N101" s="21">
        <f>E101*DevBudget!$B$16</f>
        <v/>
      </c>
      <c r="O101" s="21">
        <f>SUM(F101:N101)</f>
        <v/>
      </c>
      <c r="P101" s="21">
        <f>P100+O101</f>
        <v/>
      </c>
      <c r="Q101" s="21">
        <f>MIN(O101,MAX(0,DevBudget!$B$19-R100))</f>
        <v/>
      </c>
      <c r="R101" s="21">
        <f>R100+Q101</f>
        <v/>
      </c>
      <c r="S101" s="21">
        <f>MIN(MAX(0,O101-Q101),MAX(0,Assumptions!$B$24-T101-U101))</f>
        <v/>
      </c>
      <c r="T101" s="21">
        <f>W100</f>
        <v/>
      </c>
      <c r="U101" s="21">
        <f>T101*Assumptions!$B$25/12</f>
        <v/>
      </c>
      <c r="V101" s="21">
        <f>MIN(T101+U101+S101,MAX(0,Z101+AA101))</f>
        <v/>
      </c>
      <c r="W101" s="21">
        <f>T101+S101+U101-V101</f>
        <v/>
      </c>
      <c r="X101" s="21">
        <f>IF(AND(A101&gt;=$AE$2,A101&lt;=Assumptions!$B$58),(MIN(Program!$D$5,MAX(0,(A101-$AE$2+1)*Assumptions!$B$39))*Assumptions!$B$29*(1+Assumptions!$B$31)*(1-Assumptions!$B$32)+Program!$D$9*Assumptions!$B$43*Assumptions!$B$44/12+Program!$D$5*Assumptions!$B$35*Assumptions!$B$34-Program!$D$5*Assumptions!$B$33/12-Assumptions!$B$36*Assumptions!$B$38/12),0)</f>
        <v/>
      </c>
      <c r="Y101" s="21">
        <f>IF(AND(A101&gt;=$AE$4,A101&lt;=Assumptions!$B$59),(MIN(Program!$C$5,MAX(0,(A101-$AE$4+1)*Assumptions!$B$39))*Assumptions!$B$30*(1+Assumptions!$B$31)*(1-Assumptions!$B$32)+Program!$C$9*Assumptions!$B$43*Assumptions!$B$44/12+Program!$C$5*Assumptions!$B$35*Assumptions!$B$34-Program!$C$5*Assumptions!$B$33/12-Assumptions!$B$37*Assumptions!$B$38/12),0)</f>
        <v/>
      </c>
      <c r="Z101" s="31">
        <f>SUMIF(Sellout!$A$6:$A$35,A101,Sellout!$D$6:$D$35)*(1-Assumptions!$B$49)</f>
        <v/>
      </c>
      <c r="AA101" s="31">
        <f>IF(A101=Assumptions!$B$58,Ops!$B$23,0)+IF(A101=Assumptions!$B$59,Ops!$C$23,0)</f>
        <v/>
      </c>
      <c r="AB101" s="21">
        <f>-O101+X101+Y101+Z101+AA101</f>
        <v/>
      </c>
      <c r="AC101" s="21">
        <f>AB101+S101-V101</f>
        <v/>
      </c>
    </row>
    <row r="102">
      <c r="A102" s="42" t="n">
        <v>97</v>
      </c>
      <c r="B102" s="43">
        <f>EDATE(Assumptions!$B$7,A102-1)</f>
        <v/>
      </c>
      <c r="C102" s="30">
        <f>IF(A102&lt;Assumptions!$B$9,"Pre-dev",IF(A102&lt;$AE$2,"Construction",IF(A102&lt;=Assumptions!$B$59,"Lease-up / exit","Tail")))</f>
        <v/>
      </c>
      <c r="D102" s="42">
        <f>IF(AND(A102&gt;=Assumptions!$B$9,A102&lt;$AE$2),(A102-Assumptions!$B$9+1)*($AE$2-A102),0)</f>
        <v/>
      </c>
      <c r="E102" s="44">
        <f>IFERROR(D102/$AE$6,0)</f>
        <v/>
      </c>
      <c r="F102" s="21">
        <f>IF(A102=1,DevBudget!$B$5,0)</f>
        <v/>
      </c>
      <c r="G102" s="21">
        <f>E102*DevBudget!$B$6</f>
        <v/>
      </c>
      <c r="H102" s="21">
        <f>E102*DevBudget!$B$7</f>
        <v/>
      </c>
      <c r="I102" s="21">
        <f>E102*DevBudget!$B$8</f>
        <v/>
      </c>
      <c r="J102" s="21">
        <f>E102*(DevBudget!$B$9+DevBudget!$B$10)</f>
        <v/>
      </c>
      <c r="K102" s="21">
        <f>E102*DevBudget!$B$12</f>
        <v/>
      </c>
      <c r="L102" s="21">
        <f>E102*DevBudget!$B$13</f>
        <v/>
      </c>
      <c r="M102" s="21">
        <f>IF(A102=Assumptions!$B$9,Assumptions!$B$69+Assumptions!$B$72,0)+IF(A102=$AE$4,Assumptions!$B$70+Assumptions!$B$71+Assumptions!$B$73,0)</f>
        <v/>
      </c>
      <c r="N102" s="21">
        <f>E102*DevBudget!$B$16</f>
        <v/>
      </c>
      <c r="O102" s="21">
        <f>SUM(F102:N102)</f>
        <v/>
      </c>
      <c r="P102" s="21">
        <f>P101+O102</f>
        <v/>
      </c>
      <c r="Q102" s="21">
        <f>MIN(O102,MAX(0,DevBudget!$B$19-R101))</f>
        <v/>
      </c>
      <c r="R102" s="21">
        <f>R101+Q102</f>
        <v/>
      </c>
      <c r="S102" s="21">
        <f>MIN(MAX(0,O102-Q102),MAX(0,Assumptions!$B$24-T102-U102))</f>
        <v/>
      </c>
      <c r="T102" s="21">
        <f>W101</f>
        <v/>
      </c>
      <c r="U102" s="21">
        <f>T102*Assumptions!$B$25/12</f>
        <v/>
      </c>
      <c r="V102" s="21">
        <f>MIN(T102+U102+S102,MAX(0,Z102+AA102))</f>
        <v/>
      </c>
      <c r="W102" s="21">
        <f>T102+S102+U102-V102</f>
        <v/>
      </c>
      <c r="X102" s="21">
        <f>IF(AND(A102&gt;=$AE$2,A102&lt;=Assumptions!$B$58),(MIN(Program!$D$5,MAX(0,(A102-$AE$2+1)*Assumptions!$B$39))*Assumptions!$B$29*(1+Assumptions!$B$31)*(1-Assumptions!$B$32)+Program!$D$9*Assumptions!$B$43*Assumptions!$B$44/12+Program!$D$5*Assumptions!$B$35*Assumptions!$B$34-Program!$D$5*Assumptions!$B$33/12-Assumptions!$B$36*Assumptions!$B$38/12),0)</f>
        <v/>
      </c>
      <c r="Y102" s="21">
        <f>IF(AND(A102&gt;=$AE$4,A102&lt;=Assumptions!$B$59),(MIN(Program!$C$5,MAX(0,(A102-$AE$4+1)*Assumptions!$B$39))*Assumptions!$B$30*(1+Assumptions!$B$31)*(1-Assumptions!$B$32)+Program!$C$9*Assumptions!$B$43*Assumptions!$B$44/12+Program!$C$5*Assumptions!$B$35*Assumptions!$B$34-Program!$C$5*Assumptions!$B$33/12-Assumptions!$B$37*Assumptions!$B$38/12),0)</f>
        <v/>
      </c>
      <c r="Z102" s="31">
        <f>SUMIF(Sellout!$A$6:$A$35,A102,Sellout!$D$6:$D$35)*(1-Assumptions!$B$49)</f>
        <v/>
      </c>
      <c r="AA102" s="31">
        <f>IF(A102=Assumptions!$B$58,Ops!$B$23,0)+IF(A102=Assumptions!$B$59,Ops!$C$23,0)</f>
        <v/>
      </c>
      <c r="AB102" s="21">
        <f>-O102+X102+Y102+Z102+AA102</f>
        <v/>
      </c>
      <c r="AC102" s="21">
        <f>AB102+S102-V102</f>
        <v/>
      </c>
    </row>
    <row r="103">
      <c r="A103" s="42" t="n">
        <v>98</v>
      </c>
      <c r="B103" s="43">
        <f>EDATE(Assumptions!$B$7,A103-1)</f>
        <v/>
      </c>
      <c r="C103" s="30">
        <f>IF(A103&lt;Assumptions!$B$9,"Pre-dev",IF(A103&lt;$AE$2,"Construction",IF(A103&lt;=Assumptions!$B$59,"Lease-up / exit","Tail")))</f>
        <v/>
      </c>
      <c r="D103" s="42">
        <f>IF(AND(A103&gt;=Assumptions!$B$9,A103&lt;$AE$2),(A103-Assumptions!$B$9+1)*($AE$2-A103),0)</f>
        <v/>
      </c>
      <c r="E103" s="44">
        <f>IFERROR(D103/$AE$6,0)</f>
        <v/>
      </c>
      <c r="F103" s="21">
        <f>IF(A103=1,DevBudget!$B$5,0)</f>
        <v/>
      </c>
      <c r="G103" s="21">
        <f>E103*DevBudget!$B$6</f>
        <v/>
      </c>
      <c r="H103" s="21">
        <f>E103*DevBudget!$B$7</f>
        <v/>
      </c>
      <c r="I103" s="21">
        <f>E103*DevBudget!$B$8</f>
        <v/>
      </c>
      <c r="J103" s="21">
        <f>E103*(DevBudget!$B$9+DevBudget!$B$10)</f>
        <v/>
      </c>
      <c r="K103" s="21">
        <f>E103*DevBudget!$B$12</f>
        <v/>
      </c>
      <c r="L103" s="21">
        <f>E103*DevBudget!$B$13</f>
        <v/>
      </c>
      <c r="M103" s="21">
        <f>IF(A103=Assumptions!$B$9,Assumptions!$B$69+Assumptions!$B$72,0)+IF(A103=$AE$4,Assumptions!$B$70+Assumptions!$B$71+Assumptions!$B$73,0)</f>
        <v/>
      </c>
      <c r="N103" s="21">
        <f>E103*DevBudget!$B$16</f>
        <v/>
      </c>
      <c r="O103" s="21">
        <f>SUM(F103:N103)</f>
        <v/>
      </c>
      <c r="P103" s="21">
        <f>P102+O103</f>
        <v/>
      </c>
      <c r="Q103" s="21">
        <f>MIN(O103,MAX(0,DevBudget!$B$19-R102))</f>
        <v/>
      </c>
      <c r="R103" s="21">
        <f>R102+Q103</f>
        <v/>
      </c>
      <c r="S103" s="21">
        <f>MIN(MAX(0,O103-Q103),MAX(0,Assumptions!$B$24-T103-U103))</f>
        <v/>
      </c>
      <c r="T103" s="21">
        <f>W102</f>
        <v/>
      </c>
      <c r="U103" s="21">
        <f>T103*Assumptions!$B$25/12</f>
        <v/>
      </c>
      <c r="V103" s="21">
        <f>MIN(T103+U103+S103,MAX(0,Z103+AA103))</f>
        <v/>
      </c>
      <c r="W103" s="21">
        <f>T103+S103+U103-V103</f>
        <v/>
      </c>
      <c r="X103" s="21">
        <f>IF(AND(A103&gt;=$AE$2,A103&lt;=Assumptions!$B$58),(MIN(Program!$D$5,MAX(0,(A103-$AE$2+1)*Assumptions!$B$39))*Assumptions!$B$29*(1+Assumptions!$B$31)*(1-Assumptions!$B$32)+Program!$D$9*Assumptions!$B$43*Assumptions!$B$44/12+Program!$D$5*Assumptions!$B$35*Assumptions!$B$34-Program!$D$5*Assumptions!$B$33/12-Assumptions!$B$36*Assumptions!$B$38/12),0)</f>
        <v/>
      </c>
      <c r="Y103" s="21">
        <f>IF(AND(A103&gt;=$AE$4,A103&lt;=Assumptions!$B$59),(MIN(Program!$C$5,MAX(0,(A103-$AE$4+1)*Assumptions!$B$39))*Assumptions!$B$30*(1+Assumptions!$B$31)*(1-Assumptions!$B$32)+Program!$C$9*Assumptions!$B$43*Assumptions!$B$44/12+Program!$C$5*Assumptions!$B$35*Assumptions!$B$34-Program!$C$5*Assumptions!$B$33/12-Assumptions!$B$37*Assumptions!$B$38/12),0)</f>
        <v/>
      </c>
      <c r="Z103" s="31">
        <f>SUMIF(Sellout!$A$6:$A$35,A103,Sellout!$D$6:$D$35)*(1-Assumptions!$B$49)</f>
        <v/>
      </c>
      <c r="AA103" s="31">
        <f>IF(A103=Assumptions!$B$58,Ops!$B$23,0)+IF(A103=Assumptions!$B$59,Ops!$C$23,0)</f>
        <v/>
      </c>
      <c r="AB103" s="21">
        <f>-O103+X103+Y103+Z103+AA103</f>
        <v/>
      </c>
      <c r="AC103" s="21">
        <f>AB103+S103-V103</f>
        <v/>
      </c>
    </row>
    <row r="104">
      <c r="A104" s="42" t="n">
        <v>99</v>
      </c>
      <c r="B104" s="43">
        <f>EDATE(Assumptions!$B$7,A104-1)</f>
        <v/>
      </c>
      <c r="C104" s="30">
        <f>IF(A104&lt;Assumptions!$B$9,"Pre-dev",IF(A104&lt;$AE$2,"Construction",IF(A104&lt;=Assumptions!$B$59,"Lease-up / exit","Tail")))</f>
        <v/>
      </c>
      <c r="D104" s="42">
        <f>IF(AND(A104&gt;=Assumptions!$B$9,A104&lt;$AE$2),(A104-Assumptions!$B$9+1)*($AE$2-A104),0)</f>
        <v/>
      </c>
      <c r="E104" s="44">
        <f>IFERROR(D104/$AE$6,0)</f>
        <v/>
      </c>
      <c r="F104" s="21">
        <f>IF(A104=1,DevBudget!$B$5,0)</f>
        <v/>
      </c>
      <c r="G104" s="21">
        <f>E104*DevBudget!$B$6</f>
        <v/>
      </c>
      <c r="H104" s="21">
        <f>E104*DevBudget!$B$7</f>
        <v/>
      </c>
      <c r="I104" s="21">
        <f>E104*DevBudget!$B$8</f>
        <v/>
      </c>
      <c r="J104" s="21">
        <f>E104*(DevBudget!$B$9+DevBudget!$B$10)</f>
        <v/>
      </c>
      <c r="K104" s="21">
        <f>E104*DevBudget!$B$12</f>
        <v/>
      </c>
      <c r="L104" s="21">
        <f>E104*DevBudget!$B$13</f>
        <v/>
      </c>
      <c r="M104" s="21">
        <f>IF(A104=Assumptions!$B$9,Assumptions!$B$69+Assumptions!$B$72,0)+IF(A104=$AE$4,Assumptions!$B$70+Assumptions!$B$71+Assumptions!$B$73,0)</f>
        <v/>
      </c>
      <c r="N104" s="21">
        <f>E104*DevBudget!$B$16</f>
        <v/>
      </c>
      <c r="O104" s="21">
        <f>SUM(F104:N104)</f>
        <v/>
      </c>
      <c r="P104" s="21">
        <f>P103+O104</f>
        <v/>
      </c>
      <c r="Q104" s="21">
        <f>MIN(O104,MAX(0,DevBudget!$B$19-R103))</f>
        <v/>
      </c>
      <c r="R104" s="21">
        <f>R103+Q104</f>
        <v/>
      </c>
      <c r="S104" s="21">
        <f>MIN(MAX(0,O104-Q104),MAX(0,Assumptions!$B$24-T104-U104))</f>
        <v/>
      </c>
      <c r="T104" s="21">
        <f>W103</f>
        <v/>
      </c>
      <c r="U104" s="21">
        <f>T104*Assumptions!$B$25/12</f>
        <v/>
      </c>
      <c r="V104" s="21">
        <f>MIN(T104+U104+S104,MAX(0,Z104+AA104))</f>
        <v/>
      </c>
      <c r="W104" s="21">
        <f>T104+S104+U104-V104</f>
        <v/>
      </c>
      <c r="X104" s="21">
        <f>IF(AND(A104&gt;=$AE$2,A104&lt;=Assumptions!$B$58),(MIN(Program!$D$5,MAX(0,(A104-$AE$2+1)*Assumptions!$B$39))*Assumptions!$B$29*(1+Assumptions!$B$31)*(1-Assumptions!$B$32)+Program!$D$9*Assumptions!$B$43*Assumptions!$B$44/12+Program!$D$5*Assumptions!$B$35*Assumptions!$B$34-Program!$D$5*Assumptions!$B$33/12-Assumptions!$B$36*Assumptions!$B$38/12),0)</f>
        <v/>
      </c>
      <c r="Y104" s="21">
        <f>IF(AND(A104&gt;=$AE$4,A104&lt;=Assumptions!$B$59),(MIN(Program!$C$5,MAX(0,(A104-$AE$4+1)*Assumptions!$B$39))*Assumptions!$B$30*(1+Assumptions!$B$31)*(1-Assumptions!$B$32)+Program!$C$9*Assumptions!$B$43*Assumptions!$B$44/12+Program!$C$5*Assumptions!$B$35*Assumptions!$B$34-Program!$C$5*Assumptions!$B$33/12-Assumptions!$B$37*Assumptions!$B$38/12),0)</f>
        <v/>
      </c>
      <c r="Z104" s="31">
        <f>SUMIF(Sellout!$A$6:$A$35,A104,Sellout!$D$6:$D$35)*(1-Assumptions!$B$49)</f>
        <v/>
      </c>
      <c r="AA104" s="31">
        <f>IF(A104=Assumptions!$B$58,Ops!$B$23,0)+IF(A104=Assumptions!$B$59,Ops!$C$23,0)</f>
        <v/>
      </c>
      <c r="AB104" s="21">
        <f>-O104+X104+Y104+Z104+AA104</f>
        <v/>
      </c>
      <c r="AC104" s="21">
        <f>AB104+S104-V104</f>
        <v/>
      </c>
    </row>
    <row r="105">
      <c r="A105" s="42" t="n">
        <v>100</v>
      </c>
      <c r="B105" s="43">
        <f>EDATE(Assumptions!$B$7,A105-1)</f>
        <v/>
      </c>
      <c r="C105" s="30">
        <f>IF(A105&lt;Assumptions!$B$9,"Pre-dev",IF(A105&lt;$AE$2,"Construction",IF(A105&lt;=Assumptions!$B$59,"Lease-up / exit","Tail")))</f>
        <v/>
      </c>
      <c r="D105" s="42">
        <f>IF(AND(A105&gt;=Assumptions!$B$9,A105&lt;$AE$2),(A105-Assumptions!$B$9+1)*($AE$2-A105),0)</f>
        <v/>
      </c>
      <c r="E105" s="44">
        <f>IFERROR(D105/$AE$6,0)</f>
        <v/>
      </c>
      <c r="F105" s="21">
        <f>IF(A105=1,DevBudget!$B$5,0)</f>
        <v/>
      </c>
      <c r="G105" s="21">
        <f>E105*DevBudget!$B$6</f>
        <v/>
      </c>
      <c r="H105" s="21">
        <f>E105*DevBudget!$B$7</f>
        <v/>
      </c>
      <c r="I105" s="21">
        <f>E105*DevBudget!$B$8</f>
        <v/>
      </c>
      <c r="J105" s="21">
        <f>E105*(DevBudget!$B$9+DevBudget!$B$10)</f>
        <v/>
      </c>
      <c r="K105" s="21">
        <f>E105*DevBudget!$B$12</f>
        <v/>
      </c>
      <c r="L105" s="21">
        <f>E105*DevBudget!$B$13</f>
        <v/>
      </c>
      <c r="M105" s="21">
        <f>IF(A105=Assumptions!$B$9,Assumptions!$B$69+Assumptions!$B$72,0)+IF(A105=$AE$4,Assumptions!$B$70+Assumptions!$B$71+Assumptions!$B$73,0)</f>
        <v/>
      </c>
      <c r="N105" s="21">
        <f>E105*DevBudget!$B$16</f>
        <v/>
      </c>
      <c r="O105" s="21">
        <f>SUM(F105:N105)</f>
        <v/>
      </c>
      <c r="P105" s="21">
        <f>P104+O105</f>
        <v/>
      </c>
      <c r="Q105" s="21">
        <f>MIN(O105,MAX(0,DevBudget!$B$19-R104))</f>
        <v/>
      </c>
      <c r="R105" s="21">
        <f>R104+Q105</f>
        <v/>
      </c>
      <c r="S105" s="21">
        <f>MIN(MAX(0,O105-Q105),MAX(0,Assumptions!$B$24-T105-U105))</f>
        <v/>
      </c>
      <c r="T105" s="21">
        <f>W104</f>
        <v/>
      </c>
      <c r="U105" s="21">
        <f>T105*Assumptions!$B$25/12</f>
        <v/>
      </c>
      <c r="V105" s="21">
        <f>MIN(T105+U105+S105,MAX(0,Z105+AA105))</f>
        <v/>
      </c>
      <c r="W105" s="21">
        <f>T105+S105+U105-V105</f>
        <v/>
      </c>
      <c r="X105" s="21">
        <f>IF(AND(A105&gt;=$AE$2,A105&lt;=Assumptions!$B$58),(MIN(Program!$D$5,MAX(0,(A105-$AE$2+1)*Assumptions!$B$39))*Assumptions!$B$29*(1+Assumptions!$B$31)*(1-Assumptions!$B$32)+Program!$D$9*Assumptions!$B$43*Assumptions!$B$44/12+Program!$D$5*Assumptions!$B$35*Assumptions!$B$34-Program!$D$5*Assumptions!$B$33/12-Assumptions!$B$36*Assumptions!$B$38/12),0)</f>
        <v/>
      </c>
      <c r="Y105" s="21">
        <f>IF(AND(A105&gt;=$AE$4,A105&lt;=Assumptions!$B$59),(MIN(Program!$C$5,MAX(0,(A105-$AE$4+1)*Assumptions!$B$39))*Assumptions!$B$30*(1+Assumptions!$B$31)*(1-Assumptions!$B$32)+Program!$C$9*Assumptions!$B$43*Assumptions!$B$44/12+Program!$C$5*Assumptions!$B$35*Assumptions!$B$34-Program!$C$5*Assumptions!$B$33/12-Assumptions!$B$37*Assumptions!$B$38/12),0)</f>
        <v/>
      </c>
      <c r="Z105" s="31">
        <f>SUMIF(Sellout!$A$6:$A$35,A105,Sellout!$D$6:$D$35)*(1-Assumptions!$B$49)</f>
        <v/>
      </c>
      <c r="AA105" s="31">
        <f>IF(A105=Assumptions!$B$58,Ops!$B$23,0)+IF(A105=Assumptions!$B$59,Ops!$C$23,0)</f>
        <v/>
      </c>
      <c r="AB105" s="21">
        <f>-O105+X105+Y105+Z105+AA105</f>
        <v/>
      </c>
      <c r="AC105" s="21">
        <f>AB105+S105-V105</f>
        <v/>
      </c>
    </row>
    <row r="106">
      <c r="A106" s="42" t="n">
        <v>101</v>
      </c>
      <c r="B106" s="43">
        <f>EDATE(Assumptions!$B$7,A106-1)</f>
        <v/>
      </c>
      <c r="C106" s="30">
        <f>IF(A106&lt;Assumptions!$B$9,"Pre-dev",IF(A106&lt;$AE$2,"Construction",IF(A106&lt;=Assumptions!$B$59,"Lease-up / exit","Tail")))</f>
        <v/>
      </c>
      <c r="D106" s="42">
        <f>IF(AND(A106&gt;=Assumptions!$B$9,A106&lt;$AE$2),(A106-Assumptions!$B$9+1)*($AE$2-A106),0)</f>
        <v/>
      </c>
      <c r="E106" s="44">
        <f>IFERROR(D106/$AE$6,0)</f>
        <v/>
      </c>
      <c r="F106" s="21">
        <f>IF(A106=1,DevBudget!$B$5,0)</f>
        <v/>
      </c>
      <c r="G106" s="21">
        <f>E106*DevBudget!$B$6</f>
        <v/>
      </c>
      <c r="H106" s="21">
        <f>E106*DevBudget!$B$7</f>
        <v/>
      </c>
      <c r="I106" s="21">
        <f>E106*DevBudget!$B$8</f>
        <v/>
      </c>
      <c r="J106" s="21">
        <f>E106*(DevBudget!$B$9+DevBudget!$B$10)</f>
        <v/>
      </c>
      <c r="K106" s="21">
        <f>E106*DevBudget!$B$12</f>
        <v/>
      </c>
      <c r="L106" s="21">
        <f>E106*DevBudget!$B$13</f>
        <v/>
      </c>
      <c r="M106" s="21">
        <f>IF(A106=Assumptions!$B$9,Assumptions!$B$69+Assumptions!$B$72,0)+IF(A106=$AE$4,Assumptions!$B$70+Assumptions!$B$71+Assumptions!$B$73,0)</f>
        <v/>
      </c>
      <c r="N106" s="21">
        <f>E106*DevBudget!$B$16</f>
        <v/>
      </c>
      <c r="O106" s="21">
        <f>SUM(F106:N106)</f>
        <v/>
      </c>
      <c r="P106" s="21">
        <f>P105+O106</f>
        <v/>
      </c>
      <c r="Q106" s="21">
        <f>MIN(O106,MAX(0,DevBudget!$B$19-R105))</f>
        <v/>
      </c>
      <c r="R106" s="21">
        <f>R105+Q106</f>
        <v/>
      </c>
      <c r="S106" s="21">
        <f>MIN(MAX(0,O106-Q106),MAX(0,Assumptions!$B$24-T106-U106))</f>
        <v/>
      </c>
      <c r="T106" s="21">
        <f>W105</f>
        <v/>
      </c>
      <c r="U106" s="21">
        <f>T106*Assumptions!$B$25/12</f>
        <v/>
      </c>
      <c r="V106" s="21">
        <f>MIN(T106+U106+S106,MAX(0,Z106+AA106))</f>
        <v/>
      </c>
      <c r="W106" s="21">
        <f>T106+S106+U106-V106</f>
        <v/>
      </c>
      <c r="X106" s="21">
        <f>IF(AND(A106&gt;=$AE$2,A106&lt;=Assumptions!$B$58),(MIN(Program!$D$5,MAX(0,(A106-$AE$2+1)*Assumptions!$B$39))*Assumptions!$B$29*(1+Assumptions!$B$31)*(1-Assumptions!$B$32)+Program!$D$9*Assumptions!$B$43*Assumptions!$B$44/12+Program!$D$5*Assumptions!$B$35*Assumptions!$B$34-Program!$D$5*Assumptions!$B$33/12-Assumptions!$B$36*Assumptions!$B$38/12),0)</f>
        <v/>
      </c>
      <c r="Y106" s="21">
        <f>IF(AND(A106&gt;=$AE$4,A106&lt;=Assumptions!$B$59),(MIN(Program!$C$5,MAX(0,(A106-$AE$4+1)*Assumptions!$B$39))*Assumptions!$B$30*(1+Assumptions!$B$31)*(1-Assumptions!$B$32)+Program!$C$9*Assumptions!$B$43*Assumptions!$B$44/12+Program!$C$5*Assumptions!$B$35*Assumptions!$B$34-Program!$C$5*Assumptions!$B$33/12-Assumptions!$B$37*Assumptions!$B$38/12),0)</f>
        <v/>
      </c>
      <c r="Z106" s="31">
        <f>SUMIF(Sellout!$A$6:$A$35,A106,Sellout!$D$6:$D$35)*(1-Assumptions!$B$49)</f>
        <v/>
      </c>
      <c r="AA106" s="31">
        <f>IF(A106=Assumptions!$B$58,Ops!$B$23,0)+IF(A106=Assumptions!$B$59,Ops!$C$23,0)</f>
        <v/>
      </c>
      <c r="AB106" s="21">
        <f>-O106+X106+Y106+Z106+AA106</f>
        <v/>
      </c>
      <c r="AC106" s="21">
        <f>AB106+S106-V106</f>
        <v/>
      </c>
    </row>
    <row r="107">
      <c r="A107" s="42" t="n">
        <v>102</v>
      </c>
      <c r="B107" s="43">
        <f>EDATE(Assumptions!$B$7,A107-1)</f>
        <v/>
      </c>
      <c r="C107" s="30">
        <f>IF(A107&lt;Assumptions!$B$9,"Pre-dev",IF(A107&lt;$AE$2,"Construction",IF(A107&lt;=Assumptions!$B$59,"Lease-up / exit","Tail")))</f>
        <v/>
      </c>
      <c r="D107" s="42">
        <f>IF(AND(A107&gt;=Assumptions!$B$9,A107&lt;$AE$2),(A107-Assumptions!$B$9+1)*($AE$2-A107),0)</f>
        <v/>
      </c>
      <c r="E107" s="44">
        <f>IFERROR(D107/$AE$6,0)</f>
        <v/>
      </c>
      <c r="F107" s="21">
        <f>IF(A107=1,DevBudget!$B$5,0)</f>
        <v/>
      </c>
      <c r="G107" s="21">
        <f>E107*DevBudget!$B$6</f>
        <v/>
      </c>
      <c r="H107" s="21">
        <f>E107*DevBudget!$B$7</f>
        <v/>
      </c>
      <c r="I107" s="21">
        <f>E107*DevBudget!$B$8</f>
        <v/>
      </c>
      <c r="J107" s="21">
        <f>E107*(DevBudget!$B$9+DevBudget!$B$10)</f>
        <v/>
      </c>
      <c r="K107" s="21">
        <f>E107*DevBudget!$B$12</f>
        <v/>
      </c>
      <c r="L107" s="21">
        <f>E107*DevBudget!$B$13</f>
        <v/>
      </c>
      <c r="M107" s="21">
        <f>IF(A107=Assumptions!$B$9,Assumptions!$B$69+Assumptions!$B$72,0)+IF(A107=$AE$4,Assumptions!$B$70+Assumptions!$B$71+Assumptions!$B$73,0)</f>
        <v/>
      </c>
      <c r="N107" s="21">
        <f>E107*DevBudget!$B$16</f>
        <v/>
      </c>
      <c r="O107" s="21">
        <f>SUM(F107:N107)</f>
        <v/>
      </c>
      <c r="P107" s="21">
        <f>P106+O107</f>
        <v/>
      </c>
      <c r="Q107" s="21">
        <f>MIN(O107,MAX(0,DevBudget!$B$19-R106))</f>
        <v/>
      </c>
      <c r="R107" s="21">
        <f>R106+Q107</f>
        <v/>
      </c>
      <c r="S107" s="21">
        <f>MIN(MAX(0,O107-Q107),MAX(0,Assumptions!$B$24-T107-U107))</f>
        <v/>
      </c>
      <c r="T107" s="21">
        <f>W106</f>
        <v/>
      </c>
      <c r="U107" s="21">
        <f>T107*Assumptions!$B$25/12</f>
        <v/>
      </c>
      <c r="V107" s="21">
        <f>MIN(T107+U107+S107,MAX(0,Z107+AA107))</f>
        <v/>
      </c>
      <c r="W107" s="21">
        <f>T107+S107+U107-V107</f>
        <v/>
      </c>
      <c r="X107" s="21">
        <f>IF(AND(A107&gt;=$AE$2,A107&lt;=Assumptions!$B$58),(MIN(Program!$D$5,MAX(0,(A107-$AE$2+1)*Assumptions!$B$39))*Assumptions!$B$29*(1+Assumptions!$B$31)*(1-Assumptions!$B$32)+Program!$D$9*Assumptions!$B$43*Assumptions!$B$44/12+Program!$D$5*Assumptions!$B$35*Assumptions!$B$34-Program!$D$5*Assumptions!$B$33/12-Assumptions!$B$36*Assumptions!$B$38/12),0)</f>
        <v/>
      </c>
      <c r="Y107" s="21">
        <f>IF(AND(A107&gt;=$AE$4,A107&lt;=Assumptions!$B$59),(MIN(Program!$C$5,MAX(0,(A107-$AE$4+1)*Assumptions!$B$39))*Assumptions!$B$30*(1+Assumptions!$B$31)*(1-Assumptions!$B$32)+Program!$C$9*Assumptions!$B$43*Assumptions!$B$44/12+Program!$C$5*Assumptions!$B$35*Assumptions!$B$34-Program!$C$5*Assumptions!$B$33/12-Assumptions!$B$37*Assumptions!$B$38/12),0)</f>
        <v/>
      </c>
      <c r="Z107" s="31">
        <f>SUMIF(Sellout!$A$6:$A$35,A107,Sellout!$D$6:$D$35)*(1-Assumptions!$B$49)</f>
        <v/>
      </c>
      <c r="AA107" s="31">
        <f>IF(A107=Assumptions!$B$58,Ops!$B$23,0)+IF(A107=Assumptions!$B$59,Ops!$C$23,0)</f>
        <v/>
      </c>
      <c r="AB107" s="21">
        <f>-O107+X107+Y107+Z107+AA107</f>
        <v/>
      </c>
      <c r="AC107" s="21">
        <f>AB107+S107-V107</f>
        <v/>
      </c>
    </row>
    <row r="108">
      <c r="A108" s="42" t="n">
        <v>103</v>
      </c>
      <c r="B108" s="43">
        <f>EDATE(Assumptions!$B$7,A108-1)</f>
        <v/>
      </c>
      <c r="C108" s="30">
        <f>IF(A108&lt;Assumptions!$B$9,"Pre-dev",IF(A108&lt;$AE$2,"Construction",IF(A108&lt;=Assumptions!$B$59,"Lease-up / exit","Tail")))</f>
        <v/>
      </c>
      <c r="D108" s="42">
        <f>IF(AND(A108&gt;=Assumptions!$B$9,A108&lt;$AE$2),(A108-Assumptions!$B$9+1)*($AE$2-A108),0)</f>
        <v/>
      </c>
      <c r="E108" s="44">
        <f>IFERROR(D108/$AE$6,0)</f>
        <v/>
      </c>
      <c r="F108" s="21">
        <f>IF(A108=1,DevBudget!$B$5,0)</f>
        <v/>
      </c>
      <c r="G108" s="21">
        <f>E108*DevBudget!$B$6</f>
        <v/>
      </c>
      <c r="H108" s="21">
        <f>E108*DevBudget!$B$7</f>
        <v/>
      </c>
      <c r="I108" s="21">
        <f>E108*DevBudget!$B$8</f>
        <v/>
      </c>
      <c r="J108" s="21">
        <f>E108*(DevBudget!$B$9+DevBudget!$B$10)</f>
        <v/>
      </c>
      <c r="K108" s="21">
        <f>E108*DevBudget!$B$12</f>
        <v/>
      </c>
      <c r="L108" s="21">
        <f>E108*DevBudget!$B$13</f>
        <v/>
      </c>
      <c r="M108" s="21">
        <f>IF(A108=Assumptions!$B$9,Assumptions!$B$69+Assumptions!$B$72,0)+IF(A108=$AE$4,Assumptions!$B$70+Assumptions!$B$71+Assumptions!$B$73,0)</f>
        <v/>
      </c>
      <c r="N108" s="21">
        <f>E108*DevBudget!$B$16</f>
        <v/>
      </c>
      <c r="O108" s="21">
        <f>SUM(F108:N108)</f>
        <v/>
      </c>
      <c r="P108" s="21">
        <f>P107+O108</f>
        <v/>
      </c>
      <c r="Q108" s="21">
        <f>MIN(O108,MAX(0,DevBudget!$B$19-R107))</f>
        <v/>
      </c>
      <c r="R108" s="21">
        <f>R107+Q108</f>
        <v/>
      </c>
      <c r="S108" s="21">
        <f>MIN(MAX(0,O108-Q108),MAX(0,Assumptions!$B$24-T108-U108))</f>
        <v/>
      </c>
      <c r="T108" s="21">
        <f>W107</f>
        <v/>
      </c>
      <c r="U108" s="21">
        <f>T108*Assumptions!$B$25/12</f>
        <v/>
      </c>
      <c r="V108" s="21">
        <f>MIN(T108+U108+S108,MAX(0,Z108+AA108))</f>
        <v/>
      </c>
      <c r="W108" s="21">
        <f>T108+S108+U108-V108</f>
        <v/>
      </c>
      <c r="X108" s="21">
        <f>IF(AND(A108&gt;=$AE$2,A108&lt;=Assumptions!$B$58),(MIN(Program!$D$5,MAX(0,(A108-$AE$2+1)*Assumptions!$B$39))*Assumptions!$B$29*(1+Assumptions!$B$31)*(1-Assumptions!$B$32)+Program!$D$9*Assumptions!$B$43*Assumptions!$B$44/12+Program!$D$5*Assumptions!$B$35*Assumptions!$B$34-Program!$D$5*Assumptions!$B$33/12-Assumptions!$B$36*Assumptions!$B$38/12),0)</f>
        <v/>
      </c>
      <c r="Y108" s="21">
        <f>IF(AND(A108&gt;=$AE$4,A108&lt;=Assumptions!$B$59),(MIN(Program!$C$5,MAX(0,(A108-$AE$4+1)*Assumptions!$B$39))*Assumptions!$B$30*(1+Assumptions!$B$31)*(1-Assumptions!$B$32)+Program!$C$9*Assumptions!$B$43*Assumptions!$B$44/12+Program!$C$5*Assumptions!$B$35*Assumptions!$B$34-Program!$C$5*Assumptions!$B$33/12-Assumptions!$B$37*Assumptions!$B$38/12),0)</f>
        <v/>
      </c>
      <c r="Z108" s="31">
        <f>SUMIF(Sellout!$A$6:$A$35,A108,Sellout!$D$6:$D$35)*(1-Assumptions!$B$49)</f>
        <v/>
      </c>
      <c r="AA108" s="31">
        <f>IF(A108=Assumptions!$B$58,Ops!$B$23,0)+IF(A108=Assumptions!$B$59,Ops!$C$23,0)</f>
        <v/>
      </c>
      <c r="AB108" s="21">
        <f>-O108+X108+Y108+Z108+AA108</f>
        <v/>
      </c>
      <c r="AC108" s="21">
        <f>AB108+S108-V108</f>
        <v/>
      </c>
    </row>
    <row r="109">
      <c r="A109" s="42" t="n">
        <v>104</v>
      </c>
      <c r="B109" s="43">
        <f>EDATE(Assumptions!$B$7,A109-1)</f>
        <v/>
      </c>
      <c r="C109" s="30">
        <f>IF(A109&lt;Assumptions!$B$9,"Pre-dev",IF(A109&lt;$AE$2,"Construction",IF(A109&lt;=Assumptions!$B$59,"Lease-up / exit","Tail")))</f>
        <v/>
      </c>
      <c r="D109" s="42">
        <f>IF(AND(A109&gt;=Assumptions!$B$9,A109&lt;$AE$2),(A109-Assumptions!$B$9+1)*($AE$2-A109),0)</f>
        <v/>
      </c>
      <c r="E109" s="44">
        <f>IFERROR(D109/$AE$6,0)</f>
        <v/>
      </c>
      <c r="F109" s="21">
        <f>IF(A109=1,DevBudget!$B$5,0)</f>
        <v/>
      </c>
      <c r="G109" s="21">
        <f>E109*DevBudget!$B$6</f>
        <v/>
      </c>
      <c r="H109" s="21">
        <f>E109*DevBudget!$B$7</f>
        <v/>
      </c>
      <c r="I109" s="21">
        <f>E109*DevBudget!$B$8</f>
        <v/>
      </c>
      <c r="J109" s="21">
        <f>E109*(DevBudget!$B$9+DevBudget!$B$10)</f>
        <v/>
      </c>
      <c r="K109" s="21">
        <f>E109*DevBudget!$B$12</f>
        <v/>
      </c>
      <c r="L109" s="21">
        <f>E109*DevBudget!$B$13</f>
        <v/>
      </c>
      <c r="M109" s="21">
        <f>IF(A109=Assumptions!$B$9,Assumptions!$B$69+Assumptions!$B$72,0)+IF(A109=$AE$4,Assumptions!$B$70+Assumptions!$B$71+Assumptions!$B$73,0)</f>
        <v/>
      </c>
      <c r="N109" s="21">
        <f>E109*DevBudget!$B$16</f>
        <v/>
      </c>
      <c r="O109" s="21">
        <f>SUM(F109:N109)</f>
        <v/>
      </c>
      <c r="P109" s="21">
        <f>P108+O109</f>
        <v/>
      </c>
      <c r="Q109" s="21">
        <f>MIN(O109,MAX(0,DevBudget!$B$19-R108))</f>
        <v/>
      </c>
      <c r="R109" s="21">
        <f>R108+Q109</f>
        <v/>
      </c>
      <c r="S109" s="21">
        <f>MIN(MAX(0,O109-Q109),MAX(0,Assumptions!$B$24-T109-U109))</f>
        <v/>
      </c>
      <c r="T109" s="21">
        <f>W108</f>
        <v/>
      </c>
      <c r="U109" s="21">
        <f>T109*Assumptions!$B$25/12</f>
        <v/>
      </c>
      <c r="V109" s="21">
        <f>MIN(T109+U109+S109,MAX(0,Z109+AA109))</f>
        <v/>
      </c>
      <c r="W109" s="21">
        <f>T109+S109+U109-V109</f>
        <v/>
      </c>
      <c r="X109" s="21">
        <f>IF(AND(A109&gt;=$AE$2,A109&lt;=Assumptions!$B$58),(MIN(Program!$D$5,MAX(0,(A109-$AE$2+1)*Assumptions!$B$39))*Assumptions!$B$29*(1+Assumptions!$B$31)*(1-Assumptions!$B$32)+Program!$D$9*Assumptions!$B$43*Assumptions!$B$44/12+Program!$D$5*Assumptions!$B$35*Assumptions!$B$34-Program!$D$5*Assumptions!$B$33/12-Assumptions!$B$36*Assumptions!$B$38/12),0)</f>
        <v/>
      </c>
      <c r="Y109" s="21">
        <f>IF(AND(A109&gt;=$AE$4,A109&lt;=Assumptions!$B$59),(MIN(Program!$C$5,MAX(0,(A109-$AE$4+1)*Assumptions!$B$39))*Assumptions!$B$30*(1+Assumptions!$B$31)*(1-Assumptions!$B$32)+Program!$C$9*Assumptions!$B$43*Assumptions!$B$44/12+Program!$C$5*Assumptions!$B$35*Assumptions!$B$34-Program!$C$5*Assumptions!$B$33/12-Assumptions!$B$37*Assumptions!$B$38/12),0)</f>
        <v/>
      </c>
      <c r="Z109" s="31">
        <f>SUMIF(Sellout!$A$6:$A$35,A109,Sellout!$D$6:$D$35)*(1-Assumptions!$B$49)</f>
        <v/>
      </c>
      <c r="AA109" s="31">
        <f>IF(A109=Assumptions!$B$58,Ops!$B$23,0)+IF(A109=Assumptions!$B$59,Ops!$C$23,0)</f>
        <v/>
      </c>
      <c r="AB109" s="21">
        <f>-O109+X109+Y109+Z109+AA109</f>
        <v/>
      </c>
      <c r="AC109" s="21">
        <f>AB109+S109-V109</f>
        <v/>
      </c>
    </row>
    <row r="110">
      <c r="A110" s="42" t="n">
        <v>105</v>
      </c>
      <c r="B110" s="43">
        <f>EDATE(Assumptions!$B$7,A110-1)</f>
        <v/>
      </c>
      <c r="C110" s="30">
        <f>IF(A110&lt;Assumptions!$B$9,"Pre-dev",IF(A110&lt;$AE$2,"Construction",IF(A110&lt;=Assumptions!$B$59,"Lease-up / exit","Tail")))</f>
        <v/>
      </c>
      <c r="D110" s="42">
        <f>IF(AND(A110&gt;=Assumptions!$B$9,A110&lt;$AE$2),(A110-Assumptions!$B$9+1)*($AE$2-A110),0)</f>
        <v/>
      </c>
      <c r="E110" s="44">
        <f>IFERROR(D110/$AE$6,0)</f>
        <v/>
      </c>
      <c r="F110" s="21">
        <f>IF(A110=1,DevBudget!$B$5,0)</f>
        <v/>
      </c>
      <c r="G110" s="21">
        <f>E110*DevBudget!$B$6</f>
        <v/>
      </c>
      <c r="H110" s="21">
        <f>E110*DevBudget!$B$7</f>
        <v/>
      </c>
      <c r="I110" s="21">
        <f>E110*DevBudget!$B$8</f>
        <v/>
      </c>
      <c r="J110" s="21">
        <f>E110*(DevBudget!$B$9+DevBudget!$B$10)</f>
        <v/>
      </c>
      <c r="K110" s="21">
        <f>E110*DevBudget!$B$12</f>
        <v/>
      </c>
      <c r="L110" s="21">
        <f>E110*DevBudget!$B$13</f>
        <v/>
      </c>
      <c r="M110" s="21">
        <f>IF(A110=Assumptions!$B$9,Assumptions!$B$69+Assumptions!$B$72,0)+IF(A110=$AE$4,Assumptions!$B$70+Assumptions!$B$71+Assumptions!$B$73,0)</f>
        <v/>
      </c>
      <c r="N110" s="21">
        <f>E110*DevBudget!$B$16</f>
        <v/>
      </c>
      <c r="O110" s="21">
        <f>SUM(F110:N110)</f>
        <v/>
      </c>
      <c r="P110" s="21">
        <f>P109+O110</f>
        <v/>
      </c>
      <c r="Q110" s="21">
        <f>MIN(O110,MAX(0,DevBudget!$B$19-R109))</f>
        <v/>
      </c>
      <c r="R110" s="21">
        <f>R109+Q110</f>
        <v/>
      </c>
      <c r="S110" s="21">
        <f>MIN(MAX(0,O110-Q110),MAX(0,Assumptions!$B$24-T110-U110))</f>
        <v/>
      </c>
      <c r="T110" s="21">
        <f>W109</f>
        <v/>
      </c>
      <c r="U110" s="21">
        <f>T110*Assumptions!$B$25/12</f>
        <v/>
      </c>
      <c r="V110" s="21">
        <f>MIN(T110+U110+S110,MAX(0,Z110+AA110))</f>
        <v/>
      </c>
      <c r="W110" s="21">
        <f>T110+S110+U110-V110</f>
        <v/>
      </c>
      <c r="X110" s="21">
        <f>IF(AND(A110&gt;=$AE$2,A110&lt;=Assumptions!$B$58),(MIN(Program!$D$5,MAX(0,(A110-$AE$2+1)*Assumptions!$B$39))*Assumptions!$B$29*(1+Assumptions!$B$31)*(1-Assumptions!$B$32)+Program!$D$9*Assumptions!$B$43*Assumptions!$B$44/12+Program!$D$5*Assumptions!$B$35*Assumptions!$B$34-Program!$D$5*Assumptions!$B$33/12-Assumptions!$B$36*Assumptions!$B$38/12),0)</f>
        <v/>
      </c>
      <c r="Y110" s="21">
        <f>IF(AND(A110&gt;=$AE$4,A110&lt;=Assumptions!$B$59),(MIN(Program!$C$5,MAX(0,(A110-$AE$4+1)*Assumptions!$B$39))*Assumptions!$B$30*(1+Assumptions!$B$31)*(1-Assumptions!$B$32)+Program!$C$9*Assumptions!$B$43*Assumptions!$B$44/12+Program!$C$5*Assumptions!$B$35*Assumptions!$B$34-Program!$C$5*Assumptions!$B$33/12-Assumptions!$B$37*Assumptions!$B$38/12),0)</f>
        <v/>
      </c>
      <c r="Z110" s="31">
        <f>SUMIF(Sellout!$A$6:$A$35,A110,Sellout!$D$6:$D$35)*(1-Assumptions!$B$49)</f>
        <v/>
      </c>
      <c r="AA110" s="31">
        <f>IF(A110=Assumptions!$B$58,Ops!$B$23,0)+IF(A110=Assumptions!$B$59,Ops!$C$23,0)</f>
        <v/>
      </c>
      <c r="AB110" s="21">
        <f>-O110+X110+Y110+Z110+AA110</f>
        <v/>
      </c>
      <c r="AC110" s="21">
        <f>AB110+S110-V110</f>
        <v/>
      </c>
    </row>
    <row r="111">
      <c r="A111" s="42" t="n">
        <v>106</v>
      </c>
      <c r="B111" s="43">
        <f>EDATE(Assumptions!$B$7,A111-1)</f>
        <v/>
      </c>
      <c r="C111" s="30">
        <f>IF(A111&lt;Assumptions!$B$9,"Pre-dev",IF(A111&lt;$AE$2,"Construction",IF(A111&lt;=Assumptions!$B$59,"Lease-up / exit","Tail")))</f>
        <v/>
      </c>
      <c r="D111" s="42">
        <f>IF(AND(A111&gt;=Assumptions!$B$9,A111&lt;$AE$2),(A111-Assumptions!$B$9+1)*($AE$2-A111),0)</f>
        <v/>
      </c>
      <c r="E111" s="44">
        <f>IFERROR(D111/$AE$6,0)</f>
        <v/>
      </c>
      <c r="F111" s="21">
        <f>IF(A111=1,DevBudget!$B$5,0)</f>
        <v/>
      </c>
      <c r="G111" s="21">
        <f>E111*DevBudget!$B$6</f>
        <v/>
      </c>
      <c r="H111" s="21">
        <f>E111*DevBudget!$B$7</f>
        <v/>
      </c>
      <c r="I111" s="21">
        <f>E111*DevBudget!$B$8</f>
        <v/>
      </c>
      <c r="J111" s="21">
        <f>E111*(DevBudget!$B$9+DevBudget!$B$10)</f>
        <v/>
      </c>
      <c r="K111" s="21">
        <f>E111*DevBudget!$B$12</f>
        <v/>
      </c>
      <c r="L111" s="21">
        <f>E111*DevBudget!$B$13</f>
        <v/>
      </c>
      <c r="M111" s="21">
        <f>IF(A111=Assumptions!$B$9,Assumptions!$B$69+Assumptions!$B$72,0)+IF(A111=$AE$4,Assumptions!$B$70+Assumptions!$B$71+Assumptions!$B$73,0)</f>
        <v/>
      </c>
      <c r="N111" s="21">
        <f>E111*DevBudget!$B$16</f>
        <v/>
      </c>
      <c r="O111" s="21">
        <f>SUM(F111:N111)</f>
        <v/>
      </c>
      <c r="P111" s="21">
        <f>P110+O111</f>
        <v/>
      </c>
      <c r="Q111" s="21">
        <f>MIN(O111,MAX(0,DevBudget!$B$19-R110))</f>
        <v/>
      </c>
      <c r="R111" s="21">
        <f>R110+Q111</f>
        <v/>
      </c>
      <c r="S111" s="21">
        <f>MIN(MAX(0,O111-Q111),MAX(0,Assumptions!$B$24-T111-U111))</f>
        <v/>
      </c>
      <c r="T111" s="21">
        <f>W110</f>
        <v/>
      </c>
      <c r="U111" s="21">
        <f>T111*Assumptions!$B$25/12</f>
        <v/>
      </c>
      <c r="V111" s="21">
        <f>MIN(T111+U111+S111,MAX(0,Z111+AA111))</f>
        <v/>
      </c>
      <c r="W111" s="21">
        <f>T111+S111+U111-V111</f>
        <v/>
      </c>
      <c r="X111" s="21">
        <f>IF(AND(A111&gt;=$AE$2,A111&lt;=Assumptions!$B$58),(MIN(Program!$D$5,MAX(0,(A111-$AE$2+1)*Assumptions!$B$39))*Assumptions!$B$29*(1+Assumptions!$B$31)*(1-Assumptions!$B$32)+Program!$D$9*Assumptions!$B$43*Assumptions!$B$44/12+Program!$D$5*Assumptions!$B$35*Assumptions!$B$34-Program!$D$5*Assumptions!$B$33/12-Assumptions!$B$36*Assumptions!$B$38/12),0)</f>
        <v/>
      </c>
      <c r="Y111" s="21">
        <f>IF(AND(A111&gt;=$AE$4,A111&lt;=Assumptions!$B$59),(MIN(Program!$C$5,MAX(0,(A111-$AE$4+1)*Assumptions!$B$39))*Assumptions!$B$30*(1+Assumptions!$B$31)*(1-Assumptions!$B$32)+Program!$C$9*Assumptions!$B$43*Assumptions!$B$44/12+Program!$C$5*Assumptions!$B$35*Assumptions!$B$34-Program!$C$5*Assumptions!$B$33/12-Assumptions!$B$37*Assumptions!$B$38/12),0)</f>
        <v/>
      </c>
      <c r="Z111" s="31">
        <f>SUMIF(Sellout!$A$6:$A$35,A111,Sellout!$D$6:$D$35)*(1-Assumptions!$B$49)</f>
        <v/>
      </c>
      <c r="AA111" s="31">
        <f>IF(A111=Assumptions!$B$58,Ops!$B$23,0)+IF(A111=Assumptions!$B$59,Ops!$C$23,0)</f>
        <v/>
      </c>
      <c r="AB111" s="21">
        <f>-O111+X111+Y111+Z111+AA111</f>
        <v/>
      </c>
      <c r="AC111" s="21">
        <f>AB111+S111-V111</f>
        <v/>
      </c>
    </row>
    <row r="112">
      <c r="A112" s="42" t="n">
        <v>107</v>
      </c>
      <c r="B112" s="43">
        <f>EDATE(Assumptions!$B$7,A112-1)</f>
        <v/>
      </c>
      <c r="C112" s="30">
        <f>IF(A112&lt;Assumptions!$B$9,"Pre-dev",IF(A112&lt;$AE$2,"Construction",IF(A112&lt;=Assumptions!$B$59,"Lease-up / exit","Tail")))</f>
        <v/>
      </c>
      <c r="D112" s="42">
        <f>IF(AND(A112&gt;=Assumptions!$B$9,A112&lt;$AE$2),(A112-Assumptions!$B$9+1)*($AE$2-A112),0)</f>
        <v/>
      </c>
      <c r="E112" s="44">
        <f>IFERROR(D112/$AE$6,0)</f>
        <v/>
      </c>
      <c r="F112" s="21">
        <f>IF(A112=1,DevBudget!$B$5,0)</f>
        <v/>
      </c>
      <c r="G112" s="21">
        <f>E112*DevBudget!$B$6</f>
        <v/>
      </c>
      <c r="H112" s="21">
        <f>E112*DevBudget!$B$7</f>
        <v/>
      </c>
      <c r="I112" s="21">
        <f>E112*DevBudget!$B$8</f>
        <v/>
      </c>
      <c r="J112" s="21">
        <f>E112*(DevBudget!$B$9+DevBudget!$B$10)</f>
        <v/>
      </c>
      <c r="K112" s="21">
        <f>E112*DevBudget!$B$12</f>
        <v/>
      </c>
      <c r="L112" s="21">
        <f>E112*DevBudget!$B$13</f>
        <v/>
      </c>
      <c r="M112" s="21">
        <f>IF(A112=Assumptions!$B$9,Assumptions!$B$69+Assumptions!$B$72,0)+IF(A112=$AE$4,Assumptions!$B$70+Assumptions!$B$71+Assumptions!$B$73,0)</f>
        <v/>
      </c>
      <c r="N112" s="21">
        <f>E112*DevBudget!$B$16</f>
        <v/>
      </c>
      <c r="O112" s="21">
        <f>SUM(F112:N112)</f>
        <v/>
      </c>
      <c r="P112" s="21">
        <f>P111+O112</f>
        <v/>
      </c>
      <c r="Q112" s="21">
        <f>MIN(O112,MAX(0,DevBudget!$B$19-R111))</f>
        <v/>
      </c>
      <c r="R112" s="21">
        <f>R111+Q112</f>
        <v/>
      </c>
      <c r="S112" s="21">
        <f>MIN(MAX(0,O112-Q112),MAX(0,Assumptions!$B$24-T112-U112))</f>
        <v/>
      </c>
      <c r="T112" s="21">
        <f>W111</f>
        <v/>
      </c>
      <c r="U112" s="21">
        <f>T112*Assumptions!$B$25/12</f>
        <v/>
      </c>
      <c r="V112" s="21">
        <f>MIN(T112+U112+S112,MAX(0,Z112+AA112))</f>
        <v/>
      </c>
      <c r="W112" s="21">
        <f>T112+S112+U112-V112</f>
        <v/>
      </c>
      <c r="X112" s="21">
        <f>IF(AND(A112&gt;=$AE$2,A112&lt;=Assumptions!$B$58),(MIN(Program!$D$5,MAX(0,(A112-$AE$2+1)*Assumptions!$B$39))*Assumptions!$B$29*(1+Assumptions!$B$31)*(1-Assumptions!$B$32)+Program!$D$9*Assumptions!$B$43*Assumptions!$B$44/12+Program!$D$5*Assumptions!$B$35*Assumptions!$B$34-Program!$D$5*Assumptions!$B$33/12-Assumptions!$B$36*Assumptions!$B$38/12),0)</f>
        <v/>
      </c>
      <c r="Y112" s="21">
        <f>IF(AND(A112&gt;=$AE$4,A112&lt;=Assumptions!$B$59),(MIN(Program!$C$5,MAX(0,(A112-$AE$4+1)*Assumptions!$B$39))*Assumptions!$B$30*(1+Assumptions!$B$31)*(1-Assumptions!$B$32)+Program!$C$9*Assumptions!$B$43*Assumptions!$B$44/12+Program!$C$5*Assumptions!$B$35*Assumptions!$B$34-Program!$C$5*Assumptions!$B$33/12-Assumptions!$B$37*Assumptions!$B$38/12),0)</f>
        <v/>
      </c>
      <c r="Z112" s="31">
        <f>SUMIF(Sellout!$A$6:$A$35,A112,Sellout!$D$6:$D$35)*(1-Assumptions!$B$49)</f>
        <v/>
      </c>
      <c r="AA112" s="31">
        <f>IF(A112=Assumptions!$B$58,Ops!$B$23,0)+IF(A112=Assumptions!$B$59,Ops!$C$23,0)</f>
        <v/>
      </c>
      <c r="AB112" s="21">
        <f>-O112+X112+Y112+Z112+AA112</f>
        <v/>
      </c>
      <c r="AC112" s="21">
        <f>AB112+S112-V112</f>
        <v/>
      </c>
    </row>
    <row r="113">
      <c r="A113" s="42" t="n">
        <v>108</v>
      </c>
      <c r="B113" s="43">
        <f>EDATE(Assumptions!$B$7,A113-1)</f>
        <v/>
      </c>
      <c r="C113" s="30">
        <f>IF(A113&lt;Assumptions!$B$9,"Pre-dev",IF(A113&lt;$AE$2,"Construction",IF(A113&lt;=Assumptions!$B$59,"Lease-up / exit","Tail")))</f>
        <v/>
      </c>
      <c r="D113" s="42">
        <f>IF(AND(A113&gt;=Assumptions!$B$9,A113&lt;$AE$2),(A113-Assumptions!$B$9+1)*($AE$2-A113),0)</f>
        <v/>
      </c>
      <c r="E113" s="44">
        <f>IFERROR(D113/$AE$6,0)</f>
        <v/>
      </c>
      <c r="F113" s="21">
        <f>IF(A113=1,DevBudget!$B$5,0)</f>
        <v/>
      </c>
      <c r="G113" s="21">
        <f>E113*DevBudget!$B$6</f>
        <v/>
      </c>
      <c r="H113" s="21">
        <f>E113*DevBudget!$B$7</f>
        <v/>
      </c>
      <c r="I113" s="21">
        <f>E113*DevBudget!$B$8</f>
        <v/>
      </c>
      <c r="J113" s="21">
        <f>E113*(DevBudget!$B$9+DevBudget!$B$10)</f>
        <v/>
      </c>
      <c r="K113" s="21">
        <f>E113*DevBudget!$B$12</f>
        <v/>
      </c>
      <c r="L113" s="21">
        <f>E113*DevBudget!$B$13</f>
        <v/>
      </c>
      <c r="M113" s="21">
        <f>IF(A113=Assumptions!$B$9,Assumptions!$B$69+Assumptions!$B$72,0)+IF(A113=$AE$4,Assumptions!$B$70+Assumptions!$B$71+Assumptions!$B$73,0)</f>
        <v/>
      </c>
      <c r="N113" s="21">
        <f>E113*DevBudget!$B$16</f>
        <v/>
      </c>
      <c r="O113" s="21">
        <f>SUM(F113:N113)</f>
        <v/>
      </c>
      <c r="P113" s="21">
        <f>P112+O113</f>
        <v/>
      </c>
      <c r="Q113" s="21">
        <f>MIN(O113,MAX(0,DevBudget!$B$19-R112))</f>
        <v/>
      </c>
      <c r="R113" s="21">
        <f>R112+Q113</f>
        <v/>
      </c>
      <c r="S113" s="21">
        <f>MIN(MAX(0,O113-Q113),MAX(0,Assumptions!$B$24-T113-U113))</f>
        <v/>
      </c>
      <c r="T113" s="21">
        <f>W112</f>
        <v/>
      </c>
      <c r="U113" s="21">
        <f>T113*Assumptions!$B$25/12</f>
        <v/>
      </c>
      <c r="V113" s="21">
        <f>MIN(T113+U113+S113,MAX(0,Z113+AA113))</f>
        <v/>
      </c>
      <c r="W113" s="21">
        <f>T113+S113+U113-V113</f>
        <v/>
      </c>
      <c r="X113" s="21">
        <f>IF(AND(A113&gt;=$AE$2,A113&lt;=Assumptions!$B$58),(MIN(Program!$D$5,MAX(0,(A113-$AE$2+1)*Assumptions!$B$39))*Assumptions!$B$29*(1+Assumptions!$B$31)*(1-Assumptions!$B$32)+Program!$D$9*Assumptions!$B$43*Assumptions!$B$44/12+Program!$D$5*Assumptions!$B$35*Assumptions!$B$34-Program!$D$5*Assumptions!$B$33/12-Assumptions!$B$36*Assumptions!$B$38/12),0)</f>
        <v/>
      </c>
      <c r="Y113" s="21">
        <f>IF(AND(A113&gt;=$AE$4,A113&lt;=Assumptions!$B$59),(MIN(Program!$C$5,MAX(0,(A113-$AE$4+1)*Assumptions!$B$39))*Assumptions!$B$30*(1+Assumptions!$B$31)*(1-Assumptions!$B$32)+Program!$C$9*Assumptions!$B$43*Assumptions!$B$44/12+Program!$C$5*Assumptions!$B$35*Assumptions!$B$34-Program!$C$5*Assumptions!$B$33/12-Assumptions!$B$37*Assumptions!$B$38/12),0)</f>
        <v/>
      </c>
      <c r="Z113" s="31">
        <f>SUMIF(Sellout!$A$6:$A$35,A113,Sellout!$D$6:$D$35)*(1-Assumptions!$B$49)</f>
        <v/>
      </c>
      <c r="AA113" s="31">
        <f>IF(A113=Assumptions!$B$58,Ops!$B$23,0)+IF(A113=Assumptions!$B$59,Ops!$C$23,0)</f>
        <v/>
      </c>
      <c r="AB113" s="21">
        <f>-O113+X113+Y113+Z113+AA113</f>
        <v/>
      </c>
      <c r="AC113" s="21">
        <f>AB113+S113-V113</f>
        <v/>
      </c>
    </row>
    <row r="114">
      <c r="A114" s="42" t="n">
        <v>109</v>
      </c>
      <c r="B114" s="43">
        <f>EDATE(Assumptions!$B$7,A114-1)</f>
        <v/>
      </c>
      <c r="C114" s="30">
        <f>IF(A114&lt;Assumptions!$B$9,"Pre-dev",IF(A114&lt;$AE$2,"Construction",IF(A114&lt;=Assumptions!$B$59,"Lease-up / exit","Tail")))</f>
        <v/>
      </c>
      <c r="D114" s="42">
        <f>IF(AND(A114&gt;=Assumptions!$B$9,A114&lt;$AE$2),(A114-Assumptions!$B$9+1)*($AE$2-A114),0)</f>
        <v/>
      </c>
      <c r="E114" s="44">
        <f>IFERROR(D114/$AE$6,0)</f>
        <v/>
      </c>
      <c r="F114" s="21">
        <f>IF(A114=1,DevBudget!$B$5,0)</f>
        <v/>
      </c>
      <c r="G114" s="21">
        <f>E114*DevBudget!$B$6</f>
        <v/>
      </c>
      <c r="H114" s="21">
        <f>E114*DevBudget!$B$7</f>
        <v/>
      </c>
      <c r="I114" s="21">
        <f>E114*DevBudget!$B$8</f>
        <v/>
      </c>
      <c r="J114" s="21">
        <f>E114*(DevBudget!$B$9+DevBudget!$B$10)</f>
        <v/>
      </c>
      <c r="K114" s="21">
        <f>E114*DevBudget!$B$12</f>
        <v/>
      </c>
      <c r="L114" s="21">
        <f>E114*DevBudget!$B$13</f>
        <v/>
      </c>
      <c r="M114" s="21">
        <f>IF(A114=Assumptions!$B$9,Assumptions!$B$69+Assumptions!$B$72,0)+IF(A114=$AE$4,Assumptions!$B$70+Assumptions!$B$71+Assumptions!$B$73,0)</f>
        <v/>
      </c>
      <c r="N114" s="21">
        <f>E114*DevBudget!$B$16</f>
        <v/>
      </c>
      <c r="O114" s="21">
        <f>SUM(F114:N114)</f>
        <v/>
      </c>
      <c r="P114" s="21">
        <f>P113+O114</f>
        <v/>
      </c>
      <c r="Q114" s="21">
        <f>MIN(O114,MAX(0,DevBudget!$B$19-R113))</f>
        <v/>
      </c>
      <c r="R114" s="21">
        <f>R113+Q114</f>
        <v/>
      </c>
      <c r="S114" s="21">
        <f>MIN(MAX(0,O114-Q114),MAX(0,Assumptions!$B$24-T114-U114))</f>
        <v/>
      </c>
      <c r="T114" s="21">
        <f>W113</f>
        <v/>
      </c>
      <c r="U114" s="21">
        <f>T114*Assumptions!$B$25/12</f>
        <v/>
      </c>
      <c r="V114" s="21">
        <f>MIN(T114+U114+S114,MAX(0,Z114+AA114))</f>
        <v/>
      </c>
      <c r="W114" s="21">
        <f>T114+S114+U114-V114</f>
        <v/>
      </c>
      <c r="X114" s="21">
        <f>IF(AND(A114&gt;=$AE$2,A114&lt;=Assumptions!$B$58),(MIN(Program!$D$5,MAX(0,(A114-$AE$2+1)*Assumptions!$B$39))*Assumptions!$B$29*(1+Assumptions!$B$31)*(1-Assumptions!$B$32)+Program!$D$9*Assumptions!$B$43*Assumptions!$B$44/12+Program!$D$5*Assumptions!$B$35*Assumptions!$B$34-Program!$D$5*Assumptions!$B$33/12-Assumptions!$B$36*Assumptions!$B$38/12),0)</f>
        <v/>
      </c>
      <c r="Y114" s="21">
        <f>IF(AND(A114&gt;=$AE$4,A114&lt;=Assumptions!$B$59),(MIN(Program!$C$5,MAX(0,(A114-$AE$4+1)*Assumptions!$B$39))*Assumptions!$B$30*(1+Assumptions!$B$31)*(1-Assumptions!$B$32)+Program!$C$9*Assumptions!$B$43*Assumptions!$B$44/12+Program!$C$5*Assumptions!$B$35*Assumptions!$B$34-Program!$C$5*Assumptions!$B$33/12-Assumptions!$B$37*Assumptions!$B$38/12),0)</f>
        <v/>
      </c>
      <c r="Z114" s="31">
        <f>SUMIF(Sellout!$A$6:$A$35,A114,Sellout!$D$6:$D$35)*(1-Assumptions!$B$49)</f>
        <v/>
      </c>
      <c r="AA114" s="31">
        <f>IF(A114=Assumptions!$B$58,Ops!$B$23,0)+IF(A114=Assumptions!$B$59,Ops!$C$23,0)</f>
        <v/>
      </c>
      <c r="AB114" s="21">
        <f>-O114+X114+Y114+Z114+AA114</f>
        <v/>
      </c>
      <c r="AC114" s="21">
        <f>AB114+S114-V114</f>
        <v/>
      </c>
    </row>
    <row r="115">
      <c r="A115" s="42" t="n">
        <v>110</v>
      </c>
      <c r="B115" s="43">
        <f>EDATE(Assumptions!$B$7,A115-1)</f>
        <v/>
      </c>
      <c r="C115" s="30">
        <f>IF(A115&lt;Assumptions!$B$9,"Pre-dev",IF(A115&lt;$AE$2,"Construction",IF(A115&lt;=Assumptions!$B$59,"Lease-up / exit","Tail")))</f>
        <v/>
      </c>
      <c r="D115" s="42">
        <f>IF(AND(A115&gt;=Assumptions!$B$9,A115&lt;$AE$2),(A115-Assumptions!$B$9+1)*($AE$2-A115),0)</f>
        <v/>
      </c>
      <c r="E115" s="44">
        <f>IFERROR(D115/$AE$6,0)</f>
        <v/>
      </c>
      <c r="F115" s="21">
        <f>IF(A115=1,DevBudget!$B$5,0)</f>
        <v/>
      </c>
      <c r="G115" s="21">
        <f>E115*DevBudget!$B$6</f>
        <v/>
      </c>
      <c r="H115" s="21">
        <f>E115*DevBudget!$B$7</f>
        <v/>
      </c>
      <c r="I115" s="21">
        <f>E115*DevBudget!$B$8</f>
        <v/>
      </c>
      <c r="J115" s="21">
        <f>E115*(DevBudget!$B$9+DevBudget!$B$10)</f>
        <v/>
      </c>
      <c r="K115" s="21">
        <f>E115*DevBudget!$B$12</f>
        <v/>
      </c>
      <c r="L115" s="21">
        <f>E115*DevBudget!$B$13</f>
        <v/>
      </c>
      <c r="M115" s="21">
        <f>IF(A115=Assumptions!$B$9,Assumptions!$B$69+Assumptions!$B$72,0)+IF(A115=$AE$4,Assumptions!$B$70+Assumptions!$B$71+Assumptions!$B$73,0)</f>
        <v/>
      </c>
      <c r="N115" s="21">
        <f>E115*DevBudget!$B$16</f>
        <v/>
      </c>
      <c r="O115" s="21">
        <f>SUM(F115:N115)</f>
        <v/>
      </c>
      <c r="P115" s="21">
        <f>P114+O115</f>
        <v/>
      </c>
      <c r="Q115" s="21">
        <f>MIN(O115,MAX(0,DevBudget!$B$19-R114))</f>
        <v/>
      </c>
      <c r="R115" s="21">
        <f>R114+Q115</f>
        <v/>
      </c>
      <c r="S115" s="21">
        <f>MIN(MAX(0,O115-Q115),MAX(0,Assumptions!$B$24-T115-U115))</f>
        <v/>
      </c>
      <c r="T115" s="21">
        <f>W114</f>
        <v/>
      </c>
      <c r="U115" s="21">
        <f>T115*Assumptions!$B$25/12</f>
        <v/>
      </c>
      <c r="V115" s="21">
        <f>MIN(T115+U115+S115,MAX(0,Z115+AA115))</f>
        <v/>
      </c>
      <c r="W115" s="21">
        <f>T115+S115+U115-V115</f>
        <v/>
      </c>
      <c r="X115" s="21">
        <f>IF(AND(A115&gt;=$AE$2,A115&lt;=Assumptions!$B$58),(MIN(Program!$D$5,MAX(0,(A115-$AE$2+1)*Assumptions!$B$39))*Assumptions!$B$29*(1+Assumptions!$B$31)*(1-Assumptions!$B$32)+Program!$D$9*Assumptions!$B$43*Assumptions!$B$44/12+Program!$D$5*Assumptions!$B$35*Assumptions!$B$34-Program!$D$5*Assumptions!$B$33/12-Assumptions!$B$36*Assumptions!$B$38/12),0)</f>
        <v/>
      </c>
      <c r="Y115" s="21">
        <f>IF(AND(A115&gt;=$AE$4,A115&lt;=Assumptions!$B$59),(MIN(Program!$C$5,MAX(0,(A115-$AE$4+1)*Assumptions!$B$39))*Assumptions!$B$30*(1+Assumptions!$B$31)*(1-Assumptions!$B$32)+Program!$C$9*Assumptions!$B$43*Assumptions!$B$44/12+Program!$C$5*Assumptions!$B$35*Assumptions!$B$34-Program!$C$5*Assumptions!$B$33/12-Assumptions!$B$37*Assumptions!$B$38/12),0)</f>
        <v/>
      </c>
      <c r="Z115" s="31">
        <f>SUMIF(Sellout!$A$6:$A$35,A115,Sellout!$D$6:$D$35)*(1-Assumptions!$B$49)</f>
        <v/>
      </c>
      <c r="AA115" s="31">
        <f>IF(A115=Assumptions!$B$58,Ops!$B$23,0)+IF(A115=Assumptions!$B$59,Ops!$C$23,0)</f>
        <v/>
      </c>
      <c r="AB115" s="21">
        <f>-O115+X115+Y115+Z115+AA115</f>
        <v/>
      </c>
      <c r="AC115" s="21">
        <f>AB115+S115-V115</f>
        <v/>
      </c>
    </row>
    <row r="116">
      <c r="A116" s="42" t="n">
        <v>111</v>
      </c>
      <c r="B116" s="43">
        <f>EDATE(Assumptions!$B$7,A116-1)</f>
        <v/>
      </c>
      <c r="C116" s="30">
        <f>IF(A116&lt;Assumptions!$B$9,"Pre-dev",IF(A116&lt;$AE$2,"Construction",IF(A116&lt;=Assumptions!$B$59,"Lease-up / exit","Tail")))</f>
        <v/>
      </c>
      <c r="D116" s="42">
        <f>IF(AND(A116&gt;=Assumptions!$B$9,A116&lt;$AE$2),(A116-Assumptions!$B$9+1)*($AE$2-A116),0)</f>
        <v/>
      </c>
      <c r="E116" s="44">
        <f>IFERROR(D116/$AE$6,0)</f>
        <v/>
      </c>
      <c r="F116" s="21">
        <f>IF(A116=1,DevBudget!$B$5,0)</f>
        <v/>
      </c>
      <c r="G116" s="21">
        <f>E116*DevBudget!$B$6</f>
        <v/>
      </c>
      <c r="H116" s="21">
        <f>E116*DevBudget!$B$7</f>
        <v/>
      </c>
      <c r="I116" s="21">
        <f>E116*DevBudget!$B$8</f>
        <v/>
      </c>
      <c r="J116" s="21">
        <f>E116*(DevBudget!$B$9+DevBudget!$B$10)</f>
        <v/>
      </c>
      <c r="K116" s="21">
        <f>E116*DevBudget!$B$12</f>
        <v/>
      </c>
      <c r="L116" s="21">
        <f>E116*DevBudget!$B$13</f>
        <v/>
      </c>
      <c r="M116" s="21">
        <f>IF(A116=Assumptions!$B$9,Assumptions!$B$69+Assumptions!$B$72,0)+IF(A116=$AE$4,Assumptions!$B$70+Assumptions!$B$71+Assumptions!$B$73,0)</f>
        <v/>
      </c>
      <c r="N116" s="21">
        <f>E116*DevBudget!$B$16</f>
        <v/>
      </c>
      <c r="O116" s="21">
        <f>SUM(F116:N116)</f>
        <v/>
      </c>
      <c r="P116" s="21">
        <f>P115+O116</f>
        <v/>
      </c>
      <c r="Q116" s="21">
        <f>MIN(O116,MAX(0,DevBudget!$B$19-R115))</f>
        <v/>
      </c>
      <c r="R116" s="21">
        <f>R115+Q116</f>
        <v/>
      </c>
      <c r="S116" s="21">
        <f>MIN(MAX(0,O116-Q116),MAX(0,Assumptions!$B$24-T116-U116))</f>
        <v/>
      </c>
      <c r="T116" s="21">
        <f>W115</f>
        <v/>
      </c>
      <c r="U116" s="21">
        <f>T116*Assumptions!$B$25/12</f>
        <v/>
      </c>
      <c r="V116" s="21">
        <f>MIN(T116+U116+S116,MAX(0,Z116+AA116))</f>
        <v/>
      </c>
      <c r="W116" s="21">
        <f>T116+S116+U116-V116</f>
        <v/>
      </c>
      <c r="X116" s="21">
        <f>IF(AND(A116&gt;=$AE$2,A116&lt;=Assumptions!$B$58),(MIN(Program!$D$5,MAX(0,(A116-$AE$2+1)*Assumptions!$B$39))*Assumptions!$B$29*(1+Assumptions!$B$31)*(1-Assumptions!$B$32)+Program!$D$9*Assumptions!$B$43*Assumptions!$B$44/12+Program!$D$5*Assumptions!$B$35*Assumptions!$B$34-Program!$D$5*Assumptions!$B$33/12-Assumptions!$B$36*Assumptions!$B$38/12),0)</f>
        <v/>
      </c>
      <c r="Y116" s="21">
        <f>IF(AND(A116&gt;=$AE$4,A116&lt;=Assumptions!$B$59),(MIN(Program!$C$5,MAX(0,(A116-$AE$4+1)*Assumptions!$B$39))*Assumptions!$B$30*(1+Assumptions!$B$31)*(1-Assumptions!$B$32)+Program!$C$9*Assumptions!$B$43*Assumptions!$B$44/12+Program!$C$5*Assumptions!$B$35*Assumptions!$B$34-Program!$C$5*Assumptions!$B$33/12-Assumptions!$B$37*Assumptions!$B$38/12),0)</f>
        <v/>
      </c>
      <c r="Z116" s="31">
        <f>SUMIF(Sellout!$A$6:$A$35,A116,Sellout!$D$6:$D$35)*(1-Assumptions!$B$49)</f>
        <v/>
      </c>
      <c r="AA116" s="31">
        <f>IF(A116=Assumptions!$B$58,Ops!$B$23,0)+IF(A116=Assumptions!$B$59,Ops!$C$23,0)</f>
        <v/>
      </c>
      <c r="AB116" s="21">
        <f>-O116+X116+Y116+Z116+AA116</f>
        <v/>
      </c>
      <c r="AC116" s="21">
        <f>AB116+S116-V116</f>
        <v/>
      </c>
    </row>
    <row r="117">
      <c r="A117" s="42" t="n">
        <v>112</v>
      </c>
      <c r="B117" s="43">
        <f>EDATE(Assumptions!$B$7,A117-1)</f>
        <v/>
      </c>
      <c r="C117" s="30">
        <f>IF(A117&lt;Assumptions!$B$9,"Pre-dev",IF(A117&lt;$AE$2,"Construction",IF(A117&lt;=Assumptions!$B$59,"Lease-up / exit","Tail")))</f>
        <v/>
      </c>
      <c r="D117" s="42">
        <f>IF(AND(A117&gt;=Assumptions!$B$9,A117&lt;$AE$2),(A117-Assumptions!$B$9+1)*($AE$2-A117),0)</f>
        <v/>
      </c>
      <c r="E117" s="44">
        <f>IFERROR(D117/$AE$6,0)</f>
        <v/>
      </c>
      <c r="F117" s="21">
        <f>IF(A117=1,DevBudget!$B$5,0)</f>
        <v/>
      </c>
      <c r="G117" s="21">
        <f>E117*DevBudget!$B$6</f>
        <v/>
      </c>
      <c r="H117" s="21">
        <f>E117*DevBudget!$B$7</f>
        <v/>
      </c>
      <c r="I117" s="21">
        <f>E117*DevBudget!$B$8</f>
        <v/>
      </c>
      <c r="J117" s="21">
        <f>E117*(DevBudget!$B$9+DevBudget!$B$10)</f>
        <v/>
      </c>
      <c r="K117" s="21">
        <f>E117*DevBudget!$B$12</f>
        <v/>
      </c>
      <c r="L117" s="21">
        <f>E117*DevBudget!$B$13</f>
        <v/>
      </c>
      <c r="M117" s="21">
        <f>IF(A117=Assumptions!$B$9,Assumptions!$B$69+Assumptions!$B$72,0)+IF(A117=$AE$4,Assumptions!$B$70+Assumptions!$B$71+Assumptions!$B$73,0)</f>
        <v/>
      </c>
      <c r="N117" s="21">
        <f>E117*DevBudget!$B$16</f>
        <v/>
      </c>
      <c r="O117" s="21">
        <f>SUM(F117:N117)</f>
        <v/>
      </c>
      <c r="P117" s="21">
        <f>P116+O117</f>
        <v/>
      </c>
      <c r="Q117" s="21">
        <f>MIN(O117,MAX(0,DevBudget!$B$19-R116))</f>
        <v/>
      </c>
      <c r="R117" s="21">
        <f>R116+Q117</f>
        <v/>
      </c>
      <c r="S117" s="21">
        <f>MIN(MAX(0,O117-Q117),MAX(0,Assumptions!$B$24-T117-U117))</f>
        <v/>
      </c>
      <c r="T117" s="21">
        <f>W116</f>
        <v/>
      </c>
      <c r="U117" s="21">
        <f>T117*Assumptions!$B$25/12</f>
        <v/>
      </c>
      <c r="V117" s="21">
        <f>MIN(T117+U117+S117,MAX(0,Z117+AA117))</f>
        <v/>
      </c>
      <c r="W117" s="21">
        <f>T117+S117+U117-V117</f>
        <v/>
      </c>
      <c r="X117" s="21">
        <f>IF(AND(A117&gt;=$AE$2,A117&lt;=Assumptions!$B$58),(MIN(Program!$D$5,MAX(0,(A117-$AE$2+1)*Assumptions!$B$39))*Assumptions!$B$29*(1+Assumptions!$B$31)*(1-Assumptions!$B$32)+Program!$D$9*Assumptions!$B$43*Assumptions!$B$44/12+Program!$D$5*Assumptions!$B$35*Assumptions!$B$34-Program!$D$5*Assumptions!$B$33/12-Assumptions!$B$36*Assumptions!$B$38/12),0)</f>
        <v/>
      </c>
      <c r="Y117" s="21">
        <f>IF(AND(A117&gt;=$AE$4,A117&lt;=Assumptions!$B$59),(MIN(Program!$C$5,MAX(0,(A117-$AE$4+1)*Assumptions!$B$39))*Assumptions!$B$30*(1+Assumptions!$B$31)*(1-Assumptions!$B$32)+Program!$C$9*Assumptions!$B$43*Assumptions!$B$44/12+Program!$C$5*Assumptions!$B$35*Assumptions!$B$34-Program!$C$5*Assumptions!$B$33/12-Assumptions!$B$37*Assumptions!$B$38/12),0)</f>
        <v/>
      </c>
      <c r="Z117" s="31">
        <f>SUMIF(Sellout!$A$6:$A$35,A117,Sellout!$D$6:$D$35)*(1-Assumptions!$B$49)</f>
        <v/>
      </c>
      <c r="AA117" s="31">
        <f>IF(A117=Assumptions!$B$58,Ops!$B$23,0)+IF(A117=Assumptions!$B$59,Ops!$C$23,0)</f>
        <v/>
      </c>
      <c r="AB117" s="21">
        <f>-O117+X117+Y117+Z117+AA117</f>
        <v/>
      </c>
      <c r="AC117" s="21">
        <f>AB117+S117-V117</f>
        <v/>
      </c>
    </row>
    <row r="118">
      <c r="A118" s="42" t="n">
        <v>113</v>
      </c>
      <c r="B118" s="43">
        <f>EDATE(Assumptions!$B$7,A118-1)</f>
        <v/>
      </c>
      <c r="C118" s="30">
        <f>IF(A118&lt;Assumptions!$B$9,"Pre-dev",IF(A118&lt;$AE$2,"Construction",IF(A118&lt;=Assumptions!$B$59,"Lease-up / exit","Tail")))</f>
        <v/>
      </c>
      <c r="D118" s="42">
        <f>IF(AND(A118&gt;=Assumptions!$B$9,A118&lt;$AE$2),(A118-Assumptions!$B$9+1)*($AE$2-A118),0)</f>
        <v/>
      </c>
      <c r="E118" s="44">
        <f>IFERROR(D118/$AE$6,0)</f>
        <v/>
      </c>
      <c r="F118" s="21">
        <f>IF(A118=1,DevBudget!$B$5,0)</f>
        <v/>
      </c>
      <c r="G118" s="21">
        <f>E118*DevBudget!$B$6</f>
        <v/>
      </c>
      <c r="H118" s="21">
        <f>E118*DevBudget!$B$7</f>
        <v/>
      </c>
      <c r="I118" s="21">
        <f>E118*DevBudget!$B$8</f>
        <v/>
      </c>
      <c r="J118" s="21">
        <f>E118*(DevBudget!$B$9+DevBudget!$B$10)</f>
        <v/>
      </c>
      <c r="K118" s="21">
        <f>E118*DevBudget!$B$12</f>
        <v/>
      </c>
      <c r="L118" s="21">
        <f>E118*DevBudget!$B$13</f>
        <v/>
      </c>
      <c r="M118" s="21">
        <f>IF(A118=Assumptions!$B$9,Assumptions!$B$69+Assumptions!$B$72,0)+IF(A118=$AE$4,Assumptions!$B$70+Assumptions!$B$71+Assumptions!$B$73,0)</f>
        <v/>
      </c>
      <c r="N118" s="21">
        <f>E118*DevBudget!$B$16</f>
        <v/>
      </c>
      <c r="O118" s="21">
        <f>SUM(F118:N118)</f>
        <v/>
      </c>
      <c r="P118" s="21">
        <f>P117+O118</f>
        <v/>
      </c>
      <c r="Q118" s="21">
        <f>MIN(O118,MAX(0,DevBudget!$B$19-R117))</f>
        <v/>
      </c>
      <c r="R118" s="21">
        <f>R117+Q118</f>
        <v/>
      </c>
      <c r="S118" s="21">
        <f>MIN(MAX(0,O118-Q118),MAX(0,Assumptions!$B$24-T118-U118))</f>
        <v/>
      </c>
      <c r="T118" s="21">
        <f>W117</f>
        <v/>
      </c>
      <c r="U118" s="21">
        <f>T118*Assumptions!$B$25/12</f>
        <v/>
      </c>
      <c r="V118" s="21">
        <f>MIN(T118+U118+S118,MAX(0,Z118+AA118))</f>
        <v/>
      </c>
      <c r="W118" s="21">
        <f>T118+S118+U118-V118</f>
        <v/>
      </c>
      <c r="X118" s="21">
        <f>IF(AND(A118&gt;=$AE$2,A118&lt;=Assumptions!$B$58),(MIN(Program!$D$5,MAX(0,(A118-$AE$2+1)*Assumptions!$B$39))*Assumptions!$B$29*(1+Assumptions!$B$31)*(1-Assumptions!$B$32)+Program!$D$9*Assumptions!$B$43*Assumptions!$B$44/12+Program!$D$5*Assumptions!$B$35*Assumptions!$B$34-Program!$D$5*Assumptions!$B$33/12-Assumptions!$B$36*Assumptions!$B$38/12),0)</f>
        <v/>
      </c>
      <c r="Y118" s="21">
        <f>IF(AND(A118&gt;=$AE$4,A118&lt;=Assumptions!$B$59),(MIN(Program!$C$5,MAX(0,(A118-$AE$4+1)*Assumptions!$B$39))*Assumptions!$B$30*(1+Assumptions!$B$31)*(1-Assumptions!$B$32)+Program!$C$9*Assumptions!$B$43*Assumptions!$B$44/12+Program!$C$5*Assumptions!$B$35*Assumptions!$B$34-Program!$C$5*Assumptions!$B$33/12-Assumptions!$B$37*Assumptions!$B$38/12),0)</f>
        <v/>
      </c>
      <c r="Z118" s="31">
        <f>SUMIF(Sellout!$A$6:$A$35,A118,Sellout!$D$6:$D$35)*(1-Assumptions!$B$49)</f>
        <v/>
      </c>
      <c r="AA118" s="31">
        <f>IF(A118=Assumptions!$B$58,Ops!$B$23,0)+IF(A118=Assumptions!$B$59,Ops!$C$23,0)</f>
        <v/>
      </c>
      <c r="AB118" s="21">
        <f>-O118+X118+Y118+Z118+AA118</f>
        <v/>
      </c>
      <c r="AC118" s="21">
        <f>AB118+S118-V118</f>
        <v/>
      </c>
    </row>
    <row r="119">
      <c r="A119" s="42" t="n">
        <v>114</v>
      </c>
      <c r="B119" s="43">
        <f>EDATE(Assumptions!$B$7,A119-1)</f>
        <v/>
      </c>
      <c r="C119" s="30">
        <f>IF(A119&lt;Assumptions!$B$9,"Pre-dev",IF(A119&lt;$AE$2,"Construction",IF(A119&lt;=Assumptions!$B$59,"Lease-up / exit","Tail")))</f>
        <v/>
      </c>
      <c r="D119" s="42">
        <f>IF(AND(A119&gt;=Assumptions!$B$9,A119&lt;$AE$2),(A119-Assumptions!$B$9+1)*($AE$2-A119),0)</f>
        <v/>
      </c>
      <c r="E119" s="44">
        <f>IFERROR(D119/$AE$6,0)</f>
        <v/>
      </c>
      <c r="F119" s="21">
        <f>IF(A119=1,DevBudget!$B$5,0)</f>
        <v/>
      </c>
      <c r="G119" s="21">
        <f>E119*DevBudget!$B$6</f>
        <v/>
      </c>
      <c r="H119" s="21">
        <f>E119*DevBudget!$B$7</f>
        <v/>
      </c>
      <c r="I119" s="21">
        <f>E119*DevBudget!$B$8</f>
        <v/>
      </c>
      <c r="J119" s="21">
        <f>E119*(DevBudget!$B$9+DevBudget!$B$10)</f>
        <v/>
      </c>
      <c r="K119" s="21">
        <f>E119*DevBudget!$B$12</f>
        <v/>
      </c>
      <c r="L119" s="21">
        <f>E119*DevBudget!$B$13</f>
        <v/>
      </c>
      <c r="M119" s="21">
        <f>IF(A119=Assumptions!$B$9,Assumptions!$B$69+Assumptions!$B$72,0)+IF(A119=$AE$4,Assumptions!$B$70+Assumptions!$B$71+Assumptions!$B$73,0)</f>
        <v/>
      </c>
      <c r="N119" s="21">
        <f>E119*DevBudget!$B$16</f>
        <v/>
      </c>
      <c r="O119" s="21">
        <f>SUM(F119:N119)</f>
        <v/>
      </c>
      <c r="P119" s="21">
        <f>P118+O119</f>
        <v/>
      </c>
      <c r="Q119" s="21">
        <f>MIN(O119,MAX(0,DevBudget!$B$19-R118))</f>
        <v/>
      </c>
      <c r="R119" s="21">
        <f>R118+Q119</f>
        <v/>
      </c>
      <c r="S119" s="21">
        <f>MIN(MAX(0,O119-Q119),MAX(0,Assumptions!$B$24-T119-U119))</f>
        <v/>
      </c>
      <c r="T119" s="21">
        <f>W118</f>
        <v/>
      </c>
      <c r="U119" s="21">
        <f>T119*Assumptions!$B$25/12</f>
        <v/>
      </c>
      <c r="V119" s="21">
        <f>MIN(T119+U119+S119,MAX(0,Z119+AA119))</f>
        <v/>
      </c>
      <c r="W119" s="21">
        <f>T119+S119+U119-V119</f>
        <v/>
      </c>
      <c r="X119" s="21">
        <f>IF(AND(A119&gt;=$AE$2,A119&lt;=Assumptions!$B$58),(MIN(Program!$D$5,MAX(0,(A119-$AE$2+1)*Assumptions!$B$39))*Assumptions!$B$29*(1+Assumptions!$B$31)*(1-Assumptions!$B$32)+Program!$D$9*Assumptions!$B$43*Assumptions!$B$44/12+Program!$D$5*Assumptions!$B$35*Assumptions!$B$34-Program!$D$5*Assumptions!$B$33/12-Assumptions!$B$36*Assumptions!$B$38/12),0)</f>
        <v/>
      </c>
      <c r="Y119" s="21">
        <f>IF(AND(A119&gt;=$AE$4,A119&lt;=Assumptions!$B$59),(MIN(Program!$C$5,MAX(0,(A119-$AE$4+1)*Assumptions!$B$39))*Assumptions!$B$30*(1+Assumptions!$B$31)*(1-Assumptions!$B$32)+Program!$C$9*Assumptions!$B$43*Assumptions!$B$44/12+Program!$C$5*Assumptions!$B$35*Assumptions!$B$34-Program!$C$5*Assumptions!$B$33/12-Assumptions!$B$37*Assumptions!$B$38/12),0)</f>
        <v/>
      </c>
      <c r="Z119" s="31">
        <f>SUMIF(Sellout!$A$6:$A$35,A119,Sellout!$D$6:$D$35)*(1-Assumptions!$B$49)</f>
        <v/>
      </c>
      <c r="AA119" s="31">
        <f>IF(A119=Assumptions!$B$58,Ops!$B$23,0)+IF(A119=Assumptions!$B$59,Ops!$C$23,0)</f>
        <v/>
      </c>
      <c r="AB119" s="21">
        <f>-O119+X119+Y119+Z119+AA119</f>
        <v/>
      </c>
      <c r="AC119" s="21">
        <f>AB119+S119-V119</f>
        <v/>
      </c>
    </row>
    <row r="120">
      <c r="A120" s="42" t="n">
        <v>115</v>
      </c>
      <c r="B120" s="43">
        <f>EDATE(Assumptions!$B$7,A120-1)</f>
        <v/>
      </c>
      <c r="C120" s="30">
        <f>IF(A120&lt;Assumptions!$B$9,"Pre-dev",IF(A120&lt;$AE$2,"Construction",IF(A120&lt;=Assumptions!$B$59,"Lease-up / exit","Tail")))</f>
        <v/>
      </c>
      <c r="D120" s="42">
        <f>IF(AND(A120&gt;=Assumptions!$B$9,A120&lt;$AE$2),(A120-Assumptions!$B$9+1)*($AE$2-A120),0)</f>
        <v/>
      </c>
      <c r="E120" s="44">
        <f>IFERROR(D120/$AE$6,0)</f>
        <v/>
      </c>
      <c r="F120" s="21">
        <f>IF(A120=1,DevBudget!$B$5,0)</f>
        <v/>
      </c>
      <c r="G120" s="21">
        <f>E120*DevBudget!$B$6</f>
        <v/>
      </c>
      <c r="H120" s="21">
        <f>E120*DevBudget!$B$7</f>
        <v/>
      </c>
      <c r="I120" s="21">
        <f>E120*DevBudget!$B$8</f>
        <v/>
      </c>
      <c r="J120" s="21">
        <f>E120*(DevBudget!$B$9+DevBudget!$B$10)</f>
        <v/>
      </c>
      <c r="K120" s="21">
        <f>E120*DevBudget!$B$12</f>
        <v/>
      </c>
      <c r="L120" s="21">
        <f>E120*DevBudget!$B$13</f>
        <v/>
      </c>
      <c r="M120" s="21">
        <f>IF(A120=Assumptions!$B$9,Assumptions!$B$69+Assumptions!$B$72,0)+IF(A120=$AE$4,Assumptions!$B$70+Assumptions!$B$71+Assumptions!$B$73,0)</f>
        <v/>
      </c>
      <c r="N120" s="21">
        <f>E120*DevBudget!$B$16</f>
        <v/>
      </c>
      <c r="O120" s="21">
        <f>SUM(F120:N120)</f>
        <v/>
      </c>
      <c r="P120" s="21">
        <f>P119+O120</f>
        <v/>
      </c>
      <c r="Q120" s="21">
        <f>MIN(O120,MAX(0,DevBudget!$B$19-R119))</f>
        <v/>
      </c>
      <c r="R120" s="21">
        <f>R119+Q120</f>
        <v/>
      </c>
      <c r="S120" s="21">
        <f>MIN(MAX(0,O120-Q120),MAX(0,Assumptions!$B$24-T120-U120))</f>
        <v/>
      </c>
      <c r="T120" s="21">
        <f>W119</f>
        <v/>
      </c>
      <c r="U120" s="21">
        <f>T120*Assumptions!$B$25/12</f>
        <v/>
      </c>
      <c r="V120" s="21">
        <f>MIN(T120+U120+S120,MAX(0,Z120+AA120))</f>
        <v/>
      </c>
      <c r="W120" s="21">
        <f>T120+S120+U120-V120</f>
        <v/>
      </c>
      <c r="X120" s="21">
        <f>IF(AND(A120&gt;=$AE$2,A120&lt;=Assumptions!$B$58),(MIN(Program!$D$5,MAX(0,(A120-$AE$2+1)*Assumptions!$B$39))*Assumptions!$B$29*(1+Assumptions!$B$31)*(1-Assumptions!$B$32)+Program!$D$9*Assumptions!$B$43*Assumptions!$B$44/12+Program!$D$5*Assumptions!$B$35*Assumptions!$B$34-Program!$D$5*Assumptions!$B$33/12-Assumptions!$B$36*Assumptions!$B$38/12),0)</f>
        <v/>
      </c>
      <c r="Y120" s="21">
        <f>IF(AND(A120&gt;=$AE$4,A120&lt;=Assumptions!$B$59),(MIN(Program!$C$5,MAX(0,(A120-$AE$4+1)*Assumptions!$B$39))*Assumptions!$B$30*(1+Assumptions!$B$31)*(1-Assumptions!$B$32)+Program!$C$9*Assumptions!$B$43*Assumptions!$B$44/12+Program!$C$5*Assumptions!$B$35*Assumptions!$B$34-Program!$C$5*Assumptions!$B$33/12-Assumptions!$B$37*Assumptions!$B$38/12),0)</f>
        <v/>
      </c>
      <c r="Z120" s="31">
        <f>SUMIF(Sellout!$A$6:$A$35,A120,Sellout!$D$6:$D$35)*(1-Assumptions!$B$49)</f>
        <v/>
      </c>
      <c r="AA120" s="31">
        <f>IF(A120=Assumptions!$B$58,Ops!$B$23,0)+IF(A120=Assumptions!$B$59,Ops!$C$23,0)</f>
        <v/>
      </c>
      <c r="AB120" s="21">
        <f>-O120+X120+Y120+Z120+AA120</f>
        <v/>
      </c>
      <c r="AC120" s="21">
        <f>AB120+S120-V120</f>
        <v/>
      </c>
    </row>
    <row r="121">
      <c r="A121" s="42" t="n">
        <v>116</v>
      </c>
      <c r="B121" s="43">
        <f>EDATE(Assumptions!$B$7,A121-1)</f>
        <v/>
      </c>
      <c r="C121" s="30">
        <f>IF(A121&lt;Assumptions!$B$9,"Pre-dev",IF(A121&lt;$AE$2,"Construction",IF(A121&lt;=Assumptions!$B$59,"Lease-up / exit","Tail")))</f>
        <v/>
      </c>
      <c r="D121" s="42">
        <f>IF(AND(A121&gt;=Assumptions!$B$9,A121&lt;$AE$2),(A121-Assumptions!$B$9+1)*($AE$2-A121),0)</f>
        <v/>
      </c>
      <c r="E121" s="44">
        <f>IFERROR(D121/$AE$6,0)</f>
        <v/>
      </c>
      <c r="F121" s="21">
        <f>IF(A121=1,DevBudget!$B$5,0)</f>
        <v/>
      </c>
      <c r="G121" s="21">
        <f>E121*DevBudget!$B$6</f>
        <v/>
      </c>
      <c r="H121" s="21">
        <f>E121*DevBudget!$B$7</f>
        <v/>
      </c>
      <c r="I121" s="21">
        <f>E121*DevBudget!$B$8</f>
        <v/>
      </c>
      <c r="J121" s="21">
        <f>E121*(DevBudget!$B$9+DevBudget!$B$10)</f>
        <v/>
      </c>
      <c r="K121" s="21">
        <f>E121*DevBudget!$B$12</f>
        <v/>
      </c>
      <c r="L121" s="21">
        <f>E121*DevBudget!$B$13</f>
        <v/>
      </c>
      <c r="M121" s="21">
        <f>IF(A121=Assumptions!$B$9,Assumptions!$B$69+Assumptions!$B$72,0)+IF(A121=$AE$4,Assumptions!$B$70+Assumptions!$B$71+Assumptions!$B$73,0)</f>
        <v/>
      </c>
      <c r="N121" s="21">
        <f>E121*DevBudget!$B$16</f>
        <v/>
      </c>
      <c r="O121" s="21">
        <f>SUM(F121:N121)</f>
        <v/>
      </c>
      <c r="P121" s="21">
        <f>P120+O121</f>
        <v/>
      </c>
      <c r="Q121" s="21">
        <f>MIN(O121,MAX(0,DevBudget!$B$19-R120))</f>
        <v/>
      </c>
      <c r="R121" s="21">
        <f>R120+Q121</f>
        <v/>
      </c>
      <c r="S121" s="21">
        <f>MIN(MAX(0,O121-Q121),MAX(0,Assumptions!$B$24-T121-U121))</f>
        <v/>
      </c>
      <c r="T121" s="21">
        <f>W120</f>
        <v/>
      </c>
      <c r="U121" s="21">
        <f>T121*Assumptions!$B$25/12</f>
        <v/>
      </c>
      <c r="V121" s="21">
        <f>MIN(T121+U121+S121,MAX(0,Z121+AA121))</f>
        <v/>
      </c>
      <c r="W121" s="21">
        <f>T121+S121+U121-V121</f>
        <v/>
      </c>
      <c r="X121" s="21">
        <f>IF(AND(A121&gt;=$AE$2,A121&lt;=Assumptions!$B$58),(MIN(Program!$D$5,MAX(0,(A121-$AE$2+1)*Assumptions!$B$39))*Assumptions!$B$29*(1+Assumptions!$B$31)*(1-Assumptions!$B$32)+Program!$D$9*Assumptions!$B$43*Assumptions!$B$44/12+Program!$D$5*Assumptions!$B$35*Assumptions!$B$34-Program!$D$5*Assumptions!$B$33/12-Assumptions!$B$36*Assumptions!$B$38/12),0)</f>
        <v/>
      </c>
      <c r="Y121" s="21">
        <f>IF(AND(A121&gt;=$AE$4,A121&lt;=Assumptions!$B$59),(MIN(Program!$C$5,MAX(0,(A121-$AE$4+1)*Assumptions!$B$39))*Assumptions!$B$30*(1+Assumptions!$B$31)*(1-Assumptions!$B$32)+Program!$C$9*Assumptions!$B$43*Assumptions!$B$44/12+Program!$C$5*Assumptions!$B$35*Assumptions!$B$34-Program!$C$5*Assumptions!$B$33/12-Assumptions!$B$37*Assumptions!$B$38/12),0)</f>
        <v/>
      </c>
      <c r="Z121" s="31">
        <f>SUMIF(Sellout!$A$6:$A$35,A121,Sellout!$D$6:$D$35)*(1-Assumptions!$B$49)</f>
        <v/>
      </c>
      <c r="AA121" s="31">
        <f>IF(A121=Assumptions!$B$58,Ops!$B$23,0)+IF(A121=Assumptions!$B$59,Ops!$C$23,0)</f>
        <v/>
      </c>
      <c r="AB121" s="21">
        <f>-O121+X121+Y121+Z121+AA121</f>
        <v/>
      </c>
      <c r="AC121" s="21">
        <f>AB121+S121-V121</f>
        <v/>
      </c>
    </row>
    <row r="122">
      <c r="A122" s="42" t="n">
        <v>117</v>
      </c>
      <c r="B122" s="43">
        <f>EDATE(Assumptions!$B$7,A122-1)</f>
        <v/>
      </c>
      <c r="C122" s="30">
        <f>IF(A122&lt;Assumptions!$B$9,"Pre-dev",IF(A122&lt;$AE$2,"Construction",IF(A122&lt;=Assumptions!$B$59,"Lease-up / exit","Tail")))</f>
        <v/>
      </c>
      <c r="D122" s="42">
        <f>IF(AND(A122&gt;=Assumptions!$B$9,A122&lt;$AE$2),(A122-Assumptions!$B$9+1)*($AE$2-A122),0)</f>
        <v/>
      </c>
      <c r="E122" s="44">
        <f>IFERROR(D122/$AE$6,0)</f>
        <v/>
      </c>
      <c r="F122" s="21">
        <f>IF(A122=1,DevBudget!$B$5,0)</f>
        <v/>
      </c>
      <c r="G122" s="21">
        <f>E122*DevBudget!$B$6</f>
        <v/>
      </c>
      <c r="H122" s="21">
        <f>E122*DevBudget!$B$7</f>
        <v/>
      </c>
      <c r="I122" s="21">
        <f>E122*DevBudget!$B$8</f>
        <v/>
      </c>
      <c r="J122" s="21">
        <f>E122*(DevBudget!$B$9+DevBudget!$B$10)</f>
        <v/>
      </c>
      <c r="K122" s="21">
        <f>E122*DevBudget!$B$12</f>
        <v/>
      </c>
      <c r="L122" s="21">
        <f>E122*DevBudget!$B$13</f>
        <v/>
      </c>
      <c r="M122" s="21">
        <f>IF(A122=Assumptions!$B$9,Assumptions!$B$69+Assumptions!$B$72,0)+IF(A122=$AE$4,Assumptions!$B$70+Assumptions!$B$71+Assumptions!$B$73,0)</f>
        <v/>
      </c>
      <c r="N122" s="21">
        <f>E122*DevBudget!$B$16</f>
        <v/>
      </c>
      <c r="O122" s="21">
        <f>SUM(F122:N122)</f>
        <v/>
      </c>
      <c r="P122" s="21">
        <f>P121+O122</f>
        <v/>
      </c>
      <c r="Q122" s="21">
        <f>MIN(O122,MAX(0,DevBudget!$B$19-R121))</f>
        <v/>
      </c>
      <c r="R122" s="21">
        <f>R121+Q122</f>
        <v/>
      </c>
      <c r="S122" s="21">
        <f>MIN(MAX(0,O122-Q122),MAX(0,Assumptions!$B$24-T122-U122))</f>
        <v/>
      </c>
      <c r="T122" s="21">
        <f>W121</f>
        <v/>
      </c>
      <c r="U122" s="21">
        <f>T122*Assumptions!$B$25/12</f>
        <v/>
      </c>
      <c r="V122" s="21">
        <f>MIN(T122+U122+S122,MAX(0,Z122+AA122))</f>
        <v/>
      </c>
      <c r="W122" s="21">
        <f>T122+S122+U122-V122</f>
        <v/>
      </c>
      <c r="X122" s="21">
        <f>IF(AND(A122&gt;=$AE$2,A122&lt;=Assumptions!$B$58),(MIN(Program!$D$5,MAX(0,(A122-$AE$2+1)*Assumptions!$B$39))*Assumptions!$B$29*(1+Assumptions!$B$31)*(1-Assumptions!$B$32)+Program!$D$9*Assumptions!$B$43*Assumptions!$B$44/12+Program!$D$5*Assumptions!$B$35*Assumptions!$B$34-Program!$D$5*Assumptions!$B$33/12-Assumptions!$B$36*Assumptions!$B$38/12),0)</f>
        <v/>
      </c>
      <c r="Y122" s="21">
        <f>IF(AND(A122&gt;=$AE$4,A122&lt;=Assumptions!$B$59),(MIN(Program!$C$5,MAX(0,(A122-$AE$4+1)*Assumptions!$B$39))*Assumptions!$B$30*(1+Assumptions!$B$31)*(1-Assumptions!$B$32)+Program!$C$9*Assumptions!$B$43*Assumptions!$B$44/12+Program!$C$5*Assumptions!$B$35*Assumptions!$B$34-Program!$C$5*Assumptions!$B$33/12-Assumptions!$B$37*Assumptions!$B$38/12),0)</f>
        <v/>
      </c>
      <c r="Z122" s="31">
        <f>SUMIF(Sellout!$A$6:$A$35,A122,Sellout!$D$6:$D$35)*(1-Assumptions!$B$49)</f>
        <v/>
      </c>
      <c r="AA122" s="31">
        <f>IF(A122=Assumptions!$B$58,Ops!$B$23,0)+IF(A122=Assumptions!$B$59,Ops!$C$23,0)</f>
        <v/>
      </c>
      <c r="AB122" s="21">
        <f>-O122+X122+Y122+Z122+AA122</f>
        <v/>
      </c>
      <c r="AC122" s="21">
        <f>AB122+S122-V122</f>
        <v/>
      </c>
    </row>
    <row r="123">
      <c r="A123" s="42" t="n">
        <v>118</v>
      </c>
      <c r="B123" s="43">
        <f>EDATE(Assumptions!$B$7,A123-1)</f>
        <v/>
      </c>
      <c r="C123" s="30">
        <f>IF(A123&lt;Assumptions!$B$9,"Pre-dev",IF(A123&lt;$AE$2,"Construction",IF(A123&lt;=Assumptions!$B$59,"Lease-up / exit","Tail")))</f>
        <v/>
      </c>
      <c r="D123" s="42">
        <f>IF(AND(A123&gt;=Assumptions!$B$9,A123&lt;$AE$2),(A123-Assumptions!$B$9+1)*($AE$2-A123),0)</f>
        <v/>
      </c>
      <c r="E123" s="44">
        <f>IFERROR(D123/$AE$6,0)</f>
        <v/>
      </c>
      <c r="F123" s="21">
        <f>IF(A123=1,DevBudget!$B$5,0)</f>
        <v/>
      </c>
      <c r="G123" s="21">
        <f>E123*DevBudget!$B$6</f>
        <v/>
      </c>
      <c r="H123" s="21">
        <f>E123*DevBudget!$B$7</f>
        <v/>
      </c>
      <c r="I123" s="21">
        <f>E123*DevBudget!$B$8</f>
        <v/>
      </c>
      <c r="J123" s="21">
        <f>E123*(DevBudget!$B$9+DevBudget!$B$10)</f>
        <v/>
      </c>
      <c r="K123" s="21">
        <f>E123*DevBudget!$B$12</f>
        <v/>
      </c>
      <c r="L123" s="21">
        <f>E123*DevBudget!$B$13</f>
        <v/>
      </c>
      <c r="M123" s="21">
        <f>IF(A123=Assumptions!$B$9,Assumptions!$B$69+Assumptions!$B$72,0)+IF(A123=$AE$4,Assumptions!$B$70+Assumptions!$B$71+Assumptions!$B$73,0)</f>
        <v/>
      </c>
      <c r="N123" s="21">
        <f>E123*DevBudget!$B$16</f>
        <v/>
      </c>
      <c r="O123" s="21">
        <f>SUM(F123:N123)</f>
        <v/>
      </c>
      <c r="P123" s="21">
        <f>P122+O123</f>
        <v/>
      </c>
      <c r="Q123" s="21">
        <f>MIN(O123,MAX(0,DevBudget!$B$19-R122))</f>
        <v/>
      </c>
      <c r="R123" s="21">
        <f>R122+Q123</f>
        <v/>
      </c>
      <c r="S123" s="21">
        <f>MIN(MAX(0,O123-Q123),MAX(0,Assumptions!$B$24-T123-U123))</f>
        <v/>
      </c>
      <c r="T123" s="21">
        <f>W122</f>
        <v/>
      </c>
      <c r="U123" s="21">
        <f>T123*Assumptions!$B$25/12</f>
        <v/>
      </c>
      <c r="V123" s="21">
        <f>MIN(T123+U123+S123,MAX(0,Z123+AA123))</f>
        <v/>
      </c>
      <c r="W123" s="21">
        <f>T123+S123+U123-V123</f>
        <v/>
      </c>
      <c r="X123" s="21">
        <f>IF(AND(A123&gt;=$AE$2,A123&lt;=Assumptions!$B$58),(MIN(Program!$D$5,MAX(0,(A123-$AE$2+1)*Assumptions!$B$39))*Assumptions!$B$29*(1+Assumptions!$B$31)*(1-Assumptions!$B$32)+Program!$D$9*Assumptions!$B$43*Assumptions!$B$44/12+Program!$D$5*Assumptions!$B$35*Assumptions!$B$34-Program!$D$5*Assumptions!$B$33/12-Assumptions!$B$36*Assumptions!$B$38/12),0)</f>
        <v/>
      </c>
      <c r="Y123" s="21">
        <f>IF(AND(A123&gt;=$AE$4,A123&lt;=Assumptions!$B$59),(MIN(Program!$C$5,MAX(0,(A123-$AE$4+1)*Assumptions!$B$39))*Assumptions!$B$30*(1+Assumptions!$B$31)*(1-Assumptions!$B$32)+Program!$C$9*Assumptions!$B$43*Assumptions!$B$44/12+Program!$C$5*Assumptions!$B$35*Assumptions!$B$34-Program!$C$5*Assumptions!$B$33/12-Assumptions!$B$37*Assumptions!$B$38/12),0)</f>
        <v/>
      </c>
      <c r="Z123" s="31">
        <f>SUMIF(Sellout!$A$6:$A$35,A123,Sellout!$D$6:$D$35)*(1-Assumptions!$B$49)</f>
        <v/>
      </c>
      <c r="AA123" s="31">
        <f>IF(A123=Assumptions!$B$58,Ops!$B$23,0)+IF(A123=Assumptions!$B$59,Ops!$C$23,0)</f>
        <v/>
      </c>
      <c r="AB123" s="21">
        <f>-O123+X123+Y123+Z123+AA123</f>
        <v/>
      </c>
      <c r="AC123" s="21">
        <f>AB123+S123-V123</f>
        <v/>
      </c>
    </row>
    <row r="124">
      <c r="A124" s="42" t="n">
        <v>119</v>
      </c>
      <c r="B124" s="43">
        <f>EDATE(Assumptions!$B$7,A124-1)</f>
        <v/>
      </c>
      <c r="C124" s="30">
        <f>IF(A124&lt;Assumptions!$B$9,"Pre-dev",IF(A124&lt;$AE$2,"Construction",IF(A124&lt;=Assumptions!$B$59,"Lease-up / exit","Tail")))</f>
        <v/>
      </c>
      <c r="D124" s="42">
        <f>IF(AND(A124&gt;=Assumptions!$B$9,A124&lt;$AE$2),(A124-Assumptions!$B$9+1)*($AE$2-A124),0)</f>
        <v/>
      </c>
      <c r="E124" s="44">
        <f>IFERROR(D124/$AE$6,0)</f>
        <v/>
      </c>
      <c r="F124" s="21">
        <f>IF(A124=1,DevBudget!$B$5,0)</f>
        <v/>
      </c>
      <c r="G124" s="21">
        <f>E124*DevBudget!$B$6</f>
        <v/>
      </c>
      <c r="H124" s="21">
        <f>E124*DevBudget!$B$7</f>
        <v/>
      </c>
      <c r="I124" s="21">
        <f>E124*DevBudget!$B$8</f>
        <v/>
      </c>
      <c r="J124" s="21">
        <f>E124*(DevBudget!$B$9+DevBudget!$B$10)</f>
        <v/>
      </c>
      <c r="K124" s="21">
        <f>E124*DevBudget!$B$12</f>
        <v/>
      </c>
      <c r="L124" s="21">
        <f>E124*DevBudget!$B$13</f>
        <v/>
      </c>
      <c r="M124" s="21">
        <f>IF(A124=Assumptions!$B$9,Assumptions!$B$69+Assumptions!$B$72,0)+IF(A124=$AE$4,Assumptions!$B$70+Assumptions!$B$71+Assumptions!$B$73,0)</f>
        <v/>
      </c>
      <c r="N124" s="21">
        <f>E124*DevBudget!$B$16</f>
        <v/>
      </c>
      <c r="O124" s="21">
        <f>SUM(F124:N124)</f>
        <v/>
      </c>
      <c r="P124" s="21">
        <f>P123+O124</f>
        <v/>
      </c>
      <c r="Q124" s="21">
        <f>MIN(O124,MAX(0,DevBudget!$B$19-R123))</f>
        <v/>
      </c>
      <c r="R124" s="21">
        <f>R123+Q124</f>
        <v/>
      </c>
      <c r="S124" s="21">
        <f>MIN(MAX(0,O124-Q124),MAX(0,Assumptions!$B$24-T124-U124))</f>
        <v/>
      </c>
      <c r="T124" s="21">
        <f>W123</f>
        <v/>
      </c>
      <c r="U124" s="21">
        <f>T124*Assumptions!$B$25/12</f>
        <v/>
      </c>
      <c r="V124" s="21">
        <f>MIN(T124+U124+S124,MAX(0,Z124+AA124))</f>
        <v/>
      </c>
      <c r="W124" s="21">
        <f>T124+S124+U124-V124</f>
        <v/>
      </c>
      <c r="X124" s="21">
        <f>IF(AND(A124&gt;=$AE$2,A124&lt;=Assumptions!$B$58),(MIN(Program!$D$5,MAX(0,(A124-$AE$2+1)*Assumptions!$B$39))*Assumptions!$B$29*(1+Assumptions!$B$31)*(1-Assumptions!$B$32)+Program!$D$9*Assumptions!$B$43*Assumptions!$B$44/12+Program!$D$5*Assumptions!$B$35*Assumptions!$B$34-Program!$D$5*Assumptions!$B$33/12-Assumptions!$B$36*Assumptions!$B$38/12),0)</f>
        <v/>
      </c>
      <c r="Y124" s="21">
        <f>IF(AND(A124&gt;=$AE$4,A124&lt;=Assumptions!$B$59),(MIN(Program!$C$5,MAX(0,(A124-$AE$4+1)*Assumptions!$B$39))*Assumptions!$B$30*(1+Assumptions!$B$31)*(1-Assumptions!$B$32)+Program!$C$9*Assumptions!$B$43*Assumptions!$B$44/12+Program!$C$5*Assumptions!$B$35*Assumptions!$B$34-Program!$C$5*Assumptions!$B$33/12-Assumptions!$B$37*Assumptions!$B$38/12),0)</f>
        <v/>
      </c>
      <c r="Z124" s="31">
        <f>SUMIF(Sellout!$A$6:$A$35,A124,Sellout!$D$6:$D$35)*(1-Assumptions!$B$49)</f>
        <v/>
      </c>
      <c r="AA124" s="31">
        <f>IF(A124=Assumptions!$B$58,Ops!$B$23,0)+IF(A124=Assumptions!$B$59,Ops!$C$23,0)</f>
        <v/>
      </c>
      <c r="AB124" s="21">
        <f>-O124+X124+Y124+Z124+AA124</f>
        <v/>
      </c>
      <c r="AC124" s="21">
        <f>AB124+S124-V124</f>
        <v/>
      </c>
    </row>
    <row r="125">
      <c r="A125" s="42" t="n">
        <v>120</v>
      </c>
      <c r="B125" s="43">
        <f>EDATE(Assumptions!$B$7,A125-1)</f>
        <v/>
      </c>
      <c r="C125" s="30">
        <f>IF(A125&lt;Assumptions!$B$9,"Pre-dev",IF(A125&lt;$AE$2,"Construction",IF(A125&lt;=Assumptions!$B$59,"Lease-up / exit","Tail")))</f>
        <v/>
      </c>
      <c r="D125" s="42">
        <f>IF(AND(A125&gt;=Assumptions!$B$9,A125&lt;$AE$2),(A125-Assumptions!$B$9+1)*($AE$2-A125),0)</f>
        <v/>
      </c>
      <c r="E125" s="44">
        <f>IFERROR(D125/$AE$6,0)</f>
        <v/>
      </c>
      <c r="F125" s="21">
        <f>IF(A125=1,DevBudget!$B$5,0)</f>
        <v/>
      </c>
      <c r="G125" s="21">
        <f>E125*DevBudget!$B$6</f>
        <v/>
      </c>
      <c r="H125" s="21">
        <f>E125*DevBudget!$B$7</f>
        <v/>
      </c>
      <c r="I125" s="21">
        <f>E125*DevBudget!$B$8</f>
        <v/>
      </c>
      <c r="J125" s="21">
        <f>E125*(DevBudget!$B$9+DevBudget!$B$10)</f>
        <v/>
      </c>
      <c r="K125" s="21">
        <f>E125*DevBudget!$B$12</f>
        <v/>
      </c>
      <c r="L125" s="21">
        <f>E125*DevBudget!$B$13</f>
        <v/>
      </c>
      <c r="M125" s="21">
        <f>IF(A125=Assumptions!$B$9,Assumptions!$B$69+Assumptions!$B$72,0)+IF(A125=$AE$4,Assumptions!$B$70+Assumptions!$B$71+Assumptions!$B$73,0)</f>
        <v/>
      </c>
      <c r="N125" s="21">
        <f>E125*DevBudget!$B$16</f>
        <v/>
      </c>
      <c r="O125" s="21">
        <f>SUM(F125:N125)</f>
        <v/>
      </c>
      <c r="P125" s="21">
        <f>P124+O125</f>
        <v/>
      </c>
      <c r="Q125" s="21">
        <f>MIN(O125,MAX(0,DevBudget!$B$19-R124))</f>
        <v/>
      </c>
      <c r="R125" s="21">
        <f>R124+Q125</f>
        <v/>
      </c>
      <c r="S125" s="21">
        <f>MIN(MAX(0,O125-Q125),MAX(0,Assumptions!$B$24-T125-U125))</f>
        <v/>
      </c>
      <c r="T125" s="21">
        <f>W124</f>
        <v/>
      </c>
      <c r="U125" s="21">
        <f>T125*Assumptions!$B$25/12</f>
        <v/>
      </c>
      <c r="V125" s="21">
        <f>MIN(T125+U125+S125,MAX(0,Z125+AA125))</f>
        <v/>
      </c>
      <c r="W125" s="21">
        <f>T125+S125+U125-V125</f>
        <v/>
      </c>
      <c r="X125" s="21">
        <f>IF(AND(A125&gt;=$AE$2,A125&lt;=Assumptions!$B$58),(MIN(Program!$D$5,MAX(0,(A125-$AE$2+1)*Assumptions!$B$39))*Assumptions!$B$29*(1+Assumptions!$B$31)*(1-Assumptions!$B$32)+Program!$D$9*Assumptions!$B$43*Assumptions!$B$44/12+Program!$D$5*Assumptions!$B$35*Assumptions!$B$34-Program!$D$5*Assumptions!$B$33/12-Assumptions!$B$36*Assumptions!$B$38/12),0)</f>
        <v/>
      </c>
      <c r="Y125" s="21">
        <f>IF(AND(A125&gt;=$AE$4,A125&lt;=Assumptions!$B$59),(MIN(Program!$C$5,MAX(0,(A125-$AE$4+1)*Assumptions!$B$39))*Assumptions!$B$30*(1+Assumptions!$B$31)*(1-Assumptions!$B$32)+Program!$C$9*Assumptions!$B$43*Assumptions!$B$44/12+Program!$C$5*Assumptions!$B$35*Assumptions!$B$34-Program!$C$5*Assumptions!$B$33/12-Assumptions!$B$37*Assumptions!$B$38/12),0)</f>
        <v/>
      </c>
      <c r="Z125" s="31">
        <f>SUMIF(Sellout!$A$6:$A$35,A125,Sellout!$D$6:$D$35)*(1-Assumptions!$B$49)</f>
        <v/>
      </c>
      <c r="AA125" s="31">
        <f>IF(A125=Assumptions!$B$58,Ops!$B$23,0)+IF(A125=Assumptions!$B$59,Ops!$C$23,0)</f>
        <v/>
      </c>
      <c r="AB125" s="21">
        <f>-O125+X125+Y125+Z125+AA125</f>
        <v/>
      </c>
      <c r="AC125" s="21">
        <f>AB125+S125-V125</f>
        <v/>
      </c>
    </row>
    <row r="126">
      <c r="A126" s="42" t="n">
        <v>121</v>
      </c>
      <c r="B126" s="43">
        <f>EDATE(Assumptions!$B$7,A126-1)</f>
        <v/>
      </c>
      <c r="C126" s="30">
        <f>IF(A126&lt;Assumptions!$B$9,"Pre-dev",IF(A126&lt;$AE$2,"Construction",IF(A126&lt;=Assumptions!$B$59,"Lease-up / exit","Tail")))</f>
        <v/>
      </c>
      <c r="D126" s="42">
        <f>IF(AND(A126&gt;=Assumptions!$B$9,A126&lt;$AE$2),(A126-Assumptions!$B$9+1)*($AE$2-A126),0)</f>
        <v/>
      </c>
      <c r="E126" s="44">
        <f>IFERROR(D126/$AE$6,0)</f>
        <v/>
      </c>
      <c r="F126" s="21">
        <f>IF(A126=1,DevBudget!$B$5,0)</f>
        <v/>
      </c>
      <c r="G126" s="21">
        <f>E126*DevBudget!$B$6</f>
        <v/>
      </c>
      <c r="H126" s="21">
        <f>E126*DevBudget!$B$7</f>
        <v/>
      </c>
      <c r="I126" s="21">
        <f>E126*DevBudget!$B$8</f>
        <v/>
      </c>
      <c r="J126" s="21">
        <f>E126*(DevBudget!$B$9+DevBudget!$B$10)</f>
        <v/>
      </c>
      <c r="K126" s="21">
        <f>E126*DevBudget!$B$12</f>
        <v/>
      </c>
      <c r="L126" s="21">
        <f>E126*DevBudget!$B$13</f>
        <v/>
      </c>
      <c r="M126" s="21">
        <f>IF(A126=Assumptions!$B$9,Assumptions!$B$69+Assumptions!$B$72,0)+IF(A126=$AE$4,Assumptions!$B$70+Assumptions!$B$71+Assumptions!$B$73,0)</f>
        <v/>
      </c>
      <c r="N126" s="21">
        <f>E126*DevBudget!$B$16</f>
        <v/>
      </c>
      <c r="O126" s="21">
        <f>SUM(F126:N126)</f>
        <v/>
      </c>
      <c r="P126" s="21">
        <f>P125+O126</f>
        <v/>
      </c>
      <c r="Q126" s="21">
        <f>MIN(O126,MAX(0,DevBudget!$B$19-R125))</f>
        <v/>
      </c>
      <c r="R126" s="21">
        <f>R125+Q126</f>
        <v/>
      </c>
      <c r="S126" s="21">
        <f>MIN(MAX(0,O126-Q126),MAX(0,Assumptions!$B$24-T126-U126))</f>
        <v/>
      </c>
      <c r="T126" s="21">
        <f>W125</f>
        <v/>
      </c>
      <c r="U126" s="21">
        <f>T126*Assumptions!$B$25/12</f>
        <v/>
      </c>
      <c r="V126" s="21">
        <f>MIN(T126+U126+S126,MAX(0,Z126+AA126))</f>
        <v/>
      </c>
      <c r="W126" s="21">
        <f>T126+S126+U126-V126</f>
        <v/>
      </c>
      <c r="X126" s="21">
        <f>IF(AND(A126&gt;=$AE$2,A126&lt;=Assumptions!$B$58),(MIN(Program!$D$5,MAX(0,(A126-$AE$2+1)*Assumptions!$B$39))*Assumptions!$B$29*(1+Assumptions!$B$31)*(1-Assumptions!$B$32)+Program!$D$9*Assumptions!$B$43*Assumptions!$B$44/12+Program!$D$5*Assumptions!$B$35*Assumptions!$B$34-Program!$D$5*Assumptions!$B$33/12-Assumptions!$B$36*Assumptions!$B$38/12),0)</f>
        <v/>
      </c>
      <c r="Y126" s="21">
        <f>IF(AND(A126&gt;=$AE$4,A126&lt;=Assumptions!$B$59),(MIN(Program!$C$5,MAX(0,(A126-$AE$4+1)*Assumptions!$B$39))*Assumptions!$B$30*(1+Assumptions!$B$31)*(1-Assumptions!$B$32)+Program!$C$9*Assumptions!$B$43*Assumptions!$B$44/12+Program!$C$5*Assumptions!$B$35*Assumptions!$B$34-Program!$C$5*Assumptions!$B$33/12-Assumptions!$B$37*Assumptions!$B$38/12),0)</f>
        <v/>
      </c>
      <c r="Z126" s="31">
        <f>SUMIF(Sellout!$A$6:$A$35,A126,Sellout!$D$6:$D$35)*(1-Assumptions!$B$49)</f>
        <v/>
      </c>
      <c r="AA126" s="31">
        <f>IF(A126=Assumptions!$B$58,Ops!$B$23,0)+IF(A126=Assumptions!$B$59,Ops!$C$23,0)</f>
        <v/>
      </c>
      <c r="AB126" s="21">
        <f>-O126+X126+Y126+Z126+AA126</f>
        <v/>
      </c>
      <c r="AC126" s="21">
        <f>AB126+S126-V126</f>
        <v/>
      </c>
    </row>
    <row r="127">
      <c r="A127" s="42" t="n">
        <v>122</v>
      </c>
      <c r="B127" s="43">
        <f>EDATE(Assumptions!$B$7,A127-1)</f>
        <v/>
      </c>
      <c r="C127" s="30">
        <f>IF(A127&lt;Assumptions!$B$9,"Pre-dev",IF(A127&lt;$AE$2,"Construction",IF(A127&lt;=Assumptions!$B$59,"Lease-up / exit","Tail")))</f>
        <v/>
      </c>
      <c r="D127" s="42">
        <f>IF(AND(A127&gt;=Assumptions!$B$9,A127&lt;$AE$2),(A127-Assumptions!$B$9+1)*($AE$2-A127),0)</f>
        <v/>
      </c>
      <c r="E127" s="44">
        <f>IFERROR(D127/$AE$6,0)</f>
        <v/>
      </c>
      <c r="F127" s="21">
        <f>IF(A127=1,DevBudget!$B$5,0)</f>
        <v/>
      </c>
      <c r="G127" s="21">
        <f>E127*DevBudget!$B$6</f>
        <v/>
      </c>
      <c r="H127" s="21">
        <f>E127*DevBudget!$B$7</f>
        <v/>
      </c>
      <c r="I127" s="21">
        <f>E127*DevBudget!$B$8</f>
        <v/>
      </c>
      <c r="J127" s="21">
        <f>E127*(DevBudget!$B$9+DevBudget!$B$10)</f>
        <v/>
      </c>
      <c r="K127" s="21">
        <f>E127*DevBudget!$B$12</f>
        <v/>
      </c>
      <c r="L127" s="21">
        <f>E127*DevBudget!$B$13</f>
        <v/>
      </c>
      <c r="M127" s="21">
        <f>IF(A127=Assumptions!$B$9,Assumptions!$B$69+Assumptions!$B$72,0)+IF(A127=$AE$4,Assumptions!$B$70+Assumptions!$B$71+Assumptions!$B$73,0)</f>
        <v/>
      </c>
      <c r="N127" s="21">
        <f>E127*DevBudget!$B$16</f>
        <v/>
      </c>
      <c r="O127" s="21">
        <f>SUM(F127:N127)</f>
        <v/>
      </c>
      <c r="P127" s="21">
        <f>P126+O127</f>
        <v/>
      </c>
      <c r="Q127" s="21">
        <f>MIN(O127,MAX(0,DevBudget!$B$19-R126))</f>
        <v/>
      </c>
      <c r="R127" s="21">
        <f>R126+Q127</f>
        <v/>
      </c>
      <c r="S127" s="21">
        <f>MIN(MAX(0,O127-Q127),MAX(0,Assumptions!$B$24-T127-U127))</f>
        <v/>
      </c>
      <c r="T127" s="21">
        <f>W126</f>
        <v/>
      </c>
      <c r="U127" s="21">
        <f>T127*Assumptions!$B$25/12</f>
        <v/>
      </c>
      <c r="V127" s="21">
        <f>MIN(T127+U127+S127,MAX(0,Z127+AA127))</f>
        <v/>
      </c>
      <c r="W127" s="21">
        <f>T127+S127+U127-V127</f>
        <v/>
      </c>
      <c r="X127" s="21">
        <f>IF(AND(A127&gt;=$AE$2,A127&lt;=Assumptions!$B$58),(MIN(Program!$D$5,MAX(0,(A127-$AE$2+1)*Assumptions!$B$39))*Assumptions!$B$29*(1+Assumptions!$B$31)*(1-Assumptions!$B$32)+Program!$D$9*Assumptions!$B$43*Assumptions!$B$44/12+Program!$D$5*Assumptions!$B$35*Assumptions!$B$34-Program!$D$5*Assumptions!$B$33/12-Assumptions!$B$36*Assumptions!$B$38/12),0)</f>
        <v/>
      </c>
      <c r="Y127" s="21">
        <f>IF(AND(A127&gt;=$AE$4,A127&lt;=Assumptions!$B$59),(MIN(Program!$C$5,MAX(0,(A127-$AE$4+1)*Assumptions!$B$39))*Assumptions!$B$30*(1+Assumptions!$B$31)*(1-Assumptions!$B$32)+Program!$C$9*Assumptions!$B$43*Assumptions!$B$44/12+Program!$C$5*Assumptions!$B$35*Assumptions!$B$34-Program!$C$5*Assumptions!$B$33/12-Assumptions!$B$37*Assumptions!$B$38/12),0)</f>
        <v/>
      </c>
      <c r="Z127" s="31">
        <f>SUMIF(Sellout!$A$6:$A$35,A127,Sellout!$D$6:$D$35)*(1-Assumptions!$B$49)</f>
        <v/>
      </c>
      <c r="AA127" s="31">
        <f>IF(A127=Assumptions!$B$58,Ops!$B$23,0)+IF(A127=Assumptions!$B$59,Ops!$C$23,0)</f>
        <v/>
      </c>
      <c r="AB127" s="21">
        <f>-O127+X127+Y127+Z127+AA127</f>
        <v/>
      </c>
      <c r="AC127" s="21">
        <f>AB127+S127-V127</f>
        <v/>
      </c>
    </row>
    <row r="128">
      <c r="A128" s="42" t="n">
        <v>123</v>
      </c>
      <c r="B128" s="43">
        <f>EDATE(Assumptions!$B$7,A128-1)</f>
        <v/>
      </c>
      <c r="C128" s="30">
        <f>IF(A128&lt;Assumptions!$B$9,"Pre-dev",IF(A128&lt;$AE$2,"Construction",IF(A128&lt;=Assumptions!$B$59,"Lease-up / exit","Tail")))</f>
        <v/>
      </c>
      <c r="D128" s="42">
        <f>IF(AND(A128&gt;=Assumptions!$B$9,A128&lt;$AE$2),(A128-Assumptions!$B$9+1)*($AE$2-A128),0)</f>
        <v/>
      </c>
      <c r="E128" s="44">
        <f>IFERROR(D128/$AE$6,0)</f>
        <v/>
      </c>
      <c r="F128" s="21">
        <f>IF(A128=1,DevBudget!$B$5,0)</f>
        <v/>
      </c>
      <c r="G128" s="21">
        <f>E128*DevBudget!$B$6</f>
        <v/>
      </c>
      <c r="H128" s="21">
        <f>E128*DevBudget!$B$7</f>
        <v/>
      </c>
      <c r="I128" s="21">
        <f>E128*DevBudget!$B$8</f>
        <v/>
      </c>
      <c r="J128" s="21">
        <f>E128*(DevBudget!$B$9+DevBudget!$B$10)</f>
        <v/>
      </c>
      <c r="K128" s="21">
        <f>E128*DevBudget!$B$12</f>
        <v/>
      </c>
      <c r="L128" s="21">
        <f>E128*DevBudget!$B$13</f>
        <v/>
      </c>
      <c r="M128" s="21">
        <f>IF(A128=Assumptions!$B$9,Assumptions!$B$69+Assumptions!$B$72,0)+IF(A128=$AE$4,Assumptions!$B$70+Assumptions!$B$71+Assumptions!$B$73,0)</f>
        <v/>
      </c>
      <c r="N128" s="21">
        <f>E128*DevBudget!$B$16</f>
        <v/>
      </c>
      <c r="O128" s="21">
        <f>SUM(F128:N128)</f>
        <v/>
      </c>
      <c r="P128" s="21">
        <f>P127+O128</f>
        <v/>
      </c>
      <c r="Q128" s="21">
        <f>MIN(O128,MAX(0,DevBudget!$B$19-R127))</f>
        <v/>
      </c>
      <c r="R128" s="21">
        <f>R127+Q128</f>
        <v/>
      </c>
      <c r="S128" s="21">
        <f>MIN(MAX(0,O128-Q128),MAX(0,Assumptions!$B$24-T128-U128))</f>
        <v/>
      </c>
      <c r="T128" s="21">
        <f>W127</f>
        <v/>
      </c>
      <c r="U128" s="21">
        <f>T128*Assumptions!$B$25/12</f>
        <v/>
      </c>
      <c r="V128" s="21">
        <f>MIN(T128+U128+S128,MAX(0,Z128+AA128))</f>
        <v/>
      </c>
      <c r="W128" s="21">
        <f>T128+S128+U128-V128</f>
        <v/>
      </c>
      <c r="X128" s="21">
        <f>IF(AND(A128&gt;=$AE$2,A128&lt;=Assumptions!$B$58),(MIN(Program!$D$5,MAX(0,(A128-$AE$2+1)*Assumptions!$B$39))*Assumptions!$B$29*(1+Assumptions!$B$31)*(1-Assumptions!$B$32)+Program!$D$9*Assumptions!$B$43*Assumptions!$B$44/12+Program!$D$5*Assumptions!$B$35*Assumptions!$B$34-Program!$D$5*Assumptions!$B$33/12-Assumptions!$B$36*Assumptions!$B$38/12),0)</f>
        <v/>
      </c>
      <c r="Y128" s="21">
        <f>IF(AND(A128&gt;=$AE$4,A128&lt;=Assumptions!$B$59),(MIN(Program!$C$5,MAX(0,(A128-$AE$4+1)*Assumptions!$B$39))*Assumptions!$B$30*(1+Assumptions!$B$31)*(1-Assumptions!$B$32)+Program!$C$9*Assumptions!$B$43*Assumptions!$B$44/12+Program!$C$5*Assumptions!$B$35*Assumptions!$B$34-Program!$C$5*Assumptions!$B$33/12-Assumptions!$B$37*Assumptions!$B$38/12),0)</f>
        <v/>
      </c>
      <c r="Z128" s="31">
        <f>SUMIF(Sellout!$A$6:$A$35,A128,Sellout!$D$6:$D$35)*(1-Assumptions!$B$49)</f>
        <v/>
      </c>
      <c r="AA128" s="31">
        <f>IF(A128=Assumptions!$B$58,Ops!$B$23,0)+IF(A128=Assumptions!$B$59,Ops!$C$23,0)</f>
        <v/>
      </c>
      <c r="AB128" s="21">
        <f>-O128+X128+Y128+Z128+AA128</f>
        <v/>
      </c>
      <c r="AC128" s="21">
        <f>AB128+S128-V128</f>
        <v/>
      </c>
    </row>
    <row r="129">
      <c r="A129" s="42" t="n">
        <v>124</v>
      </c>
      <c r="B129" s="43">
        <f>EDATE(Assumptions!$B$7,A129-1)</f>
        <v/>
      </c>
      <c r="C129" s="30">
        <f>IF(A129&lt;Assumptions!$B$9,"Pre-dev",IF(A129&lt;$AE$2,"Construction",IF(A129&lt;=Assumptions!$B$59,"Lease-up / exit","Tail")))</f>
        <v/>
      </c>
      <c r="D129" s="42">
        <f>IF(AND(A129&gt;=Assumptions!$B$9,A129&lt;$AE$2),(A129-Assumptions!$B$9+1)*($AE$2-A129),0)</f>
        <v/>
      </c>
      <c r="E129" s="44">
        <f>IFERROR(D129/$AE$6,0)</f>
        <v/>
      </c>
      <c r="F129" s="21">
        <f>IF(A129=1,DevBudget!$B$5,0)</f>
        <v/>
      </c>
      <c r="G129" s="21">
        <f>E129*DevBudget!$B$6</f>
        <v/>
      </c>
      <c r="H129" s="21">
        <f>E129*DevBudget!$B$7</f>
        <v/>
      </c>
      <c r="I129" s="21">
        <f>E129*DevBudget!$B$8</f>
        <v/>
      </c>
      <c r="J129" s="21">
        <f>E129*(DevBudget!$B$9+DevBudget!$B$10)</f>
        <v/>
      </c>
      <c r="K129" s="21">
        <f>E129*DevBudget!$B$12</f>
        <v/>
      </c>
      <c r="L129" s="21">
        <f>E129*DevBudget!$B$13</f>
        <v/>
      </c>
      <c r="M129" s="21">
        <f>IF(A129=Assumptions!$B$9,Assumptions!$B$69+Assumptions!$B$72,0)+IF(A129=$AE$4,Assumptions!$B$70+Assumptions!$B$71+Assumptions!$B$73,0)</f>
        <v/>
      </c>
      <c r="N129" s="21">
        <f>E129*DevBudget!$B$16</f>
        <v/>
      </c>
      <c r="O129" s="21">
        <f>SUM(F129:N129)</f>
        <v/>
      </c>
      <c r="P129" s="21">
        <f>P128+O129</f>
        <v/>
      </c>
      <c r="Q129" s="21">
        <f>MIN(O129,MAX(0,DevBudget!$B$19-R128))</f>
        <v/>
      </c>
      <c r="R129" s="21">
        <f>R128+Q129</f>
        <v/>
      </c>
      <c r="S129" s="21">
        <f>MIN(MAX(0,O129-Q129),MAX(0,Assumptions!$B$24-T129-U129))</f>
        <v/>
      </c>
      <c r="T129" s="21">
        <f>W128</f>
        <v/>
      </c>
      <c r="U129" s="21">
        <f>T129*Assumptions!$B$25/12</f>
        <v/>
      </c>
      <c r="V129" s="21">
        <f>MIN(T129+U129+S129,MAX(0,Z129+AA129))</f>
        <v/>
      </c>
      <c r="W129" s="21">
        <f>T129+S129+U129-V129</f>
        <v/>
      </c>
      <c r="X129" s="21">
        <f>IF(AND(A129&gt;=$AE$2,A129&lt;=Assumptions!$B$58),(MIN(Program!$D$5,MAX(0,(A129-$AE$2+1)*Assumptions!$B$39))*Assumptions!$B$29*(1+Assumptions!$B$31)*(1-Assumptions!$B$32)+Program!$D$9*Assumptions!$B$43*Assumptions!$B$44/12+Program!$D$5*Assumptions!$B$35*Assumptions!$B$34-Program!$D$5*Assumptions!$B$33/12-Assumptions!$B$36*Assumptions!$B$38/12),0)</f>
        <v/>
      </c>
      <c r="Y129" s="21">
        <f>IF(AND(A129&gt;=$AE$4,A129&lt;=Assumptions!$B$59),(MIN(Program!$C$5,MAX(0,(A129-$AE$4+1)*Assumptions!$B$39))*Assumptions!$B$30*(1+Assumptions!$B$31)*(1-Assumptions!$B$32)+Program!$C$9*Assumptions!$B$43*Assumptions!$B$44/12+Program!$C$5*Assumptions!$B$35*Assumptions!$B$34-Program!$C$5*Assumptions!$B$33/12-Assumptions!$B$37*Assumptions!$B$38/12),0)</f>
        <v/>
      </c>
      <c r="Z129" s="31">
        <f>SUMIF(Sellout!$A$6:$A$35,A129,Sellout!$D$6:$D$35)*(1-Assumptions!$B$49)</f>
        <v/>
      </c>
      <c r="AA129" s="31">
        <f>IF(A129=Assumptions!$B$58,Ops!$B$23,0)+IF(A129=Assumptions!$B$59,Ops!$C$23,0)</f>
        <v/>
      </c>
      <c r="AB129" s="21">
        <f>-O129+X129+Y129+Z129+AA129</f>
        <v/>
      </c>
      <c r="AC129" s="21">
        <f>AB129+S129-V129</f>
        <v/>
      </c>
    </row>
    <row r="130">
      <c r="A130" s="42" t="n">
        <v>125</v>
      </c>
      <c r="B130" s="43">
        <f>EDATE(Assumptions!$B$7,A130-1)</f>
        <v/>
      </c>
      <c r="C130" s="30">
        <f>IF(A130&lt;Assumptions!$B$9,"Pre-dev",IF(A130&lt;$AE$2,"Construction",IF(A130&lt;=Assumptions!$B$59,"Lease-up / exit","Tail")))</f>
        <v/>
      </c>
      <c r="D130" s="42">
        <f>IF(AND(A130&gt;=Assumptions!$B$9,A130&lt;$AE$2),(A130-Assumptions!$B$9+1)*($AE$2-A130),0)</f>
        <v/>
      </c>
      <c r="E130" s="44">
        <f>IFERROR(D130/$AE$6,0)</f>
        <v/>
      </c>
      <c r="F130" s="21">
        <f>IF(A130=1,DevBudget!$B$5,0)</f>
        <v/>
      </c>
      <c r="G130" s="21">
        <f>E130*DevBudget!$B$6</f>
        <v/>
      </c>
      <c r="H130" s="21">
        <f>E130*DevBudget!$B$7</f>
        <v/>
      </c>
      <c r="I130" s="21">
        <f>E130*DevBudget!$B$8</f>
        <v/>
      </c>
      <c r="J130" s="21">
        <f>E130*(DevBudget!$B$9+DevBudget!$B$10)</f>
        <v/>
      </c>
      <c r="K130" s="21">
        <f>E130*DevBudget!$B$12</f>
        <v/>
      </c>
      <c r="L130" s="21">
        <f>E130*DevBudget!$B$13</f>
        <v/>
      </c>
      <c r="M130" s="21">
        <f>IF(A130=Assumptions!$B$9,Assumptions!$B$69+Assumptions!$B$72,0)+IF(A130=$AE$4,Assumptions!$B$70+Assumptions!$B$71+Assumptions!$B$73,0)</f>
        <v/>
      </c>
      <c r="N130" s="21">
        <f>E130*DevBudget!$B$16</f>
        <v/>
      </c>
      <c r="O130" s="21">
        <f>SUM(F130:N130)</f>
        <v/>
      </c>
      <c r="P130" s="21">
        <f>P129+O130</f>
        <v/>
      </c>
      <c r="Q130" s="21">
        <f>MIN(O130,MAX(0,DevBudget!$B$19-R129))</f>
        <v/>
      </c>
      <c r="R130" s="21">
        <f>R129+Q130</f>
        <v/>
      </c>
      <c r="S130" s="21">
        <f>MIN(MAX(0,O130-Q130),MAX(0,Assumptions!$B$24-T130-U130))</f>
        <v/>
      </c>
      <c r="T130" s="21">
        <f>W129</f>
        <v/>
      </c>
      <c r="U130" s="21">
        <f>T130*Assumptions!$B$25/12</f>
        <v/>
      </c>
      <c r="V130" s="21">
        <f>MIN(T130+U130+S130,MAX(0,Z130+AA130))</f>
        <v/>
      </c>
      <c r="W130" s="21">
        <f>T130+S130+U130-V130</f>
        <v/>
      </c>
      <c r="X130" s="21">
        <f>IF(AND(A130&gt;=$AE$2,A130&lt;=Assumptions!$B$58),(MIN(Program!$D$5,MAX(0,(A130-$AE$2+1)*Assumptions!$B$39))*Assumptions!$B$29*(1+Assumptions!$B$31)*(1-Assumptions!$B$32)+Program!$D$9*Assumptions!$B$43*Assumptions!$B$44/12+Program!$D$5*Assumptions!$B$35*Assumptions!$B$34-Program!$D$5*Assumptions!$B$33/12-Assumptions!$B$36*Assumptions!$B$38/12),0)</f>
        <v/>
      </c>
      <c r="Y130" s="21">
        <f>IF(AND(A130&gt;=$AE$4,A130&lt;=Assumptions!$B$59),(MIN(Program!$C$5,MAX(0,(A130-$AE$4+1)*Assumptions!$B$39))*Assumptions!$B$30*(1+Assumptions!$B$31)*(1-Assumptions!$B$32)+Program!$C$9*Assumptions!$B$43*Assumptions!$B$44/12+Program!$C$5*Assumptions!$B$35*Assumptions!$B$34-Program!$C$5*Assumptions!$B$33/12-Assumptions!$B$37*Assumptions!$B$38/12),0)</f>
        <v/>
      </c>
      <c r="Z130" s="31">
        <f>SUMIF(Sellout!$A$6:$A$35,A130,Sellout!$D$6:$D$35)*(1-Assumptions!$B$49)</f>
        <v/>
      </c>
      <c r="AA130" s="31">
        <f>IF(A130=Assumptions!$B$58,Ops!$B$23,0)+IF(A130=Assumptions!$B$59,Ops!$C$23,0)</f>
        <v/>
      </c>
      <c r="AB130" s="21">
        <f>-O130+X130+Y130+Z130+AA130</f>
        <v/>
      </c>
      <c r="AC130" s="21">
        <f>AB130+S130-V130</f>
        <v/>
      </c>
    </row>
    <row r="131">
      <c r="A131" s="42" t="n">
        <v>126</v>
      </c>
      <c r="B131" s="43">
        <f>EDATE(Assumptions!$B$7,A131-1)</f>
        <v/>
      </c>
      <c r="C131" s="30">
        <f>IF(A131&lt;Assumptions!$B$9,"Pre-dev",IF(A131&lt;$AE$2,"Construction",IF(A131&lt;=Assumptions!$B$59,"Lease-up / exit","Tail")))</f>
        <v/>
      </c>
      <c r="D131" s="42">
        <f>IF(AND(A131&gt;=Assumptions!$B$9,A131&lt;$AE$2),(A131-Assumptions!$B$9+1)*($AE$2-A131),0)</f>
        <v/>
      </c>
      <c r="E131" s="44">
        <f>IFERROR(D131/$AE$6,0)</f>
        <v/>
      </c>
      <c r="F131" s="21">
        <f>IF(A131=1,DevBudget!$B$5,0)</f>
        <v/>
      </c>
      <c r="G131" s="21">
        <f>E131*DevBudget!$B$6</f>
        <v/>
      </c>
      <c r="H131" s="21">
        <f>E131*DevBudget!$B$7</f>
        <v/>
      </c>
      <c r="I131" s="21">
        <f>E131*DevBudget!$B$8</f>
        <v/>
      </c>
      <c r="J131" s="21">
        <f>E131*(DevBudget!$B$9+DevBudget!$B$10)</f>
        <v/>
      </c>
      <c r="K131" s="21">
        <f>E131*DevBudget!$B$12</f>
        <v/>
      </c>
      <c r="L131" s="21">
        <f>E131*DevBudget!$B$13</f>
        <v/>
      </c>
      <c r="M131" s="21">
        <f>IF(A131=Assumptions!$B$9,Assumptions!$B$69+Assumptions!$B$72,0)+IF(A131=$AE$4,Assumptions!$B$70+Assumptions!$B$71+Assumptions!$B$73,0)</f>
        <v/>
      </c>
      <c r="N131" s="21">
        <f>E131*DevBudget!$B$16</f>
        <v/>
      </c>
      <c r="O131" s="21">
        <f>SUM(F131:N131)</f>
        <v/>
      </c>
      <c r="P131" s="21">
        <f>P130+O131</f>
        <v/>
      </c>
      <c r="Q131" s="21">
        <f>MIN(O131,MAX(0,DevBudget!$B$19-R130))</f>
        <v/>
      </c>
      <c r="R131" s="21">
        <f>R130+Q131</f>
        <v/>
      </c>
      <c r="S131" s="21">
        <f>MIN(MAX(0,O131-Q131),MAX(0,Assumptions!$B$24-T131-U131))</f>
        <v/>
      </c>
      <c r="T131" s="21">
        <f>W130</f>
        <v/>
      </c>
      <c r="U131" s="21">
        <f>T131*Assumptions!$B$25/12</f>
        <v/>
      </c>
      <c r="V131" s="21">
        <f>MIN(T131+U131+S131,MAX(0,Z131+AA131))</f>
        <v/>
      </c>
      <c r="W131" s="21">
        <f>T131+S131+U131-V131</f>
        <v/>
      </c>
      <c r="X131" s="21">
        <f>IF(AND(A131&gt;=$AE$2,A131&lt;=Assumptions!$B$58),(MIN(Program!$D$5,MAX(0,(A131-$AE$2+1)*Assumptions!$B$39))*Assumptions!$B$29*(1+Assumptions!$B$31)*(1-Assumptions!$B$32)+Program!$D$9*Assumptions!$B$43*Assumptions!$B$44/12+Program!$D$5*Assumptions!$B$35*Assumptions!$B$34-Program!$D$5*Assumptions!$B$33/12-Assumptions!$B$36*Assumptions!$B$38/12),0)</f>
        <v/>
      </c>
      <c r="Y131" s="21">
        <f>IF(AND(A131&gt;=$AE$4,A131&lt;=Assumptions!$B$59),(MIN(Program!$C$5,MAX(0,(A131-$AE$4+1)*Assumptions!$B$39))*Assumptions!$B$30*(1+Assumptions!$B$31)*(1-Assumptions!$B$32)+Program!$C$9*Assumptions!$B$43*Assumptions!$B$44/12+Program!$C$5*Assumptions!$B$35*Assumptions!$B$34-Program!$C$5*Assumptions!$B$33/12-Assumptions!$B$37*Assumptions!$B$38/12),0)</f>
        <v/>
      </c>
      <c r="Z131" s="31">
        <f>SUMIF(Sellout!$A$6:$A$35,A131,Sellout!$D$6:$D$35)*(1-Assumptions!$B$49)</f>
        <v/>
      </c>
      <c r="AA131" s="31">
        <f>IF(A131=Assumptions!$B$58,Ops!$B$23,0)+IF(A131=Assumptions!$B$59,Ops!$C$23,0)</f>
        <v/>
      </c>
      <c r="AB131" s="21">
        <f>-O131+X131+Y131+Z131+AA131</f>
        <v/>
      </c>
      <c r="AC131" s="21">
        <f>AB131+S131-V131</f>
        <v/>
      </c>
    </row>
    <row r="132">
      <c r="A132" s="42" t="n">
        <v>127</v>
      </c>
      <c r="B132" s="43">
        <f>EDATE(Assumptions!$B$7,A132-1)</f>
        <v/>
      </c>
      <c r="C132" s="30">
        <f>IF(A132&lt;Assumptions!$B$9,"Pre-dev",IF(A132&lt;$AE$2,"Construction",IF(A132&lt;=Assumptions!$B$59,"Lease-up / exit","Tail")))</f>
        <v/>
      </c>
      <c r="D132" s="42">
        <f>IF(AND(A132&gt;=Assumptions!$B$9,A132&lt;$AE$2),(A132-Assumptions!$B$9+1)*($AE$2-A132),0)</f>
        <v/>
      </c>
      <c r="E132" s="44">
        <f>IFERROR(D132/$AE$6,0)</f>
        <v/>
      </c>
      <c r="F132" s="21">
        <f>IF(A132=1,DevBudget!$B$5,0)</f>
        <v/>
      </c>
      <c r="G132" s="21">
        <f>E132*DevBudget!$B$6</f>
        <v/>
      </c>
      <c r="H132" s="21">
        <f>E132*DevBudget!$B$7</f>
        <v/>
      </c>
      <c r="I132" s="21">
        <f>E132*DevBudget!$B$8</f>
        <v/>
      </c>
      <c r="J132" s="21">
        <f>E132*(DevBudget!$B$9+DevBudget!$B$10)</f>
        <v/>
      </c>
      <c r="K132" s="21">
        <f>E132*DevBudget!$B$12</f>
        <v/>
      </c>
      <c r="L132" s="21">
        <f>E132*DevBudget!$B$13</f>
        <v/>
      </c>
      <c r="M132" s="21">
        <f>IF(A132=Assumptions!$B$9,Assumptions!$B$69+Assumptions!$B$72,0)+IF(A132=$AE$4,Assumptions!$B$70+Assumptions!$B$71+Assumptions!$B$73,0)</f>
        <v/>
      </c>
      <c r="N132" s="21">
        <f>E132*DevBudget!$B$16</f>
        <v/>
      </c>
      <c r="O132" s="21">
        <f>SUM(F132:N132)</f>
        <v/>
      </c>
      <c r="P132" s="21">
        <f>P131+O132</f>
        <v/>
      </c>
      <c r="Q132" s="21">
        <f>MIN(O132,MAX(0,DevBudget!$B$19-R131))</f>
        <v/>
      </c>
      <c r="R132" s="21">
        <f>R131+Q132</f>
        <v/>
      </c>
      <c r="S132" s="21">
        <f>MIN(MAX(0,O132-Q132),MAX(0,Assumptions!$B$24-T132-U132))</f>
        <v/>
      </c>
      <c r="T132" s="21">
        <f>W131</f>
        <v/>
      </c>
      <c r="U132" s="21">
        <f>T132*Assumptions!$B$25/12</f>
        <v/>
      </c>
      <c r="V132" s="21">
        <f>MIN(T132+U132+S132,MAX(0,Z132+AA132))</f>
        <v/>
      </c>
      <c r="W132" s="21">
        <f>T132+S132+U132-V132</f>
        <v/>
      </c>
      <c r="X132" s="21">
        <f>IF(AND(A132&gt;=$AE$2,A132&lt;=Assumptions!$B$58),(MIN(Program!$D$5,MAX(0,(A132-$AE$2+1)*Assumptions!$B$39))*Assumptions!$B$29*(1+Assumptions!$B$31)*(1-Assumptions!$B$32)+Program!$D$9*Assumptions!$B$43*Assumptions!$B$44/12+Program!$D$5*Assumptions!$B$35*Assumptions!$B$34-Program!$D$5*Assumptions!$B$33/12-Assumptions!$B$36*Assumptions!$B$38/12),0)</f>
        <v/>
      </c>
      <c r="Y132" s="21">
        <f>IF(AND(A132&gt;=$AE$4,A132&lt;=Assumptions!$B$59),(MIN(Program!$C$5,MAX(0,(A132-$AE$4+1)*Assumptions!$B$39))*Assumptions!$B$30*(1+Assumptions!$B$31)*(1-Assumptions!$B$32)+Program!$C$9*Assumptions!$B$43*Assumptions!$B$44/12+Program!$C$5*Assumptions!$B$35*Assumptions!$B$34-Program!$C$5*Assumptions!$B$33/12-Assumptions!$B$37*Assumptions!$B$38/12),0)</f>
        <v/>
      </c>
      <c r="Z132" s="31">
        <f>SUMIF(Sellout!$A$6:$A$35,A132,Sellout!$D$6:$D$35)*(1-Assumptions!$B$49)</f>
        <v/>
      </c>
      <c r="AA132" s="31">
        <f>IF(A132=Assumptions!$B$58,Ops!$B$23,0)+IF(A132=Assumptions!$B$59,Ops!$C$23,0)</f>
        <v/>
      </c>
      <c r="AB132" s="21">
        <f>-O132+X132+Y132+Z132+AA132</f>
        <v/>
      </c>
      <c r="AC132" s="21">
        <f>AB132+S132-V132</f>
        <v/>
      </c>
    </row>
    <row r="133">
      <c r="A133" s="42" t="n">
        <v>128</v>
      </c>
      <c r="B133" s="43">
        <f>EDATE(Assumptions!$B$7,A133-1)</f>
        <v/>
      </c>
      <c r="C133" s="30">
        <f>IF(A133&lt;Assumptions!$B$9,"Pre-dev",IF(A133&lt;$AE$2,"Construction",IF(A133&lt;=Assumptions!$B$59,"Lease-up / exit","Tail")))</f>
        <v/>
      </c>
      <c r="D133" s="42">
        <f>IF(AND(A133&gt;=Assumptions!$B$9,A133&lt;$AE$2),(A133-Assumptions!$B$9+1)*($AE$2-A133),0)</f>
        <v/>
      </c>
      <c r="E133" s="44">
        <f>IFERROR(D133/$AE$6,0)</f>
        <v/>
      </c>
      <c r="F133" s="21">
        <f>IF(A133=1,DevBudget!$B$5,0)</f>
        <v/>
      </c>
      <c r="G133" s="21">
        <f>E133*DevBudget!$B$6</f>
        <v/>
      </c>
      <c r="H133" s="21">
        <f>E133*DevBudget!$B$7</f>
        <v/>
      </c>
      <c r="I133" s="21">
        <f>E133*DevBudget!$B$8</f>
        <v/>
      </c>
      <c r="J133" s="21">
        <f>E133*(DevBudget!$B$9+DevBudget!$B$10)</f>
        <v/>
      </c>
      <c r="K133" s="21">
        <f>E133*DevBudget!$B$12</f>
        <v/>
      </c>
      <c r="L133" s="21">
        <f>E133*DevBudget!$B$13</f>
        <v/>
      </c>
      <c r="M133" s="21">
        <f>IF(A133=Assumptions!$B$9,Assumptions!$B$69+Assumptions!$B$72,0)+IF(A133=$AE$4,Assumptions!$B$70+Assumptions!$B$71+Assumptions!$B$73,0)</f>
        <v/>
      </c>
      <c r="N133" s="21">
        <f>E133*DevBudget!$B$16</f>
        <v/>
      </c>
      <c r="O133" s="21">
        <f>SUM(F133:N133)</f>
        <v/>
      </c>
      <c r="P133" s="21">
        <f>P132+O133</f>
        <v/>
      </c>
      <c r="Q133" s="21">
        <f>MIN(O133,MAX(0,DevBudget!$B$19-R132))</f>
        <v/>
      </c>
      <c r="R133" s="21">
        <f>R132+Q133</f>
        <v/>
      </c>
      <c r="S133" s="21">
        <f>MIN(MAX(0,O133-Q133),MAX(0,Assumptions!$B$24-T133-U133))</f>
        <v/>
      </c>
      <c r="T133" s="21">
        <f>W132</f>
        <v/>
      </c>
      <c r="U133" s="21">
        <f>T133*Assumptions!$B$25/12</f>
        <v/>
      </c>
      <c r="V133" s="21">
        <f>MIN(T133+U133+S133,MAX(0,Z133+AA133))</f>
        <v/>
      </c>
      <c r="W133" s="21">
        <f>T133+S133+U133-V133</f>
        <v/>
      </c>
      <c r="X133" s="21">
        <f>IF(AND(A133&gt;=$AE$2,A133&lt;=Assumptions!$B$58),(MIN(Program!$D$5,MAX(0,(A133-$AE$2+1)*Assumptions!$B$39))*Assumptions!$B$29*(1+Assumptions!$B$31)*(1-Assumptions!$B$32)+Program!$D$9*Assumptions!$B$43*Assumptions!$B$44/12+Program!$D$5*Assumptions!$B$35*Assumptions!$B$34-Program!$D$5*Assumptions!$B$33/12-Assumptions!$B$36*Assumptions!$B$38/12),0)</f>
        <v/>
      </c>
      <c r="Y133" s="21">
        <f>IF(AND(A133&gt;=$AE$4,A133&lt;=Assumptions!$B$59),(MIN(Program!$C$5,MAX(0,(A133-$AE$4+1)*Assumptions!$B$39))*Assumptions!$B$30*(1+Assumptions!$B$31)*(1-Assumptions!$B$32)+Program!$C$9*Assumptions!$B$43*Assumptions!$B$44/12+Program!$C$5*Assumptions!$B$35*Assumptions!$B$34-Program!$C$5*Assumptions!$B$33/12-Assumptions!$B$37*Assumptions!$B$38/12),0)</f>
        <v/>
      </c>
      <c r="Z133" s="31">
        <f>SUMIF(Sellout!$A$6:$A$35,A133,Sellout!$D$6:$D$35)*(1-Assumptions!$B$49)</f>
        <v/>
      </c>
      <c r="AA133" s="31">
        <f>IF(A133=Assumptions!$B$58,Ops!$B$23,0)+IF(A133=Assumptions!$B$59,Ops!$C$23,0)</f>
        <v/>
      </c>
      <c r="AB133" s="21">
        <f>-O133+X133+Y133+Z133+AA133</f>
        <v/>
      </c>
      <c r="AC133" s="21">
        <f>AB133+S133-V133</f>
        <v/>
      </c>
    </row>
    <row r="134">
      <c r="A134" s="42" t="n">
        <v>129</v>
      </c>
      <c r="B134" s="43">
        <f>EDATE(Assumptions!$B$7,A134-1)</f>
        <v/>
      </c>
      <c r="C134" s="30">
        <f>IF(A134&lt;Assumptions!$B$9,"Pre-dev",IF(A134&lt;$AE$2,"Construction",IF(A134&lt;=Assumptions!$B$59,"Lease-up / exit","Tail")))</f>
        <v/>
      </c>
      <c r="D134" s="42">
        <f>IF(AND(A134&gt;=Assumptions!$B$9,A134&lt;$AE$2),(A134-Assumptions!$B$9+1)*($AE$2-A134),0)</f>
        <v/>
      </c>
      <c r="E134" s="44">
        <f>IFERROR(D134/$AE$6,0)</f>
        <v/>
      </c>
      <c r="F134" s="21">
        <f>IF(A134=1,DevBudget!$B$5,0)</f>
        <v/>
      </c>
      <c r="G134" s="21">
        <f>E134*DevBudget!$B$6</f>
        <v/>
      </c>
      <c r="H134" s="21">
        <f>E134*DevBudget!$B$7</f>
        <v/>
      </c>
      <c r="I134" s="21">
        <f>E134*DevBudget!$B$8</f>
        <v/>
      </c>
      <c r="J134" s="21">
        <f>E134*(DevBudget!$B$9+DevBudget!$B$10)</f>
        <v/>
      </c>
      <c r="K134" s="21">
        <f>E134*DevBudget!$B$12</f>
        <v/>
      </c>
      <c r="L134" s="21">
        <f>E134*DevBudget!$B$13</f>
        <v/>
      </c>
      <c r="M134" s="21">
        <f>IF(A134=Assumptions!$B$9,Assumptions!$B$69+Assumptions!$B$72,0)+IF(A134=$AE$4,Assumptions!$B$70+Assumptions!$B$71+Assumptions!$B$73,0)</f>
        <v/>
      </c>
      <c r="N134" s="21">
        <f>E134*DevBudget!$B$16</f>
        <v/>
      </c>
      <c r="O134" s="21">
        <f>SUM(F134:N134)</f>
        <v/>
      </c>
      <c r="P134" s="21">
        <f>P133+O134</f>
        <v/>
      </c>
      <c r="Q134" s="21">
        <f>MIN(O134,MAX(0,DevBudget!$B$19-R133))</f>
        <v/>
      </c>
      <c r="R134" s="21">
        <f>R133+Q134</f>
        <v/>
      </c>
      <c r="S134" s="21">
        <f>MIN(MAX(0,O134-Q134),MAX(0,Assumptions!$B$24-T134-U134))</f>
        <v/>
      </c>
      <c r="T134" s="21">
        <f>W133</f>
        <v/>
      </c>
      <c r="U134" s="21">
        <f>T134*Assumptions!$B$25/12</f>
        <v/>
      </c>
      <c r="V134" s="21">
        <f>MIN(T134+U134+S134,MAX(0,Z134+AA134))</f>
        <v/>
      </c>
      <c r="W134" s="21">
        <f>T134+S134+U134-V134</f>
        <v/>
      </c>
      <c r="X134" s="21">
        <f>IF(AND(A134&gt;=$AE$2,A134&lt;=Assumptions!$B$58),(MIN(Program!$D$5,MAX(0,(A134-$AE$2+1)*Assumptions!$B$39))*Assumptions!$B$29*(1+Assumptions!$B$31)*(1-Assumptions!$B$32)+Program!$D$9*Assumptions!$B$43*Assumptions!$B$44/12+Program!$D$5*Assumptions!$B$35*Assumptions!$B$34-Program!$D$5*Assumptions!$B$33/12-Assumptions!$B$36*Assumptions!$B$38/12),0)</f>
        <v/>
      </c>
      <c r="Y134" s="21">
        <f>IF(AND(A134&gt;=$AE$4,A134&lt;=Assumptions!$B$59),(MIN(Program!$C$5,MAX(0,(A134-$AE$4+1)*Assumptions!$B$39))*Assumptions!$B$30*(1+Assumptions!$B$31)*(1-Assumptions!$B$32)+Program!$C$9*Assumptions!$B$43*Assumptions!$B$44/12+Program!$C$5*Assumptions!$B$35*Assumptions!$B$34-Program!$C$5*Assumptions!$B$33/12-Assumptions!$B$37*Assumptions!$B$38/12),0)</f>
        <v/>
      </c>
      <c r="Z134" s="31">
        <f>SUMIF(Sellout!$A$6:$A$35,A134,Sellout!$D$6:$D$35)*(1-Assumptions!$B$49)</f>
        <v/>
      </c>
      <c r="AA134" s="31">
        <f>IF(A134=Assumptions!$B$58,Ops!$B$23,0)+IF(A134=Assumptions!$B$59,Ops!$C$23,0)</f>
        <v/>
      </c>
      <c r="AB134" s="21">
        <f>-O134+X134+Y134+Z134+AA134</f>
        <v/>
      </c>
      <c r="AC134" s="21">
        <f>AB134+S134-V134</f>
        <v/>
      </c>
    </row>
    <row r="135">
      <c r="A135" s="42" t="n">
        <v>130</v>
      </c>
      <c r="B135" s="43">
        <f>EDATE(Assumptions!$B$7,A135-1)</f>
        <v/>
      </c>
      <c r="C135" s="30">
        <f>IF(A135&lt;Assumptions!$B$9,"Pre-dev",IF(A135&lt;$AE$2,"Construction",IF(A135&lt;=Assumptions!$B$59,"Lease-up / exit","Tail")))</f>
        <v/>
      </c>
      <c r="D135" s="42">
        <f>IF(AND(A135&gt;=Assumptions!$B$9,A135&lt;$AE$2),(A135-Assumptions!$B$9+1)*($AE$2-A135),0)</f>
        <v/>
      </c>
      <c r="E135" s="44">
        <f>IFERROR(D135/$AE$6,0)</f>
        <v/>
      </c>
      <c r="F135" s="21">
        <f>IF(A135=1,DevBudget!$B$5,0)</f>
        <v/>
      </c>
      <c r="G135" s="21">
        <f>E135*DevBudget!$B$6</f>
        <v/>
      </c>
      <c r="H135" s="21">
        <f>E135*DevBudget!$B$7</f>
        <v/>
      </c>
      <c r="I135" s="21">
        <f>E135*DevBudget!$B$8</f>
        <v/>
      </c>
      <c r="J135" s="21">
        <f>E135*(DevBudget!$B$9+DevBudget!$B$10)</f>
        <v/>
      </c>
      <c r="K135" s="21">
        <f>E135*DevBudget!$B$12</f>
        <v/>
      </c>
      <c r="L135" s="21">
        <f>E135*DevBudget!$B$13</f>
        <v/>
      </c>
      <c r="M135" s="21">
        <f>IF(A135=Assumptions!$B$9,Assumptions!$B$69+Assumptions!$B$72,0)+IF(A135=$AE$4,Assumptions!$B$70+Assumptions!$B$71+Assumptions!$B$73,0)</f>
        <v/>
      </c>
      <c r="N135" s="21">
        <f>E135*DevBudget!$B$16</f>
        <v/>
      </c>
      <c r="O135" s="21">
        <f>SUM(F135:N135)</f>
        <v/>
      </c>
      <c r="P135" s="21">
        <f>P134+O135</f>
        <v/>
      </c>
      <c r="Q135" s="21">
        <f>MIN(O135,MAX(0,DevBudget!$B$19-R134))</f>
        <v/>
      </c>
      <c r="R135" s="21">
        <f>R134+Q135</f>
        <v/>
      </c>
      <c r="S135" s="21">
        <f>MIN(MAX(0,O135-Q135),MAX(0,Assumptions!$B$24-T135-U135))</f>
        <v/>
      </c>
      <c r="T135" s="21">
        <f>W134</f>
        <v/>
      </c>
      <c r="U135" s="21">
        <f>T135*Assumptions!$B$25/12</f>
        <v/>
      </c>
      <c r="V135" s="21">
        <f>MIN(T135+U135+S135,MAX(0,Z135+AA135))</f>
        <v/>
      </c>
      <c r="W135" s="21">
        <f>T135+S135+U135-V135</f>
        <v/>
      </c>
      <c r="X135" s="21">
        <f>IF(AND(A135&gt;=$AE$2,A135&lt;=Assumptions!$B$58),(MIN(Program!$D$5,MAX(0,(A135-$AE$2+1)*Assumptions!$B$39))*Assumptions!$B$29*(1+Assumptions!$B$31)*(1-Assumptions!$B$32)+Program!$D$9*Assumptions!$B$43*Assumptions!$B$44/12+Program!$D$5*Assumptions!$B$35*Assumptions!$B$34-Program!$D$5*Assumptions!$B$33/12-Assumptions!$B$36*Assumptions!$B$38/12),0)</f>
        <v/>
      </c>
      <c r="Y135" s="21">
        <f>IF(AND(A135&gt;=$AE$4,A135&lt;=Assumptions!$B$59),(MIN(Program!$C$5,MAX(0,(A135-$AE$4+1)*Assumptions!$B$39))*Assumptions!$B$30*(1+Assumptions!$B$31)*(1-Assumptions!$B$32)+Program!$C$9*Assumptions!$B$43*Assumptions!$B$44/12+Program!$C$5*Assumptions!$B$35*Assumptions!$B$34-Program!$C$5*Assumptions!$B$33/12-Assumptions!$B$37*Assumptions!$B$38/12),0)</f>
        <v/>
      </c>
      <c r="Z135" s="31">
        <f>SUMIF(Sellout!$A$6:$A$35,A135,Sellout!$D$6:$D$35)*(1-Assumptions!$B$49)</f>
        <v/>
      </c>
      <c r="AA135" s="31">
        <f>IF(A135=Assumptions!$B$58,Ops!$B$23,0)+IF(A135=Assumptions!$B$59,Ops!$C$23,0)</f>
        <v/>
      </c>
      <c r="AB135" s="21">
        <f>-O135+X135+Y135+Z135+AA135</f>
        <v/>
      </c>
      <c r="AC135" s="21">
        <f>AB135+S135-V135</f>
        <v/>
      </c>
    </row>
    <row r="136">
      <c r="A136" s="42" t="n">
        <v>131</v>
      </c>
      <c r="B136" s="43">
        <f>EDATE(Assumptions!$B$7,A136-1)</f>
        <v/>
      </c>
      <c r="C136" s="30">
        <f>IF(A136&lt;Assumptions!$B$9,"Pre-dev",IF(A136&lt;$AE$2,"Construction",IF(A136&lt;=Assumptions!$B$59,"Lease-up / exit","Tail")))</f>
        <v/>
      </c>
      <c r="D136" s="42">
        <f>IF(AND(A136&gt;=Assumptions!$B$9,A136&lt;$AE$2),(A136-Assumptions!$B$9+1)*($AE$2-A136),0)</f>
        <v/>
      </c>
      <c r="E136" s="44">
        <f>IFERROR(D136/$AE$6,0)</f>
        <v/>
      </c>
      <c r="F136" s="21">
        <f>IF(A136=1,DevBudget!$B$5,0)</f>
        <v/>
      </c>
      <c r="G136" s="21">
        <f>E136*DevBudget!$B$6</f>
        <v/>
      </c>
      <c r="H136" s="21">
        <f>E136*DevBudget!$B$7</f>
        <v/>
      </c>
      <c r="I136" s="21">
        <f>E136*DevBudget!$B$8</f>
        <v/>
      </c>
      <c r="J136" s="21">
        <f>E136*(DevBudget!$B$9+DevBudget!$B$10)</f>
        <v/>
      </c>
      <c r="K136" s="21">
        <f>E136*DevBudget!$B$12</f>
        <v/>
      </c>
      <c r="L136" s="21">
        <f>E136*DevBudget!$B$13</f>
        <v/>
      </c>
      <c r="M136" s="21">
        <f>IF(A136=Assumptions!$B$9,Assumptions!$B$69+Assumptions!$B$72,0)+IF(A136=$AE$4,Assumptions!$B$70+Assumptions!$B$71+Assumptions!$B$73,0)</f>
        <v/>
      </c>
      <c r="N136" s="21">
        <f>E136*DevBudget!$B$16</f>
        <v/>
      </c>
      <c r="O136" s="21">
        <f>SUM(F136:N136)</f>
        <v/>
      </c>
      <c r="P136" s="21">
        <f>P135+O136</f>
        <v/>
      </c>
      <c r="Q136" s="21">
        <f>MIN(O136,MAX(0,DevBudget!$B$19-R135))</f>
        <v/>
      </c>
      <c r="R136" s="21">
        <f>R135+Q136</f>
        <v/>
      </c>
      <c r="S136" s="21">
        <f>MIN(MAX(0,O136-Q136),MAX(0,Assumptions!$B$24-T136-U136))</f>
        <v/>
      </c>
      <c r="T136" s="21">
        <f>W135</f>
        <v/>
      </c>
      <c r="U136" s="21">
        <f>T136*Assumptions!$B$25/12</f>
        <v/>
      </c>
      <c r="V136" s="21">
        <f>MIN(T136+U136+S136,MAX(0,Z136+AA136))</f>
        <v/>
      </c>
      <c r="W136" s="21">
        <f>T136+S136+U136-V136</f>
        <v/>
      </c>
      <c r="X136" s="21">
        <f>IF(AND(A136&gt;=$AE$2,A136&lt;=Assumptions!$B$58),(MIN(Program!$D$5,MAX(0,(A136-$AE$2+1)*Assumptions!$B$39))*Assumptions!$B$29*(1+Assumptions!$B$31)*(1-Assumptions!$B$32)+Program!$D$9*Assumptions!$B$43*Assumptions!$B$44/12+Program!$D$5*Assumptions!$B$35*Assumptions!$B$34-Program!$D$5*Assumptions!$B$33/12-Assumptions!$B$36*Assumptions!$B$38/12),0)</f>
        <v/>
      </c>
      <c r="Y136" s="21">
        <f>IF(AND(A136&gt;=$AE$4,A136&lt;=Assumptions!$B$59),(MIN(Program!$C$5,MAX(0,(A136-$AE$4+1)*Assumptions!$B$39))*Assumptions!$B$30*(1+Assumptions!$B$31)*(1-Assumptions!$B$32)+Program!$C$9*Assumptions!$B$43*Assumptions!$B$44/12+Program!$C$5*Assumptions!$B$35*Assumptions!$B$34-Program!$C$5*Assumptions!$B$33/12-Assumptions!$B$37*Assumptions!$B$38/12),0)</f>
        <v/>
      </c>
      <c r="Z136" s="31">
        <f>SUMIF(Sellout!$A$6:$A$35,A136,Sellout!$D$6:$D$35)*(1-Assumptions!$B$49)</f>
        <v/>
      </c>
      <c r="AA136" s="31">
        <f>IF(A136=Assumptions!$B$58,Ops!$B$23,0)+IF(A136=Assumptions!$B$59,Ops!$C$23,0)</f>
        <v/>
      </c>
      <c r="AB136" s="21">
        <f>-O136+X136+Y136+Z136+AA136</f>
        <v/>
      </c>
      <c r="AC136" s="21">
        <f>AB136+S136-V136</f>
        <v/>
      </c>
    </row>
    <row r="137">
      <c r="A137" s="42" t="n">
        <v>132</v>
      </c>
      <c r="B137" s="43">
        <f>EDATE(Assumptions!$B$7,A137-1)</f>
        <v/>
      </c>
      <c r="C137" s="30">
        <f>IF(A137&lt;Assumptions!$B$9,"Pre-dev",IF(A137&lt;$AE$2,"Construction",IF(A137&lt;=Assumptions!$B$59,"Lease-up / exit","Tail")))</f>
        <v/>
      </c>
      <c r="D137" s="42">
        <f>IF(AND(A137&gt;=Assumptions!$B$9,A137&lt;$AE$2),(A137-Assumptions!$B$9+1)*($AE$2-A137),0)</f>
        <v/>
      </c>
      <c r="E137" s="44">
        <f>IFERROR(D137/$AE$6,0)</f>
        <v/>
      </c>
      <c r="F137" s="21">
        <f>IF(A137=1,DevBudget!$B$5,0)</f>
        <v/>
      </c>
      <c r="G137" s="21">
        <f>E137*DevBudget!$B$6</f>
        <v/>
      </c>
      <c r="H137" s="21">
        <f>E137*DevBudget!$B$7</f>
        <v/>
      </c>
      <c r="I137" s="21">
        <f>E137*DevBudget!$B$8</f>
        <v/>
      </c>
      <c r="J137" s="21">
        <f>E137*(DevBudget!$B$9+DevBudget!$B$10)</f>
        <v/>
      </c>
      <c r="K137" s="21">
        <f>E137*DevBudget!$B$12</f>
        <v/>
      </c>
      <c r="L137" s="21">
        <f>E137*DevBudget!$B$13</f>
        <v/>
      </c>
      <c r="M137" s="21">
        <f>IF(A137=Assumptions!$B$9,Assumptions!$B$69+Assumptions!$B$72,0)+IF(A137=$AE$4,Assumptions!$B$70+Assumptions!$B$71+Assumptions!$B$73,0)</f>
        <v/>
      </c>
      <c r="N137" s="21">
        <f>E137*DevBudget!$B$16</f>
        <v/>
      </c>
      <c r="O137" s="21">
        <f>SUM(F137:N137)</f>
        <v/>
      </c>
      <c r="P137" s="21">
        <f>P136+O137</f>
        <v/>
      </c>
      <c r="Q137" s="21">
        <f>MIN(O137,MAX(0,DevBudget!$B$19-R136))</f>
        <v/>
      </c>
      <c r="R137" s="21">
        <f>R136+Q137</f>
        <v/>
      </c>
      <c r="S137" s="21">
        <f>MIN(MAX(0,O137-Q137),MAX(0,Assumptions!$B$24-T137-U137))</f>
        <v/>
      </c>
      <c r="T137" s="21">
        <f>W136</f>
        <v/>
      </c>
      <c r="U137" s="21">
        <f>T137*Assumptions!$B$25/12</f>
        <v/>
      </c>
      <c r="V137" s="21">
        <f>MIN(T137+U137+S137,MAX(0,Z137+AA137))</f>
        <v/>
      </c>
      <c r="W137" s="21">
        <f>T137+S137+U137-V137</f>
        <v/>
      </c>
      <c r="X137" s="21">
        <f>IF(AND(A137&gt;=$AE$2,A137&lt;=Assumptions!$B$58),(MIN(Program!$D$5,MAX(0,(A137-$AE$2+1)*Assumptions!$B$39))*Assumptions!$B$29*(1+Assumptions!$B$31)*(1-Assumptions!$B$32)+Program!$D$9*Assumptions!$B$43*Assumptions!$B$44/12+Program!$D$5*Assumptions!$B$35*Assumptions!$B$34-Program!$D$5*Assumptions!$B$33/12-Assumptions!$B$36*Assumptions!$B$38/12),0)</f>
        <v/>
      </c>
      <c r="Y137" s="21">
        <f>IF(AND(A137&gt;=$AE$4,A137&lt;=Assumptions!$B$59),(MIN(Program!$C$5,MAX(0,(A137-$AE$4+1)*Assumptions!$B$39))*Assumptions!$B$30*(1+Assumptions!$B$31)*(1-Assumptions!$B$32)+Program!$C$9*Assumptions!$B$43*Assumptions!$B$44/12+Program!$C$5*Assumptions!$B$35*Assumptions!$B$34-Program!$C$5*Assumptions!$B$33/12-Assumptions!$B$37*Assumptions!$B$38/12),0)</f>
        <v/>
      </c>
      <c r="Z137" s="31">
        <f>SUMIF(Sellout!$A$6:$A$35,A137,Sellout!$D$6:$D$35)*(1-Assumptions!$B$49)</f>
        <v/>
      </c>
      <c r="AA137" s="31">
        <f>IF(A137=Assumptions!$B$58,Ops!$B$23,0)+IF(A137=Assumptions!$B$59,Ops!$C$23,0)</f>
        <v/>
      </c>
      <c r="AB137" s="21">
        <f>-O137+X137+Y137+Z137+AA137</f>
        <v/>
      </c>
      <c r="AC137" s="21">
        <f>AB137+S137-V137</f>
        <v/>
      </c>
    </row>
    <row r="138">
      <c r="A138" s="42" t="n">
        <v>133</v>
      </c>
      <c r="B138" s="43">
        <f>EDATE(Assumptions!$B$7,A138-1)</f>
        <v/>
      </c>
      <c r="C138" s="30">
        <f>IF(A138&lt;Assumptions!$B$9,"Pre-dev",IF(A138&lt;$AE$2,"Construction",IF(A138&lt;=Assumptions!$B$59,"Lease-up / exit","Tail")))</f>
        <v/>
      </c>
      <c r="D138" s="42">
        <f>IF(AND(A138&gt;=Assumptions!$B$9,A138&lt;$AE$2),(A138-Assumptions!$B$9+1)*($AE$2-A138),0)</f>
        <v/>
      </c>
      <c r="E138" s="44">
        <f>IFERROR(D138/$AE$6,0)</f>
        <v/>
      </c>
      <c r="F138" s="21">
        <f>IF(A138=1,DevBudget!$B$5,0)</f>
        <v/>
      </c>
      <c r="G138" s="21">
        <f>E138*DevBudget!$B$6</f>
        <v/>
      </c>
      <c r="H138" s="21">
        <f>E138*DevBudget!$B$7</f>
        <v/>
      </c>
      <c r="I138" s="21">
        <f>E138*DevBudget!$B$8</f>
        <v/>
      </c>
      <c r="J138" s="21">
        <f>E138*(DevBudget!$B$9+DevBudget!$B$10)</f>
        <v/>
      </c>
      <c r="K138" s="21">
        <f>E138*DevBudget!$B$12</f>
        <v/>
      </c>
      <c r="L138" s="21">
        <f>E138*DevBudget!$B$13</f>
        <v/>
      </c>
      <c r="M138" s="21">
        <f>IF(A138=Assumptions!$B$9,Assumptions!$B$69+Assumptions!$B$72,0)+IF(A138=$AE$4,Assumptions!$B$70+Assumptions!$B$71+Assumptions!$B$73,0)</f>
        <v/>
      </c>
      <c r="N138" s="21">
        <f>E138*DevBudget!$B$16</f>
        <v/>
      </c>
      <c r="O138" s="21">
        <f>SUM(F138:N138)</f>
        <v/>
      </c>
      <c r="P138" s="21">
        <f>P137+O138</f>
        <v/>
      </c>
      <c r="Q138" s="21">
        <f>MIN(O138,MAX(0,DevBudget!$B$19-R137))</f>
        <v/>
      </c>
      <c r="R138" s="21">
        <f>R137+Q138</f>
        <v/>
      </c>
      <c r="S138" s="21">
        <f>MIN(MAX(0,O138-Q138),MAX(0,Assumptions!$B$24-T138-U138))</f>
        <v/>
      </c>
      <c r="T138" s="21">
        <f>W137</f>
        <v/>
      </c>
      <c r="U138" s="21">
        <f>T138*Assumptions!$B$25/12</f>
        <v/>
      </c>
      <c r="V138" s="21">
        <f>MIN(T138+U138+S138,MAX(0,Z138+AA138))</f>
        <v/>
      </c>
      <c r="W138" s="21">
        <f>T138+S138+U138-V138</f>
        <v/>
      </c>
      <c r="X138" s="21">
        <f>IF(AND(A138&gt;=$AE$2,A138&lt;=Assumptions!$B$58),(MIN(Program!$D$5,MAX(0,(A138-$AE$2+1)*Assumptions!$B$39))*Assumptions!$B$29*(1+Assumptions!$B$31)*(1-Assumptions!$B$32)+Program!$D$9*Assumptions!$B$43*Assumptions!$B$44/12+Program!$D$5*Assumptions!$B$35*Assumptions!$B$34-Program!$D$5*Assumptions!$B$33/12-Assumptions!$B$36*Assumptions!$B$38/12),0)</f>
        <v/>
      </c>
      <c r="Y138" s="21">
        <f>IF(AND(A138&gt;=$AE$4,A138&lt;=Assumptions!$B$59),(MIN(Program!$C$5,MAX(0,(A138-$AE$4+1)*Assumptions!$B$39))*Assumptions!$B$30*(1+Assumptions!$B$31)*(1-Assumptions!$B$32)+Program!$C$9*Assumptions!$B$43*Assumptions!$B$44/12+Program!$C$5*Assumptions!$B$35*Assumptions!$B$34-Program!$C$5*Assumptions!$B$33/12-Assumptions!$B$37*Assumptions!$B$38/12),0)</f>
        <v/>
      </c>
      <c r="Z138" s="31">
        <f>SUMIF(Sellout!$A$6:$A$35,A138,Sellout!$D$6:$D$35)*(1-Assumptions!$B$49)</f>
        <v/>
      </c>
      <c r="AA138" s="31">
        <f>IF(A138=Assumptions!$B$58,Ops!$B$23,0)+IF(A138=Assumptions!$B$59,Ops!$C$23,0)</f>
        <v/>
      </c>
      <c r="AB138" s="21">
        <f>-O138+X138+Y138+Z138+AA138</f>
        <v/>
      </c>
      <c r="AC138" s="21">
        <f>AB138+S138-V138</f>
        <v/>
      </c>
    </row>
    <row r="139">
      <c r="A139" s="42" t="n">
        <v>134</v>
      </c>
      <c r="B139" s="43">
        <f>EDATE(Assumptions!$B$7,A139-1)</f>
        <v/>
      </c>
      <c r="C139" s="30">
        <f>IF(A139&lt;Assumptions!$B$9,"Pre-dev",IF(A139&lt;$AE$2,"Construction",IF(A139&lt;=Assumptions!$B$59,"Lease-up / exit","Tail")))</f>
        <v/>
      </c>
      <c r="D139" s="42">
        <f>IF(AND(A139&gt;=Assumptions!$B$9,A139&lt;$AE$2),(A139-Assumptions!$B$9+1)*($AE$2-A139),0)</f>
        <v/>
      </c>
      <c r="E139" s="44">
        <f>IFERROR(D139/$AE$6,0)</f>
        <v/>
      </c>
      <c r="F139" s="21">
        <f>IF(A139=1,DevBudget!$B$5,0)</f>
        <v/>
      </c>
      <c r="G139" s="21">
        <f>E139*DevBudget!$B$6</f>
        <v/>
      </c>
      <c r="H139" s="21">
        <f>E139*DevBudget!$B$7</f>
        <v/>
      </c>
      <c r="I139" s="21">
        <f>E139*DevBudget!$B$8</f>
        <v/>
      </c>
      <c r="J139" s="21">
        <f>E139*(DevBudget!$B$9+DevBudget!$B$10)</f>
        <v/>
      </c>
      <c r="K139" s="21">
        <f>E139*DevBudget!$B$12</f>
        <v/>
      </c>
      <c r="L139" s="21">
        <f>E139*DevBudget!$B$13</f>
        <v/>
      </c>
      <c r="M139" s="21">
        <f>IF(A139=Assumptions!$B$9,Assumptions!$B$69+Assumptions!$B$72,0)+IF(A139=$AE$4,Assumptions!$B$70+Assumptions!$B$71+Assumptions!$B$73,0)</f>
        <v/>
      </c>
      <c r="N139" s="21">
        <f>E139*DevBudget!$B$16</f>
        <v/>
      </c>
      <c r="O139" s="21">
        <f>SUM(F139:N139)</f>
        <v/>
      </c>
      <c r="P139" s="21">
        <f>P138+O139</f>
        <v/>
      </c>
      <c r="Q139" s="21">
        <f>MIN(O139,MAX(0,DevBudget!$B$19-R138))</f>
        <v/>
      </c>
      <c r="R139" s="21">
        <f>R138+Q139</f>
        <v/>
      </c>
      <c r="S139" s="21">
        <f>MIN(MAX(0,O139-Q139),MAX(0,Assumptions!$B$24-T139-U139))</f>
        <v/>
      </c>
      <c r="T139" s="21">
        <f>W138</f>
        <v/>
      </c>
      <c r="U139" s="21">
        <f>T139*Assumptions!$B$25/12</f>
        <v/>
      </c>
      <c r="V139" s="21">
        <f>MIN(T139+U139+S139,MAX(0,Z139+AA139))</f>
        <v/>
      </c>
      <c r="W139" s="21">
        <f>T139+S139+U139-V139</f>
        <v/>
      </c>
      <c r="X139" s="21">
        <f>IF(AND(A139&gt;=$AE$2,A139&lt;=Assumptions!$B$58),(MIN(Program!$D$5,MAX(0,(A139-$AE$2+1)*Assumptions!$B$39))*Assumptions!$B$29*(1+Assumptions!$B$31)*(1-Assumptions!$B$32)+Program!$D$9*Assumptions!$B$43*Assumptions!$B$44/12+Program!$D$5*Assumptions!$B$35*Assumptions!$B$34-Program!$D$5*Assumptions!$B$33/12-Assumptions!$B$36*Assumptions!$B$38/12),0)</f>
        <v/>
      </c>
      <c r="Y139" s="21">
        <f>IF(AND(A139&gt;=$AE$4,A139&lt;=Assumptions!$B$59),(MIN(Program!$C$5,MAX(0,(A139-$AE$4+1)*Assumptions!$B$39))*Assumptions!$B$30*(1+Assumptions!$B$31)*(1-Assumptions!$B$32)+Program!$C$9*Assumptions!$B$43*Assumptions!$B$44/12+Program!$C$5*Assumptions!$B$35*Assumptions!$B$34-Program!$C$5*Assumptions!$B$33/12-Assumptions!$B$37*Assumptions!$B$38/12),0)</f>
        <v/>
      </c>
      <c r="Z139" s="31">
        <f>SUMIF(Sellout!$A$6:$A$35,A139,Sellout!$D$6:$D$35)*(1-Assumptions!$B$49)</f>
        <v/>
      </c>
      <c r="AA139" s="31">
        <f>IF(A139=Assumptions!$B$58,Ops!$B$23,0)+IF(A139=Assumptions!$B$59,Ops!$C$23,0)</f>
        <v/>
      </c>
      <c r="AB139" s="21">
        <f>-O139+X139+Y139+Z139+AA139</f>
        <v/>
      </c>
      <c r="AC139" s="21">
        <f>AB139+S139-V139</f>
        <v/>
      </c>
    </row>
    <row r="140">
      <c r="A140" s="42" t="n">
        <v>135</v>
      </c>
      <c r="B140" s="43">
        <f>EDATE(Assumptions!$B$7,A140-1)</f>
        <v/>
      </c>
      <c r="C140" s="30">
        <f>IF(A140&lt;Assumptions!$B$9,"Pre-dev",IF(A140&lt;$AE$2,"Construction",IF(A140&lt;=Assumptions!$B$59,"Lease-up / exit","Tail")))</f>
        <v/>
      </c>
      <c r="D140" s="42">
        <f>IF(AND(A140&gt;=Assumptions!$B$9,A140&lt;$AE$2),(A140-Assumptions!$B$9+1)*($AE$2-A140),0)</f>
        <v/>
      </c>
      <c r="E140" s="44">
        <f>IFERROR(D140/$AE$6,0)</f>
        <v/>
      </c>
      <c r="F140" s="21">
        <f>IF(A140=1,DevBudget!$B$5,0)</f>
        <v/>
      </c>
      <c r="G140" s="21">
        <f>E140*DevBudget!$B$6</f>
        <v/>
      </c>
      <c r="H140" s="21">
        <f>E140*DevBudget!$B$7</f>
        <v/>
      </c>
      <c r="I140" s="21">
        <f>E140*DevBudget!$B$8</f>
        <v/>
      </c>
      <c r="J140" s="21">
        <f>E140*(DevBudget!$B$9+DevBudget!$B$10)</f>
        <v/>
      </c>
      <c r="K140" s="21">
        <f>E140*DevBudget!$B$12</f>
        <v/>
      </c>
      <c r="L140" s="21">
        <f>E140*DevBudget!$B$13</f>
        <v/>
      </c>
      <c r="M140" s="21">
        <f>IF(A140=Assumptions!$B$9,Assumptions!$B$69+Assumptions!$B$72,0)+IF(A140=$AE$4,Assumptions!$B$70+Assumptions!$B$71+Assumptions!$B$73,0)</f>
        <v/>
      </c>
      <c r="N140" s="21">
        <f>E140*DevBudget!$B$16</f>
        <v/>
      </c>
      <c r="O140" s="21">
        <f>SUM(F140:N140)</f>
        <v/>
      </c>
      <c r="P140" s="21">
        <f>P139+O140</f>
        <v/>
      </c>
      <c r="Q140" s="21">
        <f>MIN(O140,MAX(0,DevBudget!$B$19-R139))</f>
        <v/>
      </c>
      <c r="R140" s="21">
        <f>R139+Q140</f>
        <v/>
      </c>
      <c r="S140" s="21">
        <f>MIN(MAX(0,O140-Q140),MAX(0,Assumptions!$B$24-T140-U140))</f>
        <v/>
      </c>
      <c r="T140" s="21">
        <f>W139</f>
        <v/>
      </c>
      <c r="U140" s="21">
        <f>T140*Assumptions!$B$25/12</f>
        <v/>
      </c>
      <c r="V140" s="21">
        <f>MIN(T140+U140+S140,MAX(0,Z140+AA140))</f>
        <v/>
      </c>
      <c r="W140" s="21">
        <f>T140+S140+U140-V140</f>
        <v/>
      </c>
      <c r="X140" s="21">
        <f>IF(AND(A140&gt;=$AE$2,A140&lt;=Assumptions!$B$58),(MIN(Program!$D$5,MAX(0,(A140-$AE$2+1)*Assumptions!$B$39))*Assumptions!$B$29*(1+Assumptions!$B$31)*(1-Assumptions!$B$32)+Program!$D$9*Assumptions!$B$43*Assumptions!$B$44/12+Program!$D$5*Assumptions!$B$35*Assumptions!$B$34-Program!$D$5*Assumptions!$B$33/12-Assumptions!$B$36*Assumptions!$B$38/12),0)</f>
        <v/>
      </c>
      <c r="Y140" s="21">
        <f>IF(AND(A140&gt;=$AE$4,A140&lt;=Assumptions!$B$59),(MIN(Program!$C$5,MAX(0,(A140-$AE$4+1)*Assumptions!$B$39))*Assumptions!$B$30*(1+Assumptions!$B$31)*(1-Assumptions!$B$32)+Program!$C$9*Assumptions!$B$43*Assumptions!$B$44/12+Program!$C$5*Assumptions!$B$35*Assumptions!$B$34-Program!$C$5*Assumptions!$B$33/12-Assumptions!$B$37*Assumptions!$B$38/12),0)</f>
        <v/>
      </c>
      <c r="Z140" s="31">
        <f>SUMIF(Sellout!$A$6:$A$35,A140,Sellout!$D$6:$D$35)*(1-Assumptions!$B$49)</f>
        <v/>
      </c>
      <c r="AA140" s="31">
        <f>IF(A140=Assumptions!$B$58,Ops!$B$23,0)+IF(A140=Assumptions!$B$59,Ops!$C$23,0)</f>
        <v/>
      </c>
      <c r="AB140" s="21">
        <f>-O140+X140+Y140+Z140+AA140</f>
        <v/>
      </c>
      <c r="AC140" s="21">
        <f>AB140+S140-V140</f>
        <v/>
      </c>
    </row>
    <row r="141">
      <c r="A141" s="42" t="n">
        <v>136</v>
      </c>
      <c r="B141" s="43">
        <f>EDATE(Assumptions!$B$7,A141-1)</f>
        <v/>
      </c>
      <c r="C141" s="30">
        <f>IF(A141&lt;Assumptions!$B$9,"Pre-dev",IF(A141&lt;$AE$2,"Construction",IF(A141&lt;=Assumptions!$B$59,"Lease-up / exit","Tail")))</f>
        <v/>
      </c>
      <c r="D141" s="42">
        <f>IF(AND(A141&gt;=Assumptions!$B$9,A141&lt;$AE$2),(A141-Assumptions!$B$9+1)*($AE$2-A141),0)</f>
        <v/>
      </c>
      <c r="E141" s="44">
        <f>IFERROR(D141/$AE$6,0)</f>
        <v/>
      </c>
      <c r="F141" s="21">
        <f>IF(A141=1,DevBudget!$B$5,0)</f>
        <v/>
      </c>
      <c r="G141" s="21">
        <f>E141*DevBudget!$B$6</f>
        <v/>
      </c>
      <c r="H141" s="21">
        <f>E141*DevBudget!$B$7</f>
        <v/>
      </c>
      <c r="I141" s="21">
        <f>E141*DevBudget!$B$8</f>
        <v/>
      </c>
      <c r="J141" s="21">
        <f>E141*(DevBudget!$B$9+DevBudget!$B$10)</f>
        <v/>
      </c>
      <c r="K141" s="21">
        <f>E141*DevBudget!$B$12</f>
        <v/>
      </c>
      <c r="L141" s="21">
        <f>E141*DevBudget!$B$13</f>
        <v/>
      </c>
      <c r="M141" s="21">
        <f>IF(A141=Assumptions!$B$9,Assumptions!$B$69+Assumptions!$B$72,0)+IF(A141=$AE$4,Assumptions!$B$70+Assumptions!$B$71+Assumptions!$B$73,0)</f>
        <v/>
      </c>
      <c r="N141" s="21">
        <f>E141*DevBudget!$B$16</f>
        <v/>
      </c>
      <c r="O141" s="21">
        <f>SUM(F141:N141)</f>
        <v/>
      </c>
      <c r="P141" s="21">
        <f>P140+O141</f>
        <v/>
      </c>
      <c r="Q141" s="21">
        <f>MIN(O141,MAX(0,DevBudget!$B$19-R140))</f>
        <v/>
      </c>
      <c r="R141" s="21">
        <f>R140+Q141</f>
        <v/>
      </c>
      <c r="S141" s="21">
        <f>MIN(MAX(0,O141-Q141),MAX(0,Assumptions!$B$24-T141-U141))</f>
        <v/>
      </c>
      <c r="T141" s="21">
        <f>W140</f>
        <v/>
      </c>
      <c r="U141" s="21">
        <f>T141*Assumptions!$B$25/12</f>
        <v/>
      </c>
      <c r="V141" s="21">
        <f>MIN(T141+U141+S141,MAX(0,Z141+AA141))</f>
        <v/>
      </c>
      <c r="W141" s="21">
        <f>T141+S141+U141-V141</f>
        <v/>
      </c>
      <c r="X141" s="21">
        <f>IF(AND(A141&gt;=$AE$2,A141&lt;=Assumptions!$B$58),(MIN(Program!$D$5,MAX(0,(A141-$AE$2+1)*Assumptions!$B$39))*Assumptions!$B$29*(1+Assumptions!$B$31)*(1-Assumptions!$B$32)+Program!$D$9*Assumptions!$B$43*Assumptions!$B$44/12+Program!$D$5*Assumptions!$B$35*Assumptions!$B$34-Program!$D$5*Assumptions!$B$33/12-Assumptions!$B$36*Assumptions!$B$38/12),0)</f>
        <v/>
      </c>
      <c r="Y141" s="21">
        <f>IF(AND(A141&gt;=$AE$4,A141&lt;=Assumptions!$B$59),(MIN(Program!$C$5,MAX(0,(A141-$AE$4+1)*Assumptions!$B$39))*Assumptions!$B$30*(1+Assumptions!$B$31)*(1-Assumptions!$B$32)+Program!$C$9*Assumptions!$B$43*Assumptions!$B$44/12+Program!$C$5*Assumptions!$B$35*Assumptions!$B$34-Program!$C$5*Assumptions!$B$33/12-Assumptions!$B$37*Assumptions!$B$38/12),0)</f>
        <v/>
      </c>
      <c r="Z141" s="31">
        <f>SUMIF(Sellout!$A$6:$A$35,A141,Sellout!$D$6:$D$35)*(1-Assumptions!$B$49)</f>
        <v/>
      </c>
      <c r="AA141" s="31">
        <f>IF(A141=Assumptions!$B$58,Ops!$B$23,0)+IF(A141=Assumptions!$B$59,Ops!$C$23,0)</f>
        <v/>
      </c>
      <c r="AB141" s="21">
        <f>-O141+X141+Y141+Z141+AA141</f>
        <v/>
      </c>
      <c r="AC141" s="21">
        <f>AB141+S141-V141</f>
        <v/>
      </c>
    </row>
    <row r="142">
      <c r="A142" s="42" t="n">
        <v>137</v>
      </c>
      <c r="B142" s="43">
        <f>EDATE(Assumptions!$B$7,A142-1)</f>
        <v/>
      </c>
      <c r="C142" s="30">
        <f>IF(A142&lt;Assumptions!$B$9,"Pre-dev",IF(A142&lt;$AE$2,"Construction",IF(A142&lt;=Assumptions!$B$59,"Lease-up / exit","Tail")))</f>
        <v/>
      </c>
      <c r="D142" s="42">
        <f>IF(AND(A142&gt;=Assumptions!$B$9,A142&lt;$AE$2),(A142-Assumptions!$B$9+1)*($AE$2-A142),0)</f>
        <v/>
      </c>
      <c r="E142" s="44">
        <f>IFERROR(D142/$AE$6,0)</f>
        <v/>
      </c>
      <c r="F142" s="21">
        <f>IF(A142=1,DevBudget!$B$5,0)</f>
        <v/>
      </c>
      <c r="G142" s="21">
        <f>E142*DevBudget!$B$6</f>
        <v/>
      </c>
      <c r="H142" s="21">
        <f>E142*DevBudget!$B$7</f>
        <v/>
      </c>
      <c r="I142" s="21">
        <f>E142*DevBudget!$B$8</f>
        <v/>
      </c>
      <c r="J142" s="21">
        <f>E142*(DevBudget!$B$9+DevBudget!$B$10)</f>
        <v/>
      </c>
      <c r="K142" s="21">
        <f>E142*DevBudget!$B$12</f>
        <v/>
      </c>
      <c r="L142" s="21">
        <f>E142*DevBudget!$B$13</f>
        <v/>
      </c>
      <c r="M142" s="21">
        <f>IF(A142=Assumptions!$B$9,Assumptions!$B$69+Assumptions!$B$72,0)+IF(A142=$AE$4,Assumptions!$B$70+Assumptions!$B$71+Assumptions!$B$73,0)</f>
        <v/>
      </c>
      <c r="N142" s="21">
        <f>E142*DevBudget!$B$16</f>
        <v/>
      </c>
      <c r="O142" s="21">
        <f>SUM(F142:N142)</f>
        <v/>
      </c>
      <c r="P142" s="21">
        <f>P141+O142</f>
        <v/>
      </c>
      <c r="Q142" s="21">
        <f>MIN(O142,MAX(0,DevBudget!$B$19-R141))</f>
        <v/>
      </c>
      <c r="R142" s="21">
        <f>R141+Q142</f>
        <v/>
      </c>
      <c r="S142" s="21">
        <f>MIN(MAX(0,O142-Q142),MAX(0,Assumptions!$B$24-T142-U142))</f>
        <v/>
      </c>
      <c r="T142" s="21">
        <f>W141</f>
        <v/>
      </c>
      <c r="U142" s="21">
        <f>T142*Assumptions!$B$25/12</f>
        <v/>
      </c>
      <c r="V142" s="21">
        <f>MIN(T142+U142+S142,MAX(0,Z142+AA142))</f>
        <v/>
      </c>
      <c r="W142" s="21">
        <f>T142+S142+U142-V142</f>
        <v/>
      </c>
      <c r="X142" s="21">
        <f>IF(AND(A142&gt;=$AE$2,A142&lt;=Assumptions!$B$58),(MIN(Program!$D$5,MAX(0,(A142-$AE$2+1)*Assumptions!$B$39))*Assumptions!$B$29*(1+Assumptions!$B$31)*(1-Assumptions!$B$32)+Program!$D$9*Assumptions!$B$43*Assumptions!$B$44/12+Program!$D$5*Assumptions!$B$35*Assumptions!$B$34-Program!$D$5*Assumptions!$B$33/12-Assumptions!$B$36*Assumptions!$B$38/12),0)</f>
        <v/>
      </c>
      <c r="Y142" s="21">
        <f>IF(AND(A142&gt;=$AE$4,A142&lt;=Assumptions!$B$59),(MIN(Program!$C$5,MAX(0,(A142-$AE$4+1)*Assumptions!$B$39))*Assumptions!$B$30*(1+Assumptions!$B$31)*(1-Assumptions!$B$32)+Program!$C$9*Assumptions!$B$43*Assumptions!$B$44/12+Program!$C$5*Assumptions!$B$35*Assumptions!$B$34-Program!$C$5*Assumptions!$B$33/12-Assumptions!$B$37*Assumptions!$B$38/12),0)</f>
        <v/>
      </c>
      <c r="Z142" s="31">
        <f>SUMIF(Sellout!$A$6:$A$35,A142,Sellout!$D$6:$D$35)*(1-Assumptions!$B$49)</f>
        <v/>
      </c>
      <c r="AA142" s="31">
        <f>IF(A142=Assumptions!$B$58,Ops!$B$23,0)+IF(A142=Assumptions!$B$59,Ops!$C$23,0)</f>
        <v/>
      </c>
      <c r="AB142" s="21">
        <f>-O142+X142+Y142+Z142+AA142</f>
        <v/>
      </c>
      <c r="AC142" s="21">
        <f>AB142+S142-V142</f>
        <v/>
      </c>
    </row>
    <row r="143">
      <c r="A143" s="42" t="n">
        <v>138</v>
      </c>
      <c r="B143" s="43">
        <f>EDATE(Assumptions!$B$7,A143-1)</f>
        <v/>
      </c>
      <c r="C143" s="30">
        <f>IF(A143&lt;Assumptions!$B$9,"Pre-dev",IF(A143&lt;$AE$2,"Construction",IF(A143&lt;=Assumptions!$B$59,"Lease-up / exit","Tail")))</f>
        <v/>
      </c>
      <c r="D143" s="42">
        <f>IF(AND(A143&gt;=Assumptions!$B$9,A143&lt;$AE$2),(A143-Assumptions!$B$9+1)*($AE$2-A143),0)</f>
        <v/>
      </c>
      <c r="E143" s="44">
        <f>IFERROR(D143/$AE$6,0)</f>
        <v/>
      </c>
      <c r="F143" s="21">
        <f>IF(A143=1,DevBudget!$B$5,0)</f>
        <v/>
      </c>
      <c r="G143" s="21">
        <f>E143*DevBudget!$B$6</f>
        <v/>
      </c>
      <c r="H143" s="21">
        <f>E143*DevBudget!$B$7</f>
        <v/>
      </c>
      <c r="I143" s="21">
        <f>E143*DevBudget!$B$8</f>
        <v/>
      </c>
      <c r="J143" s="21">
        <f>E143*(DevBudget!$B$9+DevBudget!$B$10)</f>
        <v/>
      </c>
      <c r="K143" s="21">
        <f>E143*DevBudget!$B$12</f>
        <v/>
      </c>
      <c r="L143" s="21">
        <f>E143*DevBudget!$B$13</f>
        <v/>
      </c>
      <c r="M143" s="21">
        <f>IF(A143=Assumptions!$B$9,Assumptions!$B$69+Assumptions!$B$72,0)+IF(A143=$AE$4,Assumptions!$B$70+Assumptions!$B$71+Assumptions!$B$73,0)</f>
        <v/>
      </c>
      <c r="N143" s="21">
        <f>E143*DevBudget!$B$16</f>
        <v/>
      </c>
      <c r="O143" s="21">
        <f>SUM(F143:N143)</f>
        <v/>
      </c>
      <c r="P143" s="21">
        <f>P142+O143</f>
        <v/>
      </c>
      <c r="Q143" s="21">
        <f>MIN(O143,MAX(0,DevBudget!$B$19-R142))</f>
        <v/>
      </c>
      <c r="R143" s="21">
        <f>R142+Q143</f>
        <v/>
      </c>
      <c r="S143" s="21">
        <f>MIN(MAX(0,O143-Q143),MAX(0,Assumptions!$B$24-T143-U143))</f>
        <v/>
      </c>
      <c r="T143" s="21">
        <f>W142</f>
        <v/>
      </c>
      <c r="U143" s="21">
        <f>T143*Assumptions!$B$25/12</f>
        <v/>
      </c>
      <c r="V143" s="21">
        <f>MIN(T143+U143+S143,MAX(0,Z143+AA143))</f>
        <v/>
      </c>
      <c r="W143" s="21">
        <f>T143+S143+U143-V143</f>
        <v/>
      </c>
      <c r="X143" s="21">
        <f>IF(AND(A143&gt;=$AE$2,A143&lt;=Assumptions!$B$58),(MIN(Program!$D$5,MAX(0,(A143-$AE$2+1)*Assumptions!$B$39))*Assumptions!$B$29*(1+Assumptions!$B$31)*(1-Assumptions!$B$32)+Program!$D$9*Assumptions!$B$43*Assumptions!$B$44/12+Program!$D$5*Assumptions!$B$35*Assumptions!$B$34-Program!$D$5*Assumptions!$B$33/12-Assumptions!$B$36*Assumptions!$B$38/12),0)</f>
        <v/>
      </c>
      <c r="Y143" s="21">
        <f>IF(AND(A143&gt;=$AE$4,A143&lt;=Assumptions!$B$59),(MIN(Program!$C$5,MAX(0,(A143-$AE$4+1)*Assumptions!$B$39))*Assumptions!$B$30*(1+Assumptions!$B$31)*(1-Assumptions!$B$32)+Program!$C$9*Assumptions!$B$43*Assumptions!$B$44/12+Program!$C$5*Assumptions!$B$35*Assumptions!$B$34-Program!$C$5*Assumptions!$B$33/12-Assumptions!$B$37*Assumptions!$B$38/12),0)</f>
        <v/>
      </c>
      <c r="Z143" s="31">
        <f>SUMIF(Sellout!$A$6:$A$35,A143,Sellout!$D$6:$D$35)*(1-Assumptions!$B$49)</f>
        <v/>
      </c>
      <c r="AA143" s="31">
        <f>IF(A143=Assumptions!$B$58,Ops!$B$23,0)+IF(A143=Assumptions!$B$59,Ops!$C$23,0)</f>
        <v/>
      </c>
      <c r="AB143" s="21">
        <f>-O143+X143+Y143+Z143+AA143</f>
        <v/>
      </c>
      <c r="AC143" s="21">
        <f>AB143+S143-V143</f>
        <v/>
      </c>
    </row>
    <row r="144">
      <c r="A144" s="42" t="n">
        <v>139</v>
      </c>
      <c r="B144" s="43">
        <f>EDATE(Assumptions!$B$7,A144-1)</f>
        <v/>
      </c>
      <c r="C144" s="30">
        <f>IF(A144&lt;Assumptions!$B$9,"Pre-dev",IF(A144&lt;$AE$2,"Construction",IF(A144&lt;=Assumptions!$B$59,"Lease-up / exit","Tail")))</f>
        <v/>
      </c>
      <c r="D144" s="42">
        <f>IF(AND(A144&gt;=Assumptions!$B$9,A144&lt;$AE$2),(A144-Assumptions!$B$9+1)*($AE$2-A144),0)</f>
        <v/>
      </c>
      <c r="E144" s="44">
        <f>IFERROR(D144/$AE$6,0)</f>
        <v/>
      </c>
      <c r="F144" s="21">
        <f>IF(A144=1,DevBudget!$B$5,0)</f>
        <v/>
      </c>
      <c r="G144" s="21">
        <f>E144*DevBudget!$B$6</f>
        <v/>
      </c>
      <c r="H144" s="21">
        <f>E144*DevBudget!$B$7</f>
        <v/>
      </c>
      <c r="I144" s="21">
        <f>E144*DevBudget!$B$8</f>
        <v/>
      </c>
      <c r="J144" s="21">
        <f>E144*(DevBudget!$B$9+DevBudget!$B$10)</f>
        <v/>
      </c>
      <c r="K144" s="21">
        <f>E144*DevBudget!$B$12</f>
        <v/>
      </c>
      <c r="L144" s="21">
        <f>E144*DevBudget!$B$13</f>
        <v/>
      </c>
      <c r="M144" s="21">
        <f>IF(A144=Assumptions!$B$9,Assumptions!$B$69+Assumptions!$B$72,0)+IF(A144=$AE$4,Assumptions!$B$70+Assumptions!$B$71+Assumptions!$B$73,0)</f>
        <v/>
      </c>
      <c r="N144" s="21">
        <f>E144*DevBudget!$B$16</f>
        <v/>
      </c>
      <c r="O144" s="21">
        <f>SUM(F144:N144)</f>
        <v/>
      </c>
      <c r="P144" s="21">
        <f>P143+O144</f>
        <v/>
      </c>
      <c r="Q144" s="21">
        <f>MIN(O144,MAX(0,DevBudget!$B$19-R143))</f>
        <v/>
      </c>
      <c r="R144" s="21">
        <f>R143+Q144</f>
        <v/>
      </c>
      <c r="S144" s="21">
        <f>MIN(MAX(0,O144-Q144),MAX(0,Assumptions!$B$24-T144-U144))</f>
        <v/>
      </c>
      <c r="T144" s="21">
        <f>W143</f>
        <v/>
      </c>
      <c r="U144" s="21">
        <f>T144*Assumptions!$B$25/12</f>
        <v/>
      </c>
      <c r="V144" s="21">
        <f>MIN(T144+U144+S144,MAX(0,Z144+AA144))</f>
        <v/>
      </c>
      <c r="W144" s="21">
        <f>T144+S144+U144-V144</f>
        <v/>
      </c>
      <c r="X144" s="21">
        <f>IF(AND(A144&gt;=$AE$2,A144&lt;=Assumptions!$B$58),(MIN(Program!$D$5,MAX(0,(A144-$AE$2+1)*Assumptions!$B$39))*Assumptions!$B$29*(1+Assumptions!$B$31)*(1-Assumptions!$B$32)+Program!$D$9*Assumptions!$B$43*Assumptions!$B$44/12+Program!$D$5*Assumptions!$B$35*Assumptions!$B$34-Program!$D$5*Assumptions!$B$33/12-Assumptions!$B$36*Assumptions!$B$38/12),0)</f>
        <v/>
      </c>
      <c r="Y144" s="21">
        <f>IF(AND(A144&gt;=$AE$4,A144&lt;=Assumptions!$B$59),(MIN(Program!$C$5,MAX(0,(A144-$AE$4+1)*Assumptions!$B$39))*Assumptions!$B$30*(1+Assumptions!$B$31)*(1-Assumptions!$B$32)+Program!$C$9*Assumptions!$B$43*Assumptions!$B$44/12+Program!$C$5*Assumptions!$B$35*Assumptions!$B$34-Program!$C$5*Assumptions!$B$33/12-Assumptions!$B$37*Assumptions!$B$38/12),0)</f>
        <v/>
      </c>
      <c r="Z144" s="31">
        <f>SUMIF(Sellout!$A$6:$A$35,A144,Sellout!$D$6:$D$35)*(1-Assumptions!$B$49)</f>
        <v/>
      </c>
      <c r="AA144" s="31">
        <f>IF(A144=Assumptions!$B$58,Ops!$B$23,0)+IF(A144=Assumptions!$B$59,Ops!$C$23,0)</f>
        <v/>
      </c>
      <c r="AB144" s="21">
        <f>-O144+X144+Y144+Z144+AA144</f>
        <v/>
      </c>
      <c r="AC144" s="21">
        <f>AB144+S144-V144</f>
        <v/>
      </c>
    </row>
    <row r="145">
      <c r="A145" s="42" t="n">
        <v>140</v>
      </c>
      <c r="B145" s="43">
        <f>EDATE(Assumptions!$B$7,A145-1)</f>
        <v/>
      </c>
      <c r="C145" s="30">
        <f>IF(A145&lt;Assumptions!$B$9,"Pre-dev",IF(A145&lt;$AE$2,"Construction",IF(A145&lt;=Assumptions!$B$59,"Lease-up / exit","Tail")))</f>
        <v/>
      </c>
      <c r="D145" s="42">
        <f>IF(AND(A145&gt;=Assumptions!$B$9,A145&lt;$AE$2),(A145-Assumptions!$B$9+1)*($AE$2-A145),0)</f>
        <v/>
      </c>
      <c r="E145" s="44">
        <f>IFERROR(D145/$AE$6,0)</f>
        <v/>
      </c>
      <c r="F145" s="21">
        <f>IF(A145=1,DevBudget!$B$5,0)</f>
        <v/>
      </c>
      <c r="G145" s="21">
        <f>E145*DevBudget!$B$6</f>
        <v/>
      </c>
      <c r="H145" s="21">
        <f>E145*DevBudget!$B$7</f>
        <v/>
      </c>
      <c r="I145" s="21">
        <f>E145*DevBudget!$B$8</f>
        <v/>
      </c>
      <c r="J145" s="21">
        <f>E145*(DevBudget!$B$9+DevBudget!$B$10)</f>
        <v/>
      </c>
      <c r="K145" s="21">
        <f>E145*DevBudget!$B$12</f>
        <v/>
      </c>
      <c r="L145" s="21">
        <f>E145*DevBudget!$B$13</f>
        <v/>
      </c>
      <c r="M145" s="21">
        <f>IF(A145=Assumptions!$B$9,Assumptions!$B$69+Assumptions!$B$72,0)+IF(A145=$AE$4,Assumptions!$B$70+Assumptions!$B$71+Assumptions!$B$73,0)</f>
        <v/>
      </c>
      <c r="N145" s="21">
        <f>E145*DevBudget!$B$16</f>
        <v/>
      </c>
      <c r="O145" s="21">
        <f>SUM(F145:N145)</f>
        <v/>
      </c>
      <c r="P145" s="21">
        <f>P144+O145</f>
        <v/>
      </c>
      <c r="Q145" s="21">
        <f>MIN(O145,MAX(0,DevBudget!$B$19-R144))</f>
        <v/>
      </c>
      <c r="R145" s="21">
        <f>R144+Q145</f>
        <v/>
      </c>
      <c r="S145" s="21">
        <f>MIN(MAX(0,O145-Q145),MAX(0,Assumptions!$B$24-T145-U145))</f>
        <v/>
      </c>
      <c r="T145" s="21">
        <f>W144</f>
        <v/>
      </c>
      <c r="U145" s="21">
        <f>T145*Assumptions!$B$25/12</f>
        <v/>
      </c>
      <c r="V145" s="21">
        <f>MIN(T145+U145+S145,MAX(0,Z145+AA145))</f>
        <v/>
      </c>
      <c r="W145" s="21">
        <f>T145+S145+U145-V145</f>
        <v/>
      </c>
      <c r="X145" s="21">
        <f>IF(AND(A145&gt;=$AE$2,A145&lt;=Assumptions!$B$58),(MIN(Program!$D$5,MAX(0,(A145-$AE$2+1)*Assumptions!$B$39))*Assumptions!$B$29*(1+Assumptions!$B$31)*(1-Assumptions!$B$32)+Program!$D$9*Assumptions!$B$43*Assumptions!$B$44/12+Program!$D$5*Assumptions!$B$35*Assumptions!$B$34-Program!$D$5*Assumptions!$B$33/12-Assumptions!$B$36*Assumptions!$B$38/12),0)</f>
        <v/>
      </c>
      <c r="Y145" s="21">
        <f>IF(AND(A145&gt;=$AE$4,A145&lt;=Assumptions!$B$59),(MIN(Program!$C$5,MAX(0,(A145-$AE$4+1)*Assumptions!$B$39))*Assumptions!$B$30*(1+Assumptions!$B$31)*(1-Assumptions!$B$32)+Program!$C$9*Assumptions!$B$43*Assumptions!$B$44/12+Program!$C$5*Assumptions!$B$35*Assumptions!$B$34-Program!$C$5*Assumptions!$B$33/12-Assumptions!$B$37*Assumptions!$B$38/12),0)</f>
        <v/>
      </c>
      <c r="Z145" s="31">
        <f>SUMIF(Sellout!$A$6:$A$35,A145,Sellout!$D$6:$D$35)*(1-Assumptions!$B$49)</f>
        <v/>
      </c>
      <c r="AA145" s="31">
        <f>IF(A145=Assumptions!$B$58,Ops!$B$23,0)+IF(A145=Assumptions!$B$59,Ops!$C$23,0)</f>
        <v/>
      </c>
      <c r="AB145" s="21">
        <f>-O145+X145+Y145+Z145+AA145</f>
        <v/>
      </c>
      <c r="AC145" s="21">
        <f>AB145+S145-V145</f>
        <v/>
      </c>
    </row>
    <row r="146">
      <c r="A146" s="42" t="n">
        <v>141</v>
      </c>
      <c r="B146" s="43">
        <f>EDATE(Assumptions!$B$7,A146-1)</f>
        <v/>
      </c>
      <c r="C146" s="30">
        <f>IF(A146&lt;Assumptions!$B$9,"Pre-dev",IF(A146&lt;$AE$2,"Construction",IF(A146&lt;=Assumptions!$B$59,"Lease-up / exit","Tail")))</f>
        <v/>
      </c>
      <c r="D146" s="42">
        <f>IF(AND(A146&gt;=Assumptions!$B$9,A146&lt;$AE$2),(A146-Assumptions!$B$9+1)*($AE$2-A146),0)</f>
        <v/>
      </c>
      <c r="E146" s="44">
        <f>IFERROR(D146/$AE$6,0)</f>
        <v/>
      </c>
      <c r="F146" s="21">
        <f>IF(A146=1,DevBudget!$B$5,0)</f>
        <v/>
      </c>
      <c r="G146" s="21">
        <f>E146*DevBudget!$B$6</f>
        <v/>
      </c>
      <c r="H146" s="21">
        <f>E146*DevBudget!$B$7</f>
        <v/>
      </c>
      <c r="I146" s="21">
        <f>E146*DevBudget!$B$8</f>
        <v/>
      </c>
      <c r="J146" s="21">
        <f>E146*(DevBudget!$B$9+DevBudget!$B$10)</f>
        <v/>
      </c>
      <c r="K146" s="21">
        <f>E146*DevBudget!$B$12</f>
        <v/>
      </c>
      <c r="L146" s="21">
        <f>E146*DevBudget!$B$13</f>
        <v/>
      </c>
      <c r="M146" s="21">
        <f>IF(A146=Assumptions!$B$9,Assumptions!$B$69+Assumptions!$B$72,0)+IF(A146=$AE$4,Assumptions!$B$70+Assumptions!$B$71+Assumptions!$B$73,0)</f>
        <v/>
      </c>
      <c r="N146" s="21">
        <f>E146*DevBudget!$B$16</f>
        <v/>
      </c>
      <c r="O146" s="21">
        <f>SUM(F146:N146)</f>
        <v/>
      </c>
      <c r="P146" s="21">
        <f>P145+O146</f>
        <v/>
      </c>
      <c r="Q146" s="21">
        <f>MIN(O146,MAX(0,DevBudget!$B$19-R145))</f>
        <v/>
      </c>
      <c r="R146" s="21">
        <f>R145+Q146</f>
        <v/>
      </c>
      <c r="S146" s="21">
        <f>MIN(MAX(0,O146-Q146),MAX(0,Assumptions!$B$24-T146-U146))</f>
        <v/>
      </c>
      <c r="T146" s="21">
        <f>W145</f>
        <v/>
      </c>
      <c r="U146" s="21">
        <f>T146*Assumptions!$B$25/12</f>
        <v/>
      </c>
      <c r="V146" s="21">
        <f>MIN(T146+U146+S146,MAX(0,Z146+AA146))</f>
        <v/>
      </c>
      <c r="W146" s="21">
        <f>T146+S146+U146-V146</f>
        <v/>
      </c>
      <c r="X146" s="21">
        <f>IF(AND(A146&gt;=$AE$2,A146&lt;=Assumptions!$B$58),(MIN(Program!$D$5,MAX(0,(A146-$AE$2+1)*Assumptions!$B$39))*Assumptions!$B$29*(1+Assumptions!$B$31)*(1-Assumptions!$B$32)+Program!$D$9*Assumptions!$B$43*Assumptions!$B$44/12+Program!$D$5*Assumptions!$B$35*Assumptions!$B$34-Program!$D$5*Assumptions!$B$33/12-Assumptions!$B$36*Assumptions!$B$38/12),0)</f>
        <v/>
      </c>
      <c r="Y146" s="21">
        <f>IF(AND(A146&gt;=$AE$4,A146&lt;=Assumptions!$B$59),(MIN(Program!$C$5,MAX(0,(A146-$AE$4+1)*Assumptions!$B$39))*Assumptions!$B$30*(1+Assumptions!$B$31)*(1-Assumptions!$B$32)+Program!$C$9*Assumptions!$B$43*Assumptions!$B$44/12+Program!$C$5*Assumptions!$B$35*Assumptions!$B$34-Program!$C$5*Assumptions!$B$33/12-Assumptions!$B$37*Assumptions!$B$38/12),0)</f>
        <v/>
      </c>
      <c r="Z146" s="31">
        <f>SUMIF(Sellout!$A$6:$A$35,A146,Sellout!$D$6:$D$35)*(1-Assumptions!$B$49)</f>
        <v/>
      </c>
      <c r="AA146" s="31">
        <f>IF(A146=Assumptions!$B$58,Ops!$B$23,0)+IF(A146=Assumptions!$B$59,Ops!$C$23,0)</f>
        <v/>
      </c>
      <c r="AB146" s="21">
        <f>-O146+X146+Y146+Z146+AA146</f>
        <v/>
      </c>
      <c r="AC146" s="21">
        <f>AB146+S146-V146</f>
        <v/>
      </c>
    </row>
    <row r="147">
      <c r="A147" s="42" t="n">
        <v>142</v>
      </c>
      <c r="B147" s="43">
        <f>EDATE(Assumptions!$B$7,A147-1)</f>
        <v/>
      </c>
      <c r="C147" s="30">
        <f>IF(A147&lt;Assumptions!$B$9,"Pre-dev",IF(A147&lt;$AE$2,"Construction",IF(A147&lt;=Assumptions!$B$59,"Lease-up / exit","Tail")))</f>
        <v/>
      </c>
      <c r="D147" s="42">
        <f>IF(AND(A147&gt;=Assumptions!$B$9,A147&lt;$AE$2),(A147-Assumptions!$B$9+1)*($AE$2-A147),0)</f>
        <v/>
      </c>
      <c r="E147" s="44">
        <f>IFERROR(D147/$AE$6,0)</f>
        <v/>
      </c>
      <c r="F147" s="21">
        <f>IF(A147=1,DevBudget!$B$5,0)</f>
        <v/>
      </c>
      <c r="G147" s="21">
        <f>E147*DevBudget!$B$6</f>
        <v/>
      </c>
      <c r="H147" s="21">
        <f>E147*DevBudget!$B$7</f>
        <v/>
      </c>
      <c r="I147" s="21">
        <f>E147*DevBudget!$B$8</f>
        <v/>
      </c>
      <c r="J147" s="21">
        <f>E147*(DevBudget!$B$9+DevBudget!$B$10)</f>
        <v/>
      </c>
      <c r="K147" s="21">
        <f>E147*DevBudget!$B$12</f>
        <v/>
      </c>
      <c r="L147" s="21">
        <f>E147*DevBudget!$B$13</f>
        <v/>
      </c>
      <c r="M147" s="21">
        <f>IF(A147=Assumptions!$B$9,Assumptions!$B$69+Assumptions!$B$72,0)+IF(A147=$AE$4,Assumptions!$B$70+Assumptions!$B$71+Assumptions!$B$73,0)</f>
        <v/>
      </c>
      <c r="N147" s="21">
        <f>E147*DevBudget!$B$16</f>
        <v/>
      </c>
      <c r="O147" s="21">
        <f>SUM(F147:N147)</f>
        <v/>
      </c>
      <c r="P147" s="21">
        <f>P146+O147</f>
        <v/>
      </c>
      <c r="Q147" s="21">
        <f>MIN(O147,MAX(0,DevBudget!$B$19-R146))</f>
        <v/>
      </c>
      <c r="R147" s="21">
        <f>R146+Q147</f>
        <v/>
      </c>
      <c r="S147" s="21">
        <f>MIN(MAX(0,O147-Q147),MAX(0,Assumptions!$B$24-T147-U147))</f>
        <v/>
      </c>
      <c r="T147" s="21">
        <f>W146</f>
        <v/>
      </c>
      <c r="U147" s="21">
        <f>T147*Assumptions!$B$25/12</f>
        <v/>
      </c>
      <c r="V147" s="21">
        <f>MIN(T147+U147+S147,MAX(0,Z147+AA147))</f>
        <v/>
      </c>
      <c r="W147" s="21">
        <f>T147+S147+U147-V147</f>
        <v/>
      </c>
      <c r="X147" s="21">
        <f>IF(AND(A147&gt;=$AE$2,A147&lt;=Assumptions!$B$58),(MIN(Program!$D$5,MAX(0,(A147-$AE$2+1)*Assumptions!$B$39))*Assumptions!$B$29*(1+Assumptions!$B$31)*(1-Assumptions!$B$32)+Program!$D$9*Assumptions!$B$43*Assumptions!$B$44/12+Program!$D$5*Assumptions!$B$35*Assumptions!$B$34-Program!$D$5*Assumptions!$B$33/12-Assumptions!$B$36*Assumptions!$B$38/12),0)</f>
        <v/>
      </c>
      <c r="Y147" s="21">
        <f>IF(AND(A147&gt;=$AE$4,A147&lt;=Assumptions!$B$59),(MIN(Program!$C$5,MAX(0,(A147-$AE$4+1)*Assumptions!$B$39))*Assumptions!$B$30*(1+Assumptions!$B$31)*(1-Assumptions!$B$32)+Program!$C$9*Assumptions!$B$43*Assumptions!$B$44/12+Program!$C$5*Assumptions!$B$35*Assumptions!$B$34-Program!$C$5*Assumptions!$B$33/12-Assumptions!$B$37*Assumptions!$B$38/12),0)</f>
        <v/>
      </c>
      <c r="Z147" s="31">
        <f>SUMIF(Sellout!$A$6:$A$35,A147,Sellout!$D$6:$D$35)*(1-Assumptions!$B$49)</f>
        <v/>
      </c>
      <c r="AA147" s="31">
        <f>IF(A147=Assumptions!$B$58,Ops!$B$23,0)+IF(A147=Assumptions!$B$59,Ops!$C$23,0)</f>
        <v/>
      </c>
      <c r="AB147" s="21">
        <f>-O147+X147+Y147+Z147+AA147</f>
        <v/>
      </c>
      <c r="AC147" s="21">
        <f>AB147+S147-V147</f>
        <v/>
      </c>
    </row>
    <row r="148">
      <c r="A148" s="42" t="n">
        <v>143</v>
      </c>
      <c r="B148" s="43">
        <f>EDATE(Assumptions!$B$7,A148-1)</f>
        <v/>
      </c>
      <c r="C148" s="30">
        <f>IF(A148&lt;Assumptions!$B$9,"Pre-dev",IF(A148&lt;$AE$2,"Construction",IF(A148&lt;=Assumptions!$B$59,"Lease-up / exit","Tail")))</f>
        <v/>
      </c>
      <c r="D148" s="42">
        <f>IF(AND(A148&gt;=Assumptions!$B$9,A148&lt;$AE$2),(A148-Assumptions!$B$9+1)*($AE$2-A148),0)</f>
        <v/>
      </c>
      <c r="E148" s="44">
        <f>IFERROR(D148/$AE$6,0)</f>
        <v/>
      </c>
      <c r="F148" s="21">
        <f>IF(A148=1,DevBudget!$B$5,0)</f>
        <v/>
      </c>
      <c r="G148" s="21">
        <f>E148*DevBudget!$B$6</f>
        <v/>
      </c>
      <c r="H148" s="21">
        <f>E148*DevBudget!$B$7</f>
        <v/>
      </c>
      <c r="I148" s="21">
        <f>E148*DevBudget!$B$8</f>
        <v/>
      </c>
      <c r="J148" s="21">
        <f>E148*(DevBudget!$B$9+DevBudget!$B$10)</f>
        <v/>
      </c>
      <c r="K148" s="21">
        <f>E148*DevBudget!$B$12</f>
        <v/>
      </c>
      <c r="L148" s="21">
        <f>E148*DevBudget!$B$13</f>
        <v/>
      </c>
      <c r="M148" s="21">
        <f>IF(A148=Assumptions!$B$9,Assumptions!$B$69+Assumptions!$B$72,0)+IF(A148=$AE$4,Assumptions!$B$70+Assumptions!$B$71+Assumptions!$B$73,0)</f>
        <v/>
      </c>
      <c r="N148" s="21">
        <f>E148*DevBudget!$B$16</f>
        <v/>
      </c>
      <c r="O148" s="21">
        <f>SUM(F148:N148)</f>
        <v/>
      </c>
      <c r="P148" s="21">
        <f>P147+O148</f>
        <v/>
      </c>
      <c r="Q148" s="21">
        <f>MIN(O148,MAX(0,DevBudget!$B$19-R147))</f>
        <v/>
      </c>
      <c r="R148" s="21">
        <f>R147+Q148</f>
        <v/>
      </c>
      <c r="S148" s="21">
        <f>MIN(MAX(0,O148-Q148),MAX(0,Assumptions!$B$24-T148-U148))</f>
        <v/>
      </c>
      <c r="T148" s="21">
        <f>W147</f>
        <v/>
      </c>
      <c r="U148" s="21">
        <f>T148*Assumptions!$B$25/12</f>
        <v/>
      </c>
      <c r="V148" s="21">
        <f>MIN(T148+U148+S148,MAX(0,Z148+AA148))</f>
        <v/>
      </c>
      <c r="W148" s="21">
        <f>T148+S148+U148-V148</f>
        <v/>
      </c>
      <c r="X148" s="21">
        <f>IF(AND(A148&gt;=$AE$2,A148&lt;=Assumptions!$B$58),(MIN(Program!$D$5,MAX(0,(A148-$AE$2+1)*Assumptions!$B$39))*Assumptions!$B$29*(1+Assumptions!$B$31)*(1-Assumptions!$B$32)+Program!$D$9*Assumptions!$B$43*Assumptions!$B$44/12+Program!$D$5*Assumptions!$B$35*Assumptions!$B$34-Program!$D$5*Assumptions!$B$33/12-Assumptions!$B$36*Assumptions!$B$38/12),0)</f>
        <v/>
      </c>
      <c r="Y148" s="21">
        <f>IF(AND(A148&gt;=$AE$4,A148&lt;=Assumptions!$B$59),(MIN(Program!$C$5,MAX(0,(A148-$AE$4+1)*Assumptions!$B$39))*Assumptions!$B$30*(1+Assumptions!$B$31)*(1-Assumptions!$B$32)+Program!$C$9*Assumptions!$B$43*Assumptions!$B$44/12+Program!$C$5*Assumptions!$B$35*Assumptions!$B$34-Program!$C$5*Assumptions!$B$33/12-Assumptions!$B$37*Assumptions!$B$38/12),0)</f>
        <v/>
      </c>
      <c r="Z148" s="31">
        <f>SUMIF(Sellout!$A$6:$A$35,A148,Sellout!$D$6:$D$35)*(1-Assumptions!$B$49)</f>
        <v/>
      </c>
      <c r="AA148" s="31">
        <f>IF(A148=Assumptions!$B$58,Ops!$B$23,0)+IF(A148=Assumptions!$B$59,Ops!$C$23,0)</f>
        <v/>
      </c>
      <c r="AB148" s="21">
        <f>-O148+X148+Y148+Z148+AA148</f>
        <v/>
      </c>
      <c r="AC148" s="21">
        <f>AB148+S148-V148</f>
        <v/>
      </c>
    </row>
    <row r="149">
      <c r="A149" s="42" t="n">
        <v>144</v>
      </c>
      <c r="B149" s="43">
        <f>EDATE(Assumptions!$B$7,A149-1)</f>
        <v/>
      </c>
      <c r="C149" s="30">
        <f>IF(A149&lt;Assumptions!$B$9,"Pre-dev",IF(A149&lt;$AE$2,"Construction",IF(A149&lt;=Assumptions!$B$59,"Lease-up / exit","Tail")))</f>
        <v/>
      </c>
      <c r="D149" s="42">
        <f>IF(AND(A149&gt;=Assumptions!$B$9,A149&lt;$AE$2),(A149-Assumptions!$B$9+1)*($AE$2-A149),0)</f>
        <v/>
      </c>
      <c r="E149" s="44">
        <f>IFERROR(D149/$AE$6,0)</f>
        <v/>
      </c>
      <c r="F149" s="21">
        <f>IF(A149=1,DevBudget!$B$5,0)</f>
        <v/>
      </c>
      <c r="G149" s="21">
        <f>E149*DevBudget!$B$6</f>
        <v/>
      </c>
      <c r="H149" s="21">
        <f>E149*DevBudget!$B$7</f>
        <v/>
      </c>
      <c r="I149" s="21">
        <f>E149*DevBudget!$B$8</f>
        <v/>
      </c>
      <c r="J149" s="21">
        <f>E149*(DevBudget!$B$9+DevBudget!$B$10)</f>
        <v/>
      </c>
      <c r="K149" s="21">
        <f>E149*DevBudget!$B$12</f>
        <v/>
      </c>
      <c r="L149" s="21">
        <f>E149*DevBudget!$B$13</f>
        <v/>
      </c>
      <c r="M149" s="21">
        <f>IF(A149=Assumptions!$B$9,Assumptions!$B$69+Assumptions!$B$72,0)+IF(A149=$AE$4,Assumptions!$B$70+Assumptions!$B$71+Assumptions!$B$73,0)</f>
        <v/>
      </c>
      <c r="N149" s="21">
        <f>E149*DevBudget!$B$16</f>
        <v/>
      </c>
      <c r="O149" s="21">
        <f>SUM(F149:N149)</f>
        <v/>
      </c>
      <c r="P149" s="21">
        <f>P148+O149</f>
        <v/>
      </c>
      <c r="Q149" s="21">
        <f>MIN(O149,MAX(0,DevBudget!$B$19-R148))</f>
        <v/>
      </c>
      <c r="R149" s="21">
        <f>R148+Q149</f>
        <v/>
      </c>
      <c r="S149" s="21">
        <f>MIN(MAX(0,O149-Q149),MAX(0,Assumptions!$B$24-T149-U149))</f>
        <v/>
      </c>
      <c r="T149" s="21">
        <f>W148</f>
        <v/>
      </c>
      <c r="U149" s="21">
        <f>T149*Assumptions!$B$25/12</f>
        <v/>
      </c>
      <c r="V149" s="21">
        <f>MIN(T149+U149+S149,MAX(0,Z149+AA149))</f>
        <v/>
      </c>
      <c r="W149" s="21">
        <f>T149+S149+U149-V149</f>
        <v/>
      </c>
      <c r="X149" s="21">
        <f>IF(AND(A149&gt;=$AE$2,A149&lt;=Assumptions!$B$58),(MIN(Program!$D$5,MAX(0,(A149-$AE$2+1)*Assumptions!$B$39))*Assumptions!$B$29*(1+Assumptions!$B$31)*(1-Assumptions!$B$32)+Program!$D$9*Assumptions!$B$43*Assumptions!$B$44/12+Program!$D$5*Assumptions!$B$35*Assumptions!$B$34-Program!$D$5*Assumptions!$B$33/12-Assumptions!$B$36*Assumptions!$B$38/12),0)</f>
        <v/>
      </c>
      <c r="Y149" s="21">
        <f>IF(AND(A149&gt;=$AE$4,A149&lt;=Assumptions!$B$59),(MIN(Program!$C$5,MAX(0,(A149-$AE$4+1)*Assumptions!$B$39))*Assumptions!$B$30*(1+Assumptions!$B$31)*(1-Assumptions!$B$32)+Program!$C$9*Assumptions!$B$43*Assumptions!$B$44/12+Program!$C$5*Assumptions!$B$35*Assumptions!$B$34-Program!$C$5*Assumptions!$B$33/12-Assumptions!$B$37*Assumptions!$B$38/12),0)</f>
        <v/>
      </c>
      <c r="Z149" s="31">
        <f>SUMIF(Sellout!$A$6:$A$35,A149,Sellout!$D$6:$D$35)*(1-Assumptions!$B$49)</f>
        <v/>
      </c>
      <c r="AA149" s="31">
        <f>IF(A149=Assumptions!$B$58,Ops!$B$23,0)+IF(A149=Assumptions!$B$59,Ops!$C$23,0)</f>
        <v/>
      </c>
      <c r="AB149" s="21">
        <f>-O149+X149+Y149+Z149+AA149</f>
        <v/>
      </c>
      <c r="AC149" s="21">
        <f>AB149+S149-V149</f>
        <v/>
      </c>
    </row>
    <row r="150">
      <c r="A150" s="42" t="n">
        <v>145</v>
      </c>
      <c r="B150" s="43">
        <f>EDATE(Assumptions!$B$7,A150-1)</f>
        <v/>
      </c>
      <c r="C150" s="30">
        <f>IF(A150&lt;Assumptions!$B$9,"Pre-dev",IF(A150&lt;$AE$2,"Construction",IF(A150&lt;=Assumptions!$B$59,"Lease-up / exit","Tail")))</f>
        <v/>
      </c>
      <c r="D150" s="42">
        <f>IF(AND(A150&gt;=Assumptions!$B$9,A150&lt;$AE$2),(A150-Assumptions!$B$9+1)*($AE$2-A150),0)</f>
        <v/>
      </c>
      <c r="E150" s="44">
        <f>IFERROR(D150/$AE$6,0)</f>
        <v/>
      </c>
      <c r="F150" s="21">
        <f>IF(A150=1,DevBudget!$B$5,0)</f>
        <v/>
      </c>
      <c r="G150" s="21">
        <f>E150*DevBudget!$B$6</f>
        <v/>
      </c>
      <c r="H150" s="21">
        <f>E150*DevBudget!$B$7</f>
        <v/>
      </c>
      <c r="I150" s="21">
        <f>E150*DevBudget!$B$8</f>
        <v/>
      </c>
      <c r="J150" s="21">
        <f>E150*(DevBudget!$B$9+DevBudget!$B$10)</f>
        <v/>
      </c>
      <c r="K150" s="21">
        <f>E150*DevBudget!$B$12</f>
        <v/>
      </c>
      <c r="L150" s="21">
        <f>E150*DevBudget!$B$13</f>
        <v/>
      </c>
      <c r="M150" s="21">
        <f>IF(A150=Assumptions!$B$9,Assumptions!$B$69+Assumptions!$B$72,0)+IF(A150=$AE$4,Assumptions!$B$70+Assumptions!$B$71+Assumptions!$B$73,0)</f>
        <v/>
      </c>
      <c r="N150" s="21">
        <f>E150*DevBudget!$B$16</f>
        <v/>
      </c>
      <c r="O150" s="21">
        <f>SUM(F150:N150)</f>
        <v/>
      </c>
      <c r="P150" s="21">
        <f>P149+O150</f>
        <v/>
      </c>
      <c r="Q150" s="21">
        <f>MIN(O150,MAX(0,DevBudget!$B$19-R149))</f>
        <v/>
      </c>
      <c r="R150" s="21">
        <f>R149+Q150</f>
        <v/>
      </c>
      <c r="S150" s="21">
        <f>MIN(MAX(0,O150-Q150),MAX(0,Assumptions!$B$24-T150-U150))</f>
        <v/>
      </c>
      <c r="T150" s="21">
        <f>W149</f>
        <v/>
      </c>
      <c r="U150" s="21">
        <f>T150*Assumptions!$B$25/12</f>
        <v/>
      </c>
      <c r="V150" s="21">
        <f>MIN(T150+U150+S150,MAX(0,Z150+AA150))</f>
        <v/>
      </c>
      <c r="W150" s="21">
        <f>T150+S150+U150-V150</f>
        <v/>
      </c>
      <c r="X150" s="21">
        <f>IF(AND(A150&gt;=$AE$2,A150&lt;=Assumptions!$B$58),(MIN(Program!$D$5,MAX(0,(A150-$AE$2+1)*Assumptions!$B$39))*Assumptions!$B$29*(1+Assumptions!$B$31)*(1-Assumptions!$B$32)+Program!$D$9*Assumptions!$B$43*Assumptions!$B$44/12+Program!$D$5*Assumptions!$B$35*Assumptions!$B$34-Program!$D$5*Assumptions!$B$33/12-Assumptions!$B$36*Assumptions!$B$38/12),0)</f>
        <v/>
      </c>
      <c r="Y150" s="21">
        <f>IF(AND(A150&gt;=$AE$4,A150&lt;=Assumptions!$B$59),(MIN(Program!$C$5,MAX(0,(A150-$AE$4+1)*Assumptions!$B$39))*Assumptions!$B$30*(1+Assumptions!$B$31)*(1-Assumptions!$B$32)+Program!$C$9*Assumptions!$B$43*Assumptions!$B$44/12+Program!$C$5*Assumptions!$B$35*Assumptions!$B$34-Program!$C$5*Assumptions!$B$33/12-Assumptions!$B$37*Assumptions!$B$38/12),0)</f>
        <v/>
      </c>
      <c r="Z150" s="31">
        <f>SUMIF(Sellout!$A$6:$A$35,A150,Sellout!$D$6:$D$35)*(1-Assumptions!$B$49)</f>
        <v/>
      </c>
      <c r="AA150" s="31">
        <f>IF(A150=Assumptions!$B$58,Ops!$B$23,0)+IF(A150=Assumptions!$B$59,Ops!$C$23,0)</f>
        <v/>
      </c>
      <c r="AB150" s="21">
        <f>-O150+X150+Y150+Z150+AA150</f>
        <v/>
      </c>
      <c r="AC150" s="21">
        <f>AB150+S150-V150</f>
        <v/>
      </c>
    </row>
    <row r="151">
      <c r="A151" s="42" t="n">
        <v>146</v>
      </c>
      <c r="B151" s="43">
        <f>EDATE(Assumptions!$B$7,A151-1)</f>
        <v/>
      </c>
      <c r="C151" s="30">
        <f>IF(A151&lt;Assumptions!$B$9,"Pre-dev",IF(A151&lt;$AE$2,"Construction",IF(A151&lt;=Assumptions!$B$59,"Lease-up / exit","Tail")))</f>
        <v/>
      </c>
      <c r="D151" s="42">
        <f>IF(AND(A151&gt;=Assumptions!$B$9,A151&lt;$AE$2),(A151-Assumptions!$B$9+1)*($AE$2-A151),0)</f>
        <v/>
      </c>
      <c r="E151" s="44">
        <f>IFERROR(D151/$AE$6,0)</f>
        <v/>
      </c>
      <c r="F151" s="21">
        <f>IF(A151=1,DevBudget!$B$5,0)</f>
        <v/>
      </c>
      <c r="G151" s="21">
        <f>E151*DevBudget!$B$6</f>
        <v/>
      </c>
      <c r="H151" s="21">
        <f>E151*DevBudget!$B$7</f>
        <v/>
      </c>
      <c r="I151" s="21">
        <f>E151*DevBudget!$B$8</f>
        <v/>
      </c>
      <c r="J151" s="21">
        <f>E151*(DevBudget!$B$9+DevBudget!$B$10)</f>
        <v/>
      </c>
      <c r="K151" s="21">
        <f>E151*DevBudget!$B$12</f>
        <v/>
      </c>
      <c r="L151" s="21">
        <f>E151*DevBudget!$B$13</f>
        <v/>
      </c>
      <c r="M151" s="21">
        <f>IF(A151=Assumptions!$B$9,Assumptions!$B$69+Assumptions!$B$72,0)+IF(A151=$AE$4,Assumptions!$B$70+Assumptions!$B$71+Assumptions!$B$73,0)</f>
        <v/>
      </c>
      <c r="N151" s="21">
        <f>E151*DevBudget!$B$16</f>
        <v/>
      </c>
      <c r="O151" s="21">
        <f>SUM(F151:N151)</f>
        <v/>
      </c>
      <c r="P151" s="21">
        <f>P150+O151</f>
        <v/>
      </c>
      <c r="Q151" s="21">
        <f>MIN(O151,MAX(0,DevBudget!$B$19-R150))</f>
        <v/>
      </c>
      <c r="R151" s="21">
        <f>R150+Q151</f>
        <v/>
      </c>
      <c r="S151" s="21">
        <f>MIN(MAX(0,O151-Q151),MAX(0,Assumptions!$B$24-T151-U151))</f>
        <v/>
      </c>
      <c r="T151" s="21">
        <f>W150</f>
        <v/>
      </c>
      <c r="U151" s="21">
        <f>T151*Assumptions!$B$25/12</f>
        <v/>
      </c>
      <c r="V151" s="21">
        <f>MIN(T151+U151+S151,MAX(0,Z151+AA151))</f>
        <v/>
      </c>
      <c r="W151" s="21">
        <f>T151+S151+U151-V151</f>
        <v/>
      </c>
      <c r="X151" s="21">
        <f>IF(AND(A151&gt;=$AE$2,A151&lt;=Assumptions!$B$58),(MIN(Program!$D$5,MAX(0,(A151-$AE$2+1)*Assumptions!$B$39))*Assumptions!$B$29*(1+Assumptions!$B$31)*(1-Assumptions!$B$32)+Program!$D$9*Assumptions!$B$43*Assumptions!$B$44/12+Program!$D$5*Assumptions!$B$35*Assumptions!$B$34-Program!$D$5*Assumptions!$B$33/12-Assumptions!$B$36*Assumptions!$B$38/12),0)</f>
        <v/>
      </c>
      <c r="Y151" s="21">
        <f>IF(AND(A151&gt;=$AE$4,A151&lt;=Assumptions!$B$59),(MIN(Program!$C$5,MAX(0,(A151-$AE$4+1)*Assumptions!$B$39))*Assumptions!$B$30*(1+Assumptions!$B$31)*(1-Assumptions!$B$32)+Program!$C$9*Assumptions!$B$43*Assumptions!$B$44/12+Program!$C$5*Assumptions!$B$35*Assumptions!$B$34-Program!$C$5*Assumptions!$B$33/12-Assumptions!$B$37*Assumptions!$B$38/12),0)</f>
        <v/>
      </c>
      <c r="Z151" s="31">
        <f>SUMIF(Sellout!$A$6:$A$35,A151,Sellout!$D$6:$D$35)*(1-Assumptions!$B$49)</f>
        <v/>
      </c>
      <c r="AA151" s="31">
        <f>IF(A151=Assumptions!$B$58,Ops!$B$23,0)+IF(A151=Assumptions!$B$59,Ops!$C$23,0)</f>
        <v/>
      </c>
      <c r="AB151" s="21">
        <f>-O151+X151+Y151+Z151+AA151</f>
        <v/>
      </c>
      <c r="AC151" s="21">
        <f>AB151+S151-V151</f>
        <v/>
      </c>
    </row>
    <row r="152">
      <c r="A152" s="42" t="n">
        <v>147</v>
      </c>
      <c r="B152" s="43">
        <f>EDATE(Assumptions!$B$7,A152-1)</f>
        <v/>
      </c>
      <c r="C152" s="30">
        <f>IF(A152&lt;Assumptions!$B$9,"Pre-dev",IF(A152&lt;$AE$2,"Construction",IF(A152&lt;=Assumptions!$B$59,"Lease-up / exit","Tail")))</f>
        <v/>
      </c>
      <c r="D152" s="42">
        <f>IF(AND(A152&gt;=Assumptions!$B$9,A152&lt;$AE$2),(A152-Assumptions!$B$9+1)*($AE$2-A152),0)</f>
        <v/>
      </c>
      <c r="E152" s="44">
        <f>IFERROR(D152/$AE$6,0)</f>
        <v/>
      </c>
      <c r="F152" s="21">
        <f>IF(A152=1,DevBudget!$B$5,0)</f>
        <v/>
      </c>
      <c r="G152" s="21">
        <f>E152*DevBudget!$B$6</f>
        <v/>
      </c>
      <c r="H152" s="21">
        <f>E152*DevBudget!$B$7</f>
        <v/>
      </c>
      <c r="I152" s="21">
        <f>E152*DevBudget!$B$8</f>
        <v/>
      </c>
      <c r="J152" s="21">
        <f>E152*(DevBudget!$B$9+DevBudget!$B$10)</f>
        <v/>
      </c>
      <c r="K152" s="21">
        <f>E152*DevBudget!$B$12</f>
        <v/>
      </c>
      <c r="L152" s="21">
        <f>E152*DevBudget!$B$13</f>
        <v/>
      </c>
      <c r="M152" s="21">
        <f>IF(A152=Assumptions!$B$9,Assumptions!$B$69+Assumptions!$B$72,0)+IF(A152=$AE$4,Assumptions!$B$70+Assumptions!$B$71+Assumptions!$B$73,0)</f>
        <v/>
      </c>
      <c r="N152" s="21">
        <f>E152*DevBudget!$B$16</f>
        <v/>
      </c>
      <c r="O152" s="21">
        <f>SUM(F152:N152)</f>
        <v/>
      </c>
      <c r="P152" s="21">
        <f>P151+O152</f>
        <v/>
      </c>
      <c r="Q152" s="21">
        <f>MIN(O152,MAX(0,DevBudget!$B$19-R151))</f>
        <v/>
      </c>
      <c r="R152" s="21">
        <f>R151+Q152</f>
        <v/>
      </c>
      <c r="S152" s="21">
        <f>MIN(MAX(0,O152-Q152),MAX(0,Assumptions!$B$24-T152-U152))</f>
        <v/>
      </c>
      <c r="T152" s="21">
        <f>W151</f>
        <v/>
      </c>
      <c r="U152" s="21">
        <f>T152*Assumptions!$B$25/12</f>
        <v/>
      </c>
      <c r="V152" s="21">
        <f>MIN(T152+U152+S152,MAX(0,Z152+AA152))</f>
        <v/>
      </c>
      <c r="W152" s="21">
        <f>T152+S152+U152-V152</f>
        <v/>
      </c>
      <c r="X152" s="21">
        <f>IF(AND(A152&gt;=$AE$2,A152&lt;=Assumptions!$B$58),(MIN(Program!$D$5,MAX(0,(A152-$AE$2+1)*Assumptions!$B$39))*Assumptions!$B$29*(1+Assumptions!$B$31)*(1-Assumptions!$B$32)+Program!$D$9*Assumptions!$B$43*Assumptions!$B$44/12+Program!$D$5*Assumptions!$B$35*Assumptions!$B$34-Program!$D$5*Assumptions!$B$33/12-Assumptions!$B$36*Assumptions!$B$38/12),0)</f>
        <v/>
      </c>
      <c r="Y152" s="21">
        <f>IF(AND(A152&gt;=$AE$4,A152&lt;=Assumptions!$B$59),(MIN(Program!$C$5,MAX(0,(A152-$AE$4+1)*Assumptions!$B$39))*Assumptions!$B$30*(1+Assumptions!$B$31)*(1-Assumptions!$B$32)+Program!$C$9*Assumptions!$B$43*Assumptions!$B$44/12+Program!$C$5*Assumptions!$B$35*Assumptions!$B$34-Program!$C$5*Assumptions!$B$33/12-Assumptions!$B$37*Assumptions!$B$38/12),0)</f>
        <v/>
      </c>
      <c r="Z152" s="31">
        <f>SUMIF(Sellout!$A$6:$A$35,A152,Sellout!$D$6:$D$35)*(1-Assumptions!$B$49)</f>
        <v/>
      </c>
      <c r="AA152" s="31">
        <f>IF(A152=Assumptions!$B$58,Ops!$B$23,0)+IF(A152=Assumptions!$B$59,Ops!$C$23,0)</f>
        <v/>
      </c>
      <c r="AB152" s="21">
        <f>-O152+X152+Y152+Z152+AA152</f>
        <v/>
      </c>
      <c r="AC152" s="21">
        <f>AB152+S152-V152</f>
        <v/>
      </c>
    </row>
    <row r="153">
      <c r="A153" s="42" t="n">
        <v>148</v>
      </c>
      <c r="B153" s="43">
        <f>EDATE(Assumptions!$B$7,A153-1)</f>
        <v/>
      </c>
      <c r="C153" s="30">
        <f>IF(A153&lt;Assumptions!$B$9,"Pre-dev",IF(A153&lt;$AE$2,"Construction",IF(A153&lt;=Assumptions!$B$59,"Lease-up / exit","Tail")))</f>
        <v/>
      </c>
      <c r="D153" s="42">
        <f>IF(AND(A153&gt;=Assumptions!$B$9,A153&lt;$AE$2),(A153-Assumptions!$B$9+1)*($AE$2-A153),0)</f>
        <v/>
      </c>
      <c r="E153" s="44">
        <f>IFERROR(D153/$AE$6,0)</f>
        <v/>
      </c>
      <c r="F153" s="21">
        <f>IF(A153=1,DevBudget!$B$5,0)</f>
        <v/>
      </c>
      <c r="G153" s="21">
        <f>E153*DevBudget!$B$6</f>
        <v/>
      </c>
      <c r="H153" s="21">
        <f>E153*DevBudget!$B$7</f>
        <v/>
      </c>
      <c r="I153" s="21">
        <f>E153*DevBudget!$B$8</f>
        <v/>
      </c>
      <c r="J153" s="21">
        <f>E153*(DevBudget!$B$9+DevBudget!$B$10)</f>
        <v/>
      </c>
      <c r="K153" s="21">
        <f>E153*DevBudget!$B$12</f>
        <v/>
      </c>
      <c r="L153" s="21">
        <f>E153*DevBudget!$B$13</f>
        <v/>
      </c>
      <c r="M153" s="21">
        <f>IF(A153=Assumptions!$B$9,Assumptions!$B$69+Assumptions!$B$72,0)+IF(A153=$AE$4,Assumptions!$B$70+Assumptions!$B$71+Assumptions!$B$73,0)</f>
        <v/>
      </c>
      <c r="N153" s="21">
        <f>E153*DevBudget!$B$16</f>
        <v/>
      </c>
      <c r="O153" s="21">
        <f>SUM(F153:N153)</f>
        <v/>
      </c>
      <c r="P153" s="21">
        <f>P152+O153</f>
        <v/>
      </c>
      <c r="Q153" s="21">
        <f>MIN(O153,MAX(0,DevBudget!$B$19-R152))</f>
        <v/>
      </c>
      <c r="R153" s="21">
        <f>R152+Q153</f>
        <v/>
      </c>
      <c r="S153" s="21">
        <f>MIN(MAX(0,O153-Q153),MAX(0,Assumptions!$B$24-T153-U153))</f>
        <v/>
      </c>
      <c r="T153" s="21">
        <f>W152</f>
        <v/>
      </c>
      <c r="U153" s="21">
        <f>T153*Assumptions!$B$25/12</f>
        <v/>
      </c>
      <c r="V153" s="21">
        <f>MIN(T153+U153+S153,MAX(0,Z153+AA153))</f>
        <v/>
      </c>
      <c r="W153" s="21">
        <f>T153+S153+U153-V153</f>
        <v/>
      </c>
      <c r="X153" s="21">
        <f>IF(AND(A153&gt;=$AE$2,A153&lt;=Assumptions!$B$58),(MIN(Program!$D$5,MAX(0,(A153-$AE$2+1)*Assumptions!$B$39))*Assumptions!$B$29*(1+Assumptions!$B$31)*(1-Assumptions!$B$32)+Program!$D$9*Assumptions!$B$43*Assumptions!$B$44/12+Program!$D$5*Assumptions!$B$35*Assumptions!$B$34-Program!$D$5*Assumptions!$B$33/12-Assumptions!$B$36*Assumptions!$B$38/12),0)</f>
        <v/>
      </c>
      <c r="Y153" s="21">
        <f>IF(AND(A153&gt;=$AE$4,A153&lt;=Assumptions!$B$59),(MIN(Program!$C$5,MAX(0,(A153-$AE$4+1)*Assumptions!$B$39))*Assumptions!$B$30*(1+Assumptions!$B$31)*(1-Assumptions!$B$32)+Program!$C$9*Assumptions!$B$43*Assumptions!$B$44/12+Program!$C$5*Assumptions!$B$35*Assumptions!$B$34-Program!$C$5*Assumptions!$B$33/12-Assumptions!$B$37*Assumptions!$B$38/12),0)</f>
        <v/>
      </c>
      <c r="Z153" s="31">
        <f>SUMIF(Sellout!$A$6:$A$35,A153,Sellout!$D$6:$D$35)*(1-Assumptions!$B$49)</f>
        <v/>
      </c>
      <c r="AA153" s="31">
        <f>IF(A153=Assumptions!$B$58,Ops!$B$23,0)+IF(A153=Assumptions!$B$59,Ops!$C$23,0)</f>
        <v/>
      </c>
      <c r="AB153" s="21">
        <f>-O153+X153+Y153+Z153+AA153</f>
        <v/>
      </c>
      <c r="AC153" s="21">
        <f>AB153+S153-V153</f>
        <v/>
      </c>
    </row>
    <row r="154">
      <c r="A154" s="42" t="n">
        <v>149</v>
      </c>
      <c r="B154" s="43">
        <f>EDATE(Assumptions!$B$7,A154-1)</f>
        <v/>
      </c>
      <c r="C154" s="30">
        <f>IF(A154&lt;Assumptions!$B$9,"Pre-dev",IF(A154&lt;$AE$2,"Construction",IF(A154&lt;=Assumptions!$B$59,"Lease-up / exit","Tail")))</f>
        <v/>
      </c>
      <c r="D154" s="42">
        <f>IF(AND(A154&gt;=Assumptions!$B$9,A154&lt;$AE$2),(A154-Assumptions!$B$9+1)*($AE$2-A154),0)</f>
        <v/>
      </c>
      <c r="E154" s="44">
        <f>IFERROR(D154/$AE$6,0)</f>
        <v/>
      </c>
      <c r="F154" s="21">
        <f>IF(A154=1,DevBudget!$B$5,0)</f>
        <v/>
      </c>
      <c r="G154" s="21">
        <f>E154*DevBudget!$B$6</f>
        <v/>
      </c>
      <c r="H154" s="21">
        <f>E154*DevBudget!$B$7</f>
        <v/>
      </c>
      <c r="I154" s="21">
        <f>E154*DevBudget!$B$8</f>
        <v/>
      </c>
      <c r="J154" s="21">
        <f>E154*(DevBudget!$B$9+DevBudget!$B$10)</f>
        <v/>
      </c>
      <c r="K154" s="21">
        <f>E154*DevBudget!$B$12</f>
        <v/>
      </c>
      <c r="L154" s="21">
        <f>E154*DevBudget!$B$13</f>
        <v/>
      </c>
      <c r="M154" s="21">
        <f>IF(A154=Assumptions!$B$9,Assumptions!$B$69+Assumptions!$B$72,0)+IF(A154=$AE$4,Assumptions!$B$70+Assumptions!$B$71+Assumptions!$B$73,0)</f>
        <v/>
      </c>
      <c r="N154" s="21">
        <f>E154*DevBudget!$B$16</f>
        <v/>
      </c>
      <c r="O154" s="21">
        <f>SUM(F154:N154)</f>
        <v/>
      </c>
      <c r="P154" s="21">
        <f>P153+O154</f>
        <v/>
      </c>
      <c r="Q154" s="21">
        <f>MIN(O154,MAX(0,DevBudget!$B$19-R153))</f>
        <v/>
      </c>
      <c r="R154" s="21">
        <f>R153+Q154</f>
        <v/>
      </c>
      <c r="S154" s="21">
        <f>MIN(MAX(0,O154-Q154),MAX(0,Assumptions!$B$24-T154-U154))</f>
        <v/>
      </c>
      <c r="T154" s="21">
        <f>W153</f>
        <v/>
      </c>
      <c r="U154" s="21">
        <f>T154*Assumptions!$B$25/12</f>
        <v/>
      </c>
      <c r="V154" s="21">
        <f>MIN(T154+U154+S154,MAX(0,Z154+AA154))</f>
        <v/>
      </c>
      <c r="W154" s="21">
        <f>T154+S154+U154-V154</f>
        <v/>
      </c>
      <c r="X154" s="21">
        <f>IF(AND(A154&gt;=$AE$2,A154&lt;=Assumptions!$B$58),(MIN(Program!$D$5,MAX(0,(A154-$AE$2+1)*Assumptions!$B$39))*Assumptions!$B$29*(1+Assumptions!$B$31)*(1-Assumptions!$B$32)+Program!$D$9*Assumptions!$B$43*Assumptions!$B$44/12+Program!$D$5*Assumptions!$B$35*Assumptions!$B$34-Program!$D$5*Assumptions!$B$33/12-Assumptions!$B$36*Assumptions!$B$38/12),0)</f>
        <v/>
      </c>
      <c r="Y154" s="21">
        <f>IF(AND(A154&gt;=$AE$4,A154&lt;=Assumptions!$B$59),(MIN(Program!$C$5,MAX(0,(A154-$AE$4+1)*Assumptions!$B$39))*Assumptions!$B$30*(1+Assumptions!$B$31)*(1-Assumptions!$B$32)+Program!$C$9*Assumptions!$B$43*Assumptions!$B$44/12+Program!$C$5*Assumptions!$B$35*Assumptions!$B$34-Program!$C$5*Assumptions!$B$33/12-Assumptions!$B$37*Assumptions!$B$38/12),0)</f>
        <v/>
      </c>
      <c r="Z154" s="31">
        <f>SUMIF(Sellout!$A$6:$A$35,A154,Sellout!$D$6:$D$35)*(1-Assumptions!$B$49)</f>
        <v/>
      </c>
      <c r="AA154" s="31">
        <f>IF(A154=Assumptions!$B$58,Ops!$B$23,0)+IF(A154=Assumptions!$B$59,Ops!$C$23,0)</f>
        <v/>
      </c>
      <c r="AB154" s="21">
        <f>-O154+X154+Y154+Z154+AA154</f>
        <v/>
      </c>
      <c r="AC154" s="21">
        <f>AB154+S154-V154</f>
        <v/>
      </c>
    </row>
    <row r="155">
      <c r="A155" s="42" t="n">
        <v>150</v>
      </c>
      <c r="B155" s="43">
        <f>EDATE(Assumptions!$B$7,A155-1)</f>
        <v/>
      </c>
      <c r="C155" s="30">
        <f>IF(A155&lt;Assumptions!$B$9,"Pre-dev",IF(A155&lt;$AE$2,"Construction",IF(A155&lt;=Assumptions!$B$59,"Lease-up / exit","Tail")))</f>
        <v/>
      </c>
      <c r="D155" s="42">
        <f>IF(AND(A155&gt;=Assumptions!$B$9,A155&lt;$AE$2),(A155-Assumptions!$B$9+1)*($AE$2-A155),0)</f>
        <v/>
      </c>
      <c r="E155" s="44">
        <f>IFERROR(D155/$AE$6,0)</f>
        <v/>
      </c>
      <c r="F155" s="21">
        <f>IF(A155=1,DevBudget!$B$5,0)</f>
        <v/>
      </c>
      <c r="G155" s="21">
        <f>E155*DevBudget!$B$6</f>
        <v/>
      </c>
      <c r="H155" s="21">
        <f>E155*DevBudget!$B$7</f>
        <v/>
      </c>
      <c r="I155" s="21">
        <f>E155*DevBudget!$B$8</f>
        <v/>
      </c>
      <c r="J155" s="21">
        <f>E155*(DevBudget!$B$9+DevBudget!$B$10)</f>
        <v/>
      </c>
      <c r="K155" s="21">
        <f>E155*DevBudget!$B$12</f>
        <v/>
      </c>
      <c r="L155" s="21">
        <f>E155*DevBudget!$B$13</f>
        <v/>
      </c>
      <c r="M155" s="21">
        <f>IF(A155=Assumptions!$B$9,Assumptions!$B$69+Assumptions!$B$72,0)+IF(A155=$AE$4,Assumptions!$B$70+Assumptions!$B$71+Assumptions!$B$73,0)</f>
        <v/>
      </c>
      <c r="N155" s="21">
        <f>E155*DevBudget!$B$16</f>
        <v/>
      </c>
      <c r="O155" s="21">
        <f>SUM(F155:N155)</f>
        <v/>
      </c>
      <c r="P155" s="21">
        <f>P154+O155</f>
        <v/>
      </c>
      <c r="Q155" s="21">
        <f>MIN(O155,MAX(0,DevBudget!$B$19-R154))</f>
        <v/>
      </c>
      <c r="R155" s="21">
        <f>R154+Q155</f>
        <v/>
      </c>
      <c r="S155" s="21">
        <f>MIN(MAX(0,O155-Q155),MAX(0,Assumptions!$B$24-T155-U155))</f>
        <v/>
      </c>
      <c r="T155" s="21">
        <f>W154</f>
        <v/>
      </c>
      <c r="U155" s="21">
        <f>T155*Assumptions!$B$25/12</f>
        <v/>
      </c>
      <c r="V155" s="21">
        <f>MIN(T155+U155+S155,MAX(0,Z155+AA155))</f>
        <v/>
      </c>
      <c r="W155" s="21">
        <f>T155+S155+U155-V155</f>
        <v/>
      </c>
      <c r="X155" s="21">
        <f>IF(AND(A155&gt;=$AE$2,A155&lt;=Assumptions!$B$58),(MIN(Program!$D$5,MAX(0,(A155-$AE$2+1)*Assumptions!$B$39))*Assumptions!$B$29*(1+Assumptions!$B$31)*(1-Assumptions!$B$32)+Program!$D$9*Assumptions!$B$43*Assumptions!$B$44/12+Program!$D$5*Assumptions!$B$35*Assumptions!$B$34-Program!$D$5*Assumptions!$B$33/12-Assumptions!$B$36*Assumptions!$B$38/12),0)</f>
        <v/>
      </c>
      <c r="Y155" s="21">
        <f>IF(AND(A155&gt;=$AE$4,A155&lt;=Assumptions!$B$59),(MIN(Program!$C$5,MAX(0,(A155-$AE$4+1)*Assumptions!$B$39))*Assumptions!$B$30*(1+Assumptions!$B$31)*(1-Assumptions!$B$32)+Program!$C$9*Assumptions!$B$43*Assumptions!$B$44/12+Program!$C$5*Assumptions!$B$35*Assumptions!$B$34-Program!$C$5*Assumptions!$B$33/12-Assumptions!$B$37*Assumptions!$B$38/12),0)</f>
        <v/>
      </c>
      <c r="Z155" s="31">
        <f>SUMIF(Sellout!$A$6:$A$35,A155,Sellout!$D$6:$D$35)*(1-Assumptions!$B$49)</f>
        <v/>
      </c>
      <c r="AA155" s="31">
        <f>IF(A155=Assumptions!$B$58,Ops!$B$23,0)+IF(A155=Assumptions!$B$59,Ops!$C$23,0)</f>
        <v/>
      </c>
      <c r="AB155" s="21">
        <f>-O155+X155+Y155+Z155+AA155</f>
        <v/>
      </c>
      <c r="AC155" s="21">
        <f>AB155+S155-V155</f>
        <v/>
      </c>
    </row>
    <row r="156">
      <c r="A156" s="42" t="n">
        <v>151</v>
      </c>
      <c r="B156" s="43">
        <f>EDATE(Assumptions!$B$7,A156-1)</f>
        <v/>
      </c>
      <c r="C156" s="30">
        <f>IF(A156&lt;Assumptions!$B$9,"Pre-dev",IF(A156&lt;$AE$2,"Construction",IF(A156&lt;=Assumptions!$B$59,"Lease-up / exit","Tail")))</f>
        <v/>
      </c>
      <c r="D156" s="42">
        <f>IF(AND(A156&gt;=Assumptions!$B$9,A156&lt;$AE$2),(A156-Assumptions!$B$9+1)*($AE$2-A156),0)</f>
        <v/>
      </c>
      <c r="E156" s="44">
        <f>IFERROR(D156/$AE$6,0)</f>
        <v/>
      </c>
      <c r="F156" s="21">
        <f>IF(A156=1,DevBudget!$B$5,0)</f>
        <v/>
      </c>
      <c r="G156" s="21">
        <f>E156*DevBudget!$B$6</f>
        <v/>
      </c>
      <c r="H156" s="21">
        <f>E156*DevBudget!$B$7</f>
        <v/>
      </c>
      <c r="I156" s="21">
        <f>E156*DevBudget!$B$8</f>
        <v/>
      </c>
      <c r="J156" s="21">
        <f>E156*(DevBudget!$B$9+DevBudget!$B$10)</f>
        <v/>
      </c>
      <c r="K156" s="21">
        <f>E156*DevBudget!$B$12</f>
        <v/>
      </c>
      <c r="L156" s="21">
        <f>E156*DevBudget!$B$13</f>
        <v/>
      </c>
      <c r="M156" s="21">
        <f>IF(A156=Assumptions!$B$9,Assumptions!$B$69+Assumptions!$B$72,0)+IF(A156=$AE$4,Assumptions!$B$70+Assumptions!$B$71+Assumptions!$B$73,0)</f>
        <v/>
      </c>
      <c r="N156" s="21">
        <f>E156*DevBudget!$B$16</f>
        <v/>
      </c>
      <c r="O156" s="21">
        <f>SUM(F156:N156)</f>
        <v/>
      </c>
      <c r="P156" s="21">
        <f>P155+O156</f>
        <v/>
      </c>
      <c r="Q156" s="21">
        <f>MIN(O156,MAX(0,DevBudget!$B$19-R155))</f>
        <v/>
      </c>
      <c r="R156" s="21">
        <f>R155+Q156</f>
        <v/>
      </c>
      <c r="S156" s="21">
        <f>MIN(MAX(0,O156-Q156),MAX(0,Assumptions!$B$24-T156-U156))</f>
        <v/>
      </c>
      <c r="T156" s="21">
        <f>W155</f>
        <v/>
      </c>
      <c r="U156" s="21">
        <f>T156*Assumptions!$B$25/12</f>
        <v/>
      </c>
      <c r="V156" s="21">
        <f>MIN(T156+U156+S156,MAX(0,Z156+AA156))</f>
        <v/>
      </c>
      <c r="W156" s="21">
        <f>T156+S156+U156-V156</f>
        <v/>
      </c>
      <c r="X156" s="21">
        <f>IF(AND(A156&gt;=$AE$2,A156&lt;=Assumptions!$B$58),(MIN(Program!$D$5,MAX(0,(A156-$AE$2+1)*Assumptions!$B$39))*Assumptions!$B$29*(1+Assumptions!$B$31)*(1-Assumptions!$B$32)+Program!$D$9*Assumptions!$B$43*Assumptions!$B$44/12+Program!$D$5*Assumptions!$B$35*Assumptions!$B$34-Program!$D$5*Assumptions!$B$33/12-Assumptions!$B$36*Assumptions!$B$38/12),0)</f>
        <v/>
      </c>
      <c r="Y156" s="21">
        <f>IF(AND(A156&gt;=$AE$4,A156&lt;=Assumptions!$B$59),(MIN(Program!$C$5,MAX(0,(A156-$AE$4+1)*Assumptions!$B$39))*Assumptions!$B$30*(1+Assumptions!$B$31)*(1-Assumptions!$B$32)+Program!$C$9*Assumptions!$B$43*Assumptions!$B$44/12+Program!$C$5*Assumptions!$B$35*Assumptions!$B$34-Program!$C$5*Assumptions!$B$33/12-Assumptions!$B$37*Assumptions!$B$38/12),0)</f>
        <v/>
      </c>
      <c r="Z156" s="31">
        <f>SUMIF(Sellout!$A$6:$A$35,A156,Sellout!$D$6:$D$35)*(1-Assumptions!$B$49)</f>
        <v/>
      </c>
      <c r="AA156" s="31">
        <f>IF(A156=Assumptions!$B$58,Ops!$B$23,0)+IF(A156=Assumptions!$B$59,Ops!$C$23,0)</f>
        <v/>
      </c>
      <c r="AB156" s="21">
        <f>-O156+X156+Y156+Z156+AA156</f>
        <v/>
      </c>
      <c r="AC156" s="21">
        <f>AB156+S156-V156</f>
        <v/>
      </c>
    </row>
    <row r="157">
      <c r="A157" s="42" t="n">
        <v>152</v>
      </c>
      <c r="B157" s="43">
        <f>EDATE(Assumptions!$B$7,A157-1)</f>
        <v/>
      </c>
      <c r="C157" s="30">
        <f>IF(A157&lt;Assumptions!$B$9,"Pre-dev",IF(A157&lt;$AE$2,"Construction",IF(A157&lt;=Assumptions!$B$59,"Lease-up / exit","Tail")))</f>
        <v/>
      </c>
      <c r="D157" s="42">
        <f>IF(AND(A157&gt;=Assumptions!$B$9,A157&lt;$AE$2),(A157-Assumptions!$B$9+1)*($AE$2-A157),0)</f>
        <v/>
      </c>
      <c r="E157" s="44">
        <f>IFERROR(D157/$AE$6,0)</f>
        <v/>
      </c>
      <c r="F157" s="21">
        <f>IF(A157=1,DevBudget!$B$5,0)</f>
        <v/>
      </c>
      <c r="G157" s="21">
        <f>E157*DevBudget!$B$6</f>
        <v/>
      </c>
      <c r="H157" s="21">
        <f>E157*DevBudget!$B$7</f>
        <v/>
      </c>
      <c r="I157" s="21">
        <f>E157*DevBudget!$B$8</f>
        <v/>
      </c>
      <c r="J157" s="21">
        <f>E157*(DevBudget!$B$9+DevBudget!$B$10)</f>
        <v/>
      </c>
      <c r="K157" s="21">
        <f>E157*DevBudget!$B$12</f>
        <v/>
      </c>
      <c r="L157" s="21">
        <f>E157*DevBudget!$B$13</f>
        <v/>
      </c>
      <c r="M157" s="21">
        <f>IF(A157=Assumptions!$B$9,Assumptions!$B$69+Assumptions!$B$72,0)+IF(A157=$AE$4,Assumptions!$B$70+Assumptions!$B$71+Assumptions!$B$73,0)</f>
        <v/>
      </c>
      <c r="N157" s="21">
        <f>E157*DevBudget!$B$16</f>
        <v/>
      </c>
      <c r="O157" s="21">
        <f>SUM(F157:N157)</f>
        <v/>
      </c>
      <c r="P157" s="21">
        <f>P156+O157</f>
        <v/>
      </c>
      <c r="Q157" s="21">
        <f>MIN(O157,MAX(0,DevBudget!$B$19-R156))</f>
        <v/>
      </c>
      <c r="R157" s="21">
        <f>R156+Q157</f>
        <v/>
      </c>
      <c r="S157" s="21">
        <f>MIN(MAX(0,O157-Q157),MAX(0,Assumptions!$B$24-T157-U157))</f>
        <v/>
      </c>
      <c r="T157" s="21">
        <f>W156</f>
        <v/>
      </c>
      <c r="U157" s="21">
        <f>T157*Assumptions!$B$25/12</f>
        <v/>
      </c>
      <c r="V157" s="21">
        <f>MIN(T157+U157+S157,MAX(0,Z157+AA157))</f>
        <v/>
      </c>
      <c r="W157" s="21">
        <f>T157+S157+U157-V157</f>
        <v/>
      </c>
      <c r="X157" s="21">
        <f>IF(AND(A157&gt;=$AE$2,A157&lt;=Assumptions!$B$58),(MIN(Program!$D$5,MAX(0,(A157-$AE$2+1)*Assumptions!$B$39))*Assumptions!$B$29*(1+Assumptions!$B$31)*(1-Assumptions!$B$32)+Program!$D$9*Assumptions!$B$43*Assumptions!$B$44/12+Program!$D$5*Assumptions!$B$35*Assumptions!$B$34-Program!$D$5*Assumptions!$B$33/12-Assumptions!$B$36*Assumptions!$B$38/12),0)</f>
        <v/>
      </c>
      <c r="Y157" s="21">
        <f>IF(AND(A157&gt;=$AE$4,A157&lt;=Assumptions!$B$59),(MIN(Program!$C$5,MAX(0,(A157-$AE$4+1)*Assumptions!$B$39))*Assumptions!$B$30*(1+Assumptions!$B$31)*(1-Assumptions!$B$32)+Program!$C$9*Assumptions!$B$43*Assumptions!$B$44/12+Program!$C$5*Assumptions!$B$35*Assumptions!$B$34-Program!$C$5*Assumptions!$B$33/12-Assumptions!$B$37*Assumptions!$B$38/12),0)</f>
        <v/>
      </c>
      <c r="Z157" s="31">
        <f>SUMIF(Sellout!$A$6:$A$35,A157,Sellout!$D$6:$D$35)*(1-Assumptions!$B$49)</f>
        <v/>
      </c>
      <c r="AA157" s="31">
        <f>IF(A157=Assumptions!$B$58,Ops!$B$23,0)+IF(A157=Assumptions!$B$59,Ops!$C$23,0)</f>
        <v/>
      </c>
      <c r="AB157" s="21">
        <f>-O157+X157+Y157+Z157+AA157</f>
        <v/>
      </c>
      <c r="AC157" s="21">
        <f>AB157+S157-V157</f>
        <v/>
      </c>
    </row>
    <row r="158">
      <c r="A158" s="42" t="n">
        <v>153</v>
      </c>
      <c r="B158" s="43">
        <f>EDATE(Assumptions!$B$7,A158-1)</f>
        <v/>
      </c>
      <c r="C158" s="30">
        <f>IF(A158&lt;Assumptions!$B$9,"Pre-dev",IF(A158&lt;$AE$2,"Construction",IF(A158&lt;=Assumptions!$B$59,"Lease-up / exit","Tail")))</f>
        <v/>
      </c>
      <c r="D158" s="42">
        <f>IF(AND(A158&gt;=Assumptions!$B$9,A158&lt;$AE$2),(A158-Assumptions!$B$9+1)*($AE$2-A158),0)</f>
        <v/>
      </c>
      <c r="E158" s="44">
        <f>IFERROR(D158/$AE$6,0)</f>
        <v/>
      </c>
      <c r="F158" s="21">
        <f>IF(A158=1,DevBudget!$B$5,0)</f>
        <v/>
      </c>
      <c r="G158" s="21">
        <f>E158*DevBudget!$B$6</f>
        <v/>
      </c>
      <c r="H158" s="21">
        <f>E158*DevBudget!$B$7</f>
        <v/>
      </c>
      <c r="I158" s="21">
        <f>E158*DevBudget!$B$8</f>
        <v/>
      </c>
      <c r="J158" s="21">
        <f>E158*(DevBudget!$B$9+DevBudget!$B$10)</f>
        <v/>
      </c>
      <c r="K158" s="21">
        <f>E158*DevBudget!$B$12</f>
        <v/>
      </c>
      <c r="L158" s="21">
        <f>E158*DevBudget!$B$13</f>
        <v/>
      </c>
      <c r="M158" s="21">
        <f>IF(A158=Assumptions!$B$9,Assumptions!$B$69+Assumptions!$B$72,0)+IF(A158=$AE$4,Assumptions!$B$70+Assumptions!$B$71+Assumptions!$B$73,0)</f>
        <v/>
      </c>
      <c r="N158" s="21">
        <f>E158*DevBudget!$B$16</f>
        <v/>
      </c>
      <c r="O158" s="21">
        <f>SUM(F158:N158)</f>
        <v/>
      </c>
      <c r="P158" s="21">
        <f>P157+O158</f>
        <v/>
      </c>
      <c r="Q158" s="21">
        <f>MIN(O158,MAX(0,DevBudget!$B$19-R157))</f>
        <v/>
      </c>
      <c r="R158" s="21">
        <f>R157+Q158</f>
        <v/>
      </c>
      <c r="S158" s="21">
        <f>MIN(MAX(0,O158-Q158),MAX(0,Assumptions!$B$24-T158-U158))</f>
        <v/>
      </c>
      <c r="T158" s="21">
        <f>W157</f>
        <v/>
      </c>
      <c r="U158" s="21">
        <f>T158*Assumptions!$B$25/12</f>
        <v/>
      </c>
      <c r="V158" s="21">
        <f>MIN(T158+U158+S158,MAX(0,Z158+AA158))</f>
        <v/>
      </c>
      <c r="W158" s="21">
        <f>T158+S158+U158-V158</f>
        <v/>
      </c>
      <c r="X158" s="21">
        <f>IF(AND(A158&gt;=$AE$2,A158&lt;=Assumptions!$B$58),(MIN(Program!$D$5,MAX(0,(A158-$AE$2+1)*Assumptions!$B$39))*Assumptions!$B$29*(1+Assumptions!$B$31)*(1-Assumptions!$B$32)+Program!$D$9*Assumptions!$B$43*Assumptions!$B$44/12+Program!$D$5*Assumptions!$B$35*Assumptions!$B$34-Program!$D$5*Assumptions!$B$33/12-Assumptions!$B$36*Assumptions!$B$38/12),0)</f>
        <v/>
      </c>
      <c r="Y158" s="21">
        <f>IF(AND(A158&gt;=$AE$4,A158&lt;=Assumptions!$B$59),(MIN(Program!$C$5,MAX(0,(A158-$AE$4+1)*Assumptions!$B$39))*Assumptions!$B$30*(1+Assumptions!$B$31)*(1-Assumptions!$B$32)+Program!$C$9*Assumptions!$B$43*Assumptions!$B$44/12+Program!$C$5*Assumptions!$B$35*Assumptions!$B$34-Program!$C$5*Assumptions!$B$33/12-Assumptions!$B$37*Assumptions!$B$38/12),0)</f>
        <v/>
      </c>
      <c r="Z158" s="31">
        <f>SUMIF(Sellout!$A$6:$A$35,A158,Sellout!$D$6:$D$35)*(1-Assumptions!$B$49)</f>
        <v/>
      </c>
      <c r="AA158" s="31">
        <f>IF(A158=Assumptions!$B$58,Ops!$B$23,0)+IF(A158=Assumptions!$B$59,Ops!$C$23,0)</f>
        <v/>
      </c>
      <c r="AB158" s="21">
        <f>-O158+X158+Y158+Z158+AA158</f>
        <v/>
      </c>
      <c r="AC158" s="21">
        <f>AB158+S158-V158</f>
        <v/>
      </c>
    </row>
    <row r="159">
      <c r="A159" s="42" t="n">
        <v>154</v>
      </c>
      <c r="B159" s="43">
        <f>EDATE(Assumptions!$B$7,A159-1)</f>
        <v/>
      </c>
      <c r="C159" s="30">
        <f>IF(A159&lt;Assumptions!$B$9,"Pre-dev",IF(A159&lt;$AE$2,"Construction",IF(A159&lt;=Assumptions!$B$59,"Lease-up / exit","Tail")))</f>
        <v/>
      </c>
      <c r="D159" s="42">
        <f>IF(AND(A159&gt;=Assumptions!$B$9,A159&lt;$AE$2),(A159-Assumptions!$B$9+1)*($AE$2-A159),0)</f>
        <v/>
      </c>
      <c r="E159" s="44">
        <f>IFERROR(D159/$AE$6,0)</f>
        <v/>
      </c>
      <c r="F159" s="21">
        <f>IF(A159=1,DevBudget!$B$5,0)</f>
        <v/>
      </c>
      <c r="G159" s="21">
        <f>E159*DevBudget!$B$6</f>
        <v/>
      </c>
      <c r="H159" s="21">
        <f>E159*DevBudget!$B$7</f>
        <v/>
      </c>
      <c r="I159" s="21">
        <f>E159*DevBudget!$B$8</f>
        <v/>
      </c>
      <c r="J159" s="21">
        <f>E159*(DevBudget!$B$9+DevBudget!$B$10)</f>
        <v/>
      </c>
      <c r="K159" s="21">
        <f>E159*DevBudget!$B$12</f>
        <v/>
      </c>
      <c r="L159" s="21">
        <f>E159*DevBudget!$B$13</f>
        <v/>
      </c>
      <c r="M159" s="21">
        <f>IF(A159=Assumptions!$B$9,Assumptions!$B$69+Assumptions!$B$72,0)+IF(A159=$AE$4,Assumptions!$B$70+Assumptions!$B$71+Assumptions!$B$73,0)</f>
        <v/>
      </c>
      <c r="N159" s="21">
        <f>E159*DevBudget!$B$16</f>
        <v/>
      </c>
      <c r="O159" s="21">
        <f>SUM(F159:N159)</f>
        <v/>
      </c>
      <c r="P159" s="21">
        <f>P158+O159</f>
        <v/>
      </c>
      <c r="Q159" s="21">
        <f>MIN(O159,MAX(0,DevBudget!$B$19-R158))</f>
        <v/>
      </c>
      <c r="R159" s="21">
        <f>R158+Q159</f>
        <v/>
      </c>
      <c r="S159" s="21">
        <f>MIN(MAX(0,O159-Q159),MAX(0,Assumptions!$B$24-T159-U159))</f>
        <v/>
      </c>
      <c r="T159" s="21">
        <f>W158</f>
        <v/>
      </c>
      <c r="U159" s="21">
        <f>T159*Assumptions!$B$25/12</f>
        <v/>
      </c>
      <c r="V159" s="21">
        <f>MIN(T159+U159+S159,MAX(0,Z159+AA159))</f>
        <v/>
      </c>
      <c r="W159" s="21">
        <f>T159+S159+U159-V159</f>
        <v/>
      </c>
      <c r="X159" s="21">
        <f>IF(AND(A159&gt;=$AE$2,A159&lt;=Assumptions!$B$58),(MIN(Program!$D$5,MAX(0,(A159-$AE$2+1)*Assumptions!$B$39))*Assumptions!$B$29*(1+Assumptions!$B$31)*(1-Assumptions!$B$32)+Program!$D$9*Assumptions!$B$43*Assumptions!$B$44/12+Program!$D$5*Assumptions!$B$35*Assumptions!$B$34-Program!$D$5*Assumptions!$B$33/12-Assumptions!$B$36*Assumptions!$B$38/12),0)</f>
        <v/>
      </c>
      <c r="Y159" s="21">
        <f>IF(AND(A159&gt;=$AE$4,A159&lt;=Assumptions!$B$59),(MIN(Program!$C$5,MAX(0,(A159-$AE$4+1)*Assumptions!$B$39))*Assumptions!$B$30*(1+Assumptions!$B$31)*(1-Assumptions!$B$32)+Program!$C$9*Assumptions!$B$43*Assumptions!$B$44/12+Program!$C$5*Assumptions!$B$35*Assumptions!$B$34-Program!$C$5*Assumptions!$B$33/12-Assumptions!$B$37*Assumptions!$B$38/12),0)</f>
        <v/>
      </c>
      <c r="Z159" s="31">
        <f>SUMIF(Sellout!$A$6:$A$35,A159,Sellout!$D$6:$D$35)*(1-Assumptions!$B$49)</f>
        <v/>
      </c>
      <c r="AA159" s="31">
        <f>IF(A159=Assumptions!$B$58,Ops!$B$23,0)+IF(A159=Assumptions!$B$59,Ops!$C$23,0)</f>
        <v/>
      </c>
      <c r="AB159" s="21">
        <f>-O159+X159+Y159+Z159+AA159</f>
        <v/>
      </c>
      <c r="AC159" s="21">
        <f>AB159+S159-V159</f>
        <v/>
      </c>
    </row>
    <row r="160">
      <c r="A160" s="42" t="n">
        <v>155</v>
      </c>
      <c r="B160" s="43">
        <f>EDATE(Assumptions!$B$7,A160-1)</f>
        <v/>
      </c>
      <c r="C160" s="30">
        <f>IF(A160&lt;Assumptions!$B$9,"Pre-dev",IF(A160&lt;$AE$2,"Construction",IF(A160&lt;=Assumptions!$B$59,"Lease-up / exit","Tail")))</f>
        <v/>
      </c>
      <c r="D160" s="42">
        <f>IF(AND(A160&gt;=Assumptions!$B$9,A160&lt;$AE$2),(A160-Assumptions!$B$9+1)*($AE$2-A160),0)</f>
        <v/>
      </c>
      <c r="E160" s="44">
        <f>IFERROR(D160/$AE$6,0)</f>
        <v/>
      </c>
      <c r="F160" s="21">
        <f>IF(A160=1,DevBudget!$B$5,0)</f>
        <v/>
      </c>
      <c r="G160" s="21">
        <f>E160*DevBudget!$B$6</f>
        <v/>
      </c>
      <c r="H160" s="21">
        <f>E160*DevBudget!$B$7</f>
        <v/>
      </c>
      <c r="I160" s="21">
        <f>E160*DevBudget!$B$8</f>
        <v/>
      </c>
      <c r="J160" s="21">
        <f>E160*(DevBudget!$B$9+DevBudget!$B$10)</f>
        <v/>
      </c>
      <c r="K160" s="21">
        <f>E160*DevBudget!$B$12</f>
        <v/>
      </c>
      <c r="L160" s="21">
        <f>E160*DevBudget!$B$13</f>
        <v/>
      </c>
      <c r="M160" s="21">
        <f>IF(A160=Assumptions!$B$9,Assumptions!$B$69+Assumptions!$B$72,0)+IF(A160=$AE$4,Assumptions!$B$70+Assumptions!$B$71+Assumptions!$B$73,0)</f>
        <v/>
      </c>
      <c r="N160" s="21">
        <f>E160*DevBudget!$B$16</f>
        <v/>
      </c>
      <c r="O160" s="21">
        <f>SUM(F160:N160)</f>
        <v/>
      </c>
      <c r="P160" s="21">
        <f>P159+O160</f>
        <v/>
      </c>
      <c r="Q160" s="21">
        <f>MIN(O160,MAX(0,DevBudget!$B$19-R159))</f>
        <v/>
      </c>
      <c r="R160" s="21">
        <f>R159+Q160</f>
        <v/>
      </c>
      <c r="S160" s="21">
        <f>MIN(MAX(0,O160-Q160),MAX(0,Assumptions!$B$24-T160-U160))</f>
        <v/>
      </c>
      <c r="T160" s="21">
        <f>W159</f>
        <v/>
      </c>
      <c r="U160" s="21">
        <f>T160*Assumptions!$B$25/12</f>
        <v/>
      </c>
      <c r="V160" s="21">
        <f>MIN(T160+U160+S160,MAX(0,Z160+AA160))</f>
        <v/>
      </c>
      <c r="W160" s="21">
        <f>T160+S160+U160-V160</f>
        <v/>
      </c>
      <c r="X160" s="21">
        <f>IF(AND(A160&gt;=$AE$2,A160&lt;=Assumptions!$B$58),(MIN(Program!$D$5,MAX(0,(A160-$AE$2+1)*Assumptions!$B$39))*Assumptions!$B$29*(1+Assumptions!$B$31)*(1-Assumptions!$B$32)+Program!$D$9*Assumptions!$B$43*Assumptions!$B$44/12+Program!$D$5*Assumptions!$B$35*Assumptions!$B$34-Program!$D$5*Assumptions!$B$33/12-Assumptions!$B$36*Assumptions!$B$38/12),0)</f>
        <v/>
      </c>
      <c r="Y160" s="21">
        <f>IF(AND(A160&gt;=$AE$4,A160&lt;=Assumptions!$B$59),(MIN(Program!$C$5,MAX(0,(A160-$AE$4+1)*Assumptions!$B$39))*Assumptions!$B$30*(1+Assumptions!$B$31)*(1-Assumptions!$B$32)+Program!$C$9*Assumptions!$B$43*Assumptions!$B$44/12+Program!$C$5*Assumptions!$B$35*Assumptions!$B$34-Program!$C$5*Assumptions!$B$33/12-Assumptions!$B$37*Assumptions!$B$38/12),0)</f>
        <v/>
      </c>
      <c r="Z160" s="31">
        <f>SUMIF(Sellout!$A$6:$A$35,A160,Sellout!$D$6:$D$35)*(1-Assumptions!$B$49)</f>
        <v/>
      </c>
      <c r="AA160" s="31">
        <f>IF(A160=Assumptions!$B$58,Ops!$B$23,0)+IF(A160=Assumptions!$B$59,Ops!$C$23,0)</f>
        <v/>
      </c>
      <c r="AB160" s="21">
        <f>-O160+X160+Y160+Z160+AA160</f>
        <v/>
      </c>
      <c r="AC160" s="21">
        <f>AB160+S160-V160</f>
        <v/>
      </c>
    </row>
    <row r="161">
      <c r="A161" s="42" t="n">
        <v>156</v>
      </c>
      <c r="B161" s="43">
        <f>EDATE(Assumptions!$B$7,A161-1)</f>
        <v/>
      </c>
      <c r="C161" s="30">
        <f>IF(A161&lt;Assumptions!$B$9,"Pre-dev",IF(A161&lt;$AE$2,"Construction",IF(A161&lt;=Assumptions!$B$59,"Lease-up / exit","Tail")))</f>
        <v/>
      </c>
      <c r="D161" s="42">
        <f>IF(AND(A161&gt;=Assumptions!$B$9,A161&lt;$AE$2),(A161-Assumptions!$B$9+1)*($AE$2-A161),0)</f>
        <v/>
      </c>
      <c r="E161" s="44">
        <f>IFERROR(D161/$AE$6,0)</f>
        <v/>
      </c>
      <c r="F161" s="21">
        <f>IF(A161=1,DevBudget!$B$5,0)</f>
        <v/>
      </c>
      <c r="G161" s="21">
        <f>E161*DevBudget!$B$6</f>
        <v/>
      </c>
      <c r="H161" s="21">
        <f>E161*DevBudget!$B$7</f>
        <v/>
      </c>
      <c r="I161" s="21">
        <f>E161*DevBudget!$B$8</f>
        <v/>
      </c>
      <c r="J161" s="21">
        <f>E161*(DevBudget!$B$9+DevBudget!$B$10)</f>
        <v/>
      </c>
      <c r="K161" s="21">
        <f>E161*DevBudget!$B$12</f>
        <v/>
      </c>
      <c r="L161" s="21">
        <f>E161*DevBudget!$B$13</f>
        <v/>
      </c>
      <c r="M161" s="21">
        <f>IF(A161=Assumptions!$B$9,Assumptions!$B$69+Assumptions!$B$72,0)+IF(A161=$AE$4,Assumptions!$B$70+Assumptions!$B$71+Assumptions!$B$73,0)</f>
        <v/>
      </c>
      <c r="N161" s="21">
        <f>E161*DevBudget!$B$16</f>
        <v/>
      </c>
      <c r="O161" s="21">
        <f>SUM(F161:N161)</f>
        <v/>
      </c>
      <c r="P161" s="21">
        <f>P160+O161</f>
        <v/>
      </c>
      <c r="Q161" s="21">
        <f>MIN(O161,MAX(0,DevBudget!$B$19-R160))</f>
        <v/>
      </c>
      <c r="R161" s="21">
        <f>R160+Q161</f>
        <v/>
      </c>
      <c r="S161" s="21">
        <f>MIN(MAX(0,O161-Q161),MAX(0,Assumptions!$B$24-T161-U161))</f>
        <v/>
      </c>
      <c r="T161" s="21">
        <f>W160</f>
        <v/>
      </c>
      <c r="U161" s="21">
        <f>T161*Assumptions!$B$25/12</f>
        <v/>
      </c>
      <c r="V161" s="21">
        <f>MIN(T161+U161+S161,MAX(0,Z161+AA161))</f>
        <v/>
      </c>
      <c r="W161" s="21">
        <f>T161+S161+U161-V161</f>
        <v/>
      </c>
      <c r="X161" s="21">
        <f>IF(AND(A161&gt;=$AE$2,A161&lt;=Assumptions!$B$58),(MIN(Program!$D$5,MAX(0,(A161-$AE$2+1)*Assumptions!$B$39))*Assumptions!$B$29*(1+Assumptions!$B$31)*(1-Assumptions!$B$32)+Program!$D$9*Assumptions!$B$43*Assumptions!$B$44/12+Program!$D$5*Assumptions!$B$35*Assumptions!$B$34-Program!$D$5*Assumptions!$B$33/12-Assumptions!$B$36*Assumptions!$B$38/12),0)</f>
        <v/>
      </c>
      <c r="Y161" s="21">
        <f>IF(AND(A161&gt;=$AE$4,A161&lt;=Assumptions!$B$59),(MIN(Program!$C$5,MAX(0,(A161-$AE$4+1)*Assumptions!$B$39))*Assumptions!$B$30*(1+Assumptions!$B$31)*(1-Assumptions!$B$32)+Program!$C$9*Assumptions!$B$43*Assumptions!$B$44/12+Program!$C$5*Assumptions!$B$35*Assumptions!$B$34-Program!$C$5*Assumptions!$B$33/12-Assumptions!$B$37*Assumptions!$B$38/12),0)</f>
        <v/>
      </c>
      <c r="Z161" s="31">
        <f>SUMIF(Sellout!$A$6:$A$35,A161,Sellout!$D$6:$D$35)*(1-Assumptions!$B$49)</f>
        <v/>
      </c>
      <c r="AA161" s="31">
        <f>IF(A161=Assumptions!$B$58,Ops!$B$23,0)+IF(A161=Assumptions!$B$59,Ops!$C$23,0)</f>
        <v/>
      </c>
      <c r="AB161" s="21">
        <f>-O161+X161+Y161+Z161+AA161</f>
        <v/>
      </c>
      <c r="AC161" s="21">
        <f>AB161+S161-V161</f>
        <v/>
      </c>
    </row>
    <row r="162">
      <c r="A162" s="42" t="n">
        <v>157</v>
      </c>
      <c r="B162" s="43">
        <f>EDATE(Assumptions!$B$7,A162-1)</f>
        <v/>
      </c>
      <c r="C162" s="30">
        <f>IF(A162&lt;Assumptions!$B$9,"Pre-dev",IF(A162&lt;$AE$2,"Construction",IF(A162&lt;=Assumptions!$B$59,"Lease-up / exit","Tail")))</f>
        <v/>
      </c>
      <c r="D162" s="42">
        <f>IF(AND(A162&gt;=Assumptions!$B$9,A162&lt;$AE$2),(A162-Assumptions!$B$9+1)*($AE$2-A162),0)</f>
        <v/>
      </c>
      <c r="E162" s="44">
        <f>IFERROR(D162/$AE$6,0)</f>
        <v/>
      </c>
      <c r="F162" s="21">
        <f>IF(A162=1,DevBudget!$B$5,0)</f>
        <v/>
      </c>
      <c r="G162" s="21">
        <f>E162*DevBudget!$B$6</f>
        <v/>
      </c>
      <c r="H162" s="21">
        <f>E162*DevBudget!$B$7</f>
        <v/>
      </c>
      <c r="I162" s="21">
        <f>E162*DevBudget!$B$8</f>
        <v/>
      </c>
      <c r="J162" s="21">
        <f>E162*(DevBudget!$B$9+DevBudget!$B$10)</f>
        <v/>
      </c>
      <c r="K162" s="21">
        <f>E162*DevBudget!$B$12</f>
        <v/>
      </c>
      <c r="L162" s="21">
        <f>E162*DevBudget!$B$13</f>
        <v/>
      </c>
      <c r="M162" s="21">
        <f>IF(A162=Assumptions!$B$9,Assumptions!$B$69+Assumptions!$B$72,0)+IF(A162=$AE$4,Assumptions!$B$70+Assumptions!$B$71+Assumptions!$B$73,0)</f>
        <v/>
      </c>
      <c r="N162" s="21">
        <f>E162*DevBudget!$B$16</f>
        <v/>
      </c>
      <c r="O162" s="21">
        <f>SUM(F162:N162)</f>
        <v/>
      </c>
      <c r="P162" s="21">
        <f>P161+O162</f>
        <v/>
      </c>
      <c r="Q162" s="21">
        <f>MIN(O162,MAX(0,DevBudget!$B$19-R161))</f>
        <v/>
      </c>
      <c r="R162" s="21">
        <f>R161+Q162</f>
        <v/>
      </c>
      <c r="S162" s="21">
        <f>MIN(MAX(0,O162-Q162),MAX(0,Assumptions!$B$24-T162-U162))</f>
        <v/>
      </c>
      <c r="T162" s="21">
        <f>W161</f>
        <v/>
      </c>
      <c r="U162" s="21">
        <f>T162*Assumptions!$B$25/12</f>
        <v/>
      </c>
      <c r="V162" s="21">
        <f>MIN(T162+U162+S162,MAX(0,Z162+AA162))</f>
        <v/>
      </c>
      <c r="W162" s="21">
        <f>T162+S162+U162-V162</f>
        <v/>
      </c>
      <c r="X162" s="21">
        <f>IF(AND(A162&gt;=$AE$2,A162&lt;=Assumptions!$B$58),(MIN(Program!$D$5,MAX(0,(A162-$AE$2+1)*Assumptions!$B$39))*Assumptions!$B$29*(1+Assumptions!$B$31)*(1-Assumptions!$B$32)+Program!$D$9*Assumptions!$B$43*Assumptions!$B$44/12+Program!$D$5*Assumptions!$B$35*Assumptions!$B$34-Program!$D$5*Assumptions!$B$33/12-Assumptions!$B$36*Assumptions!$B$38/12),0)</f>
        <v/>
      </c>
      <c r="Y162" s="21">
        <f>IF(AND(A162&gt;=$AE$4,A162&lt;=Assumptions!$B$59),(MIN(Program!$C$5,MAX(0,(A162-$AE$4+1)*Assumptions!$B$39))*Assumptions!$B$30*(1+Assumptions!$B$31)*(1-Assumptions!$B$32)+Program!$C$9*Assumptions!$B$43*Assumptions!$B$44/12+Program!$C$5*Assumptions!$B$35*Assumptions!$B$34-Program!$C$5*Assumptions!$B$33/12-Assumptions!$B$37*Assumptions!$B$38/12),0)</f>
        <v/>
      </c>
      <c r="Z162" s="31">
        <f>SUMIF(Sellout!$A$6:$A$35,A162,Sellout!$D$6:$D$35)*(1-Assumptions!$B$49)</f>
        <v/>
      </c>
      <c r="AA162" s="31">
        <f>IF(A162=Assumptions!$B$58,Ops!$B$23,0)+IF(A162=Assumptions!$B$59,Ops!$C$23,0)</f>
        <v/>
      </c>
      <c r="AB162" s="21">
        <f>-O162+X162+Y162+Z162+AA162</f>
        <v/>
      </c>
      <c r="AC162" s="21">
        <f>AB162+S162-V162</f>
        <v/>
      </c>
    </row>
    <row r="163">
      <c r="A163" s="42" t="n">
        <v>158</v>
      </c>
      <c r="B163" s="43">
        <f>EDATE(Assumptions!$B$7,A163-1)</f>
        <v/>
      </c>
      <c r="C163" s="30">
        <f>IF(A163&lt;Assumptions!$B$9,"Pre-dev",IF(A163&lt;$AE$2,"Construction",IF(A163&lt;=Assumptions!$B$59,"Lease-up / exit","Tail")))</f>
        <v/>
      </c>
      <c r="D163" s="42">
        <f>IF(AND(A163&gt;=Assumptions!$B$9,A163&lt;$AE$2),(A163-Assumptions!$B$9+1)*($AE$2-A163),0)</f>
        <v/>
      </c>
      <c r="E163" s="44">
        <f>IFERROR(D163/$AE$6,0)</f>
        <v/>
      </c>
      <c r="F163" s="21">
        <f>IF(A163=1,DevBudget!$B$5,0)</f>
        <v/>
      </c>
      <c r="G163" s="21">
        <f>E163*DevBudget!$B$6</f>
        <v/>
      </c>
      <c r="H163" s="21">
        <f>E163*DevBudget!$B$7</f>
        <v/>
      </c>
      <c r="I163" s="21">
        <f>E163*DevBudget!$B$8</f>
        <v/>
      </c>
      <c r="J163" s="21">
        <f>E163*(DevBudget!$B$9+DevBudget!$B$10)</f>
        <v/>
      </c>
      <c r="K163" s="21">
        <f>E163*DevBudget!$B$12</f>
        <v/>
      </c>
      <c r="L163" s="21">
        <f>E163*DevBudget!$B$13</f>
        <v/>
      </c>
      <c r="M163" s="21">
        <f>IF(A163=Assumptions!$B$9,Assumptions!$B$69+Assumptions!$B$72,0)+IF(A163=$AE$4,Assumptions!$B$70+Assumptions!$B$71+Assumptions!$B$73,0)</f>
        <v/>
      </c>
      <c r="N163" s="21">
        <f>E163*DevBudget!$B$16</f>
        <v/>
      </c>
      <c r="O163" s="21">
        <f>SUM(F163:N163)</f>
        <v/>
      </c>
      <c r="P163" s="21">
        <f>P162+O163</f>
        <v/>
      </c>
      <c r="Q163" s="21">
        <f>MIN(O163,MAX(0,DevBudget!$B$19-R162))</f>
        <v/>
      </c>
      <c r="R163" s="21">
        <f>R162+Q163</f>
        <v/>
      </c>
      <c r="S163" s="21">
        <f>MIN(MAX(0,O163-Q163),MAX(0,Assumptions!$B$24-T163-U163))</f>
        <v/>
      </c>
      <c r="T163" s="21">
        <f>W162</f>
        <v/>
      </c>
      <c r="U163" s="21">
        <f>T163*Assumptions!$B$25/12</f>
        <v/>
      </c>
      <c r="V163" s="21">
        <f>MIN(T163+U163+S163,MAX(0,Z163+AA163))</f>
        <v/>
      </c>
      <c r="W163" s="21">
        <f>T163+S163+U163-V163</f>
        <v/>
      </c>
      <c r="X163" s="21">
        <f>IF(AND(A163&gt;=$AE$2,A163&lt;=Assumptions!$B$58),(MIN(Program!$D$5,MAX(0,(A163-$AE$2+1)*Assumptions!$B$39))*Assumptions!$B$29*(1+Assumptions!$B$31)*(1-Assumptions!$B$32)+Program!$D$9*Assumptions!$B$43*Assumptions!$B$44/12+Program!$D$5*Assumptions!$B$35*Assumptions!$B$34-Program!$D$5*Assumptions!$B$33/12-Assumptions!$B$36*Assumptions!$B$38/12),0)</f>
        <v/>
      </c>
      <c r="Y163" s="21">
        <f>IF(AND(A163&gt;=$AE$4,A163&lt;=Assumptions!$B$59),(MIN(Program!$C$5,MAX(0,(A163-$AE$4+1)*Assumptions!$B$39))*Assumptions!$B$30*(1+Assumptions!$B$31)*(1-Assumptions!$B$32)+Program!$C$9*Assumptions!$B$43*Assumptions!$B$44/12+Program!$C$5*Assumptions!$B$35*Assumptions!$B$34-Program!$C$5*Assumptions!$B$33/12-Assumptions!$B$37*Assumptions!$B$38/12),0)</f>
        <v/>
      </c>
      <c r="Z163" s="31">
        <f>SUMIF(Sellout!$A$6:$A$35,A163,Sellout!$D$6:$D$35)*(1-Assumptions!$B$49)</f>
        <v/>
      </c>
      <c r="AA163" s="31">
        <f>IF(A163=Assumptions!$B$58,Ops!$B$23,0)+IF(A163=Assumptions!$B$59,Ops!$C$23,0)</f>
        <v/>
      </c>
      <c r="AB163" s="21">
        <f>-O163+X163+Y163+Z163+AA163</f>
        <v/>
      </c>
      <c r="AC163" s="21">
        <f>AB163+S163-V163</f>
        <v/>
      </c>
    </row>
    <row r="164">
      <c r="A164" s="42" t="n">
        <v>159</v>
      </c>
      <c r="B164" s="43">
        <f>EDATE(Assumptions!$B$7,A164-1)</f>
        <v/>
      </c>
      <c r="C164" s="30">
        <f>IF(A164&lt;Assumptions!$B$9,"Pre-dev",IF(A164&lt;$AE$2,"Construction",IF(A164&lt;=Assumptions!$B$59,"Lease-up / exit","Tail")))</f>
        <v/>
      </c>
      <c r="D164" s="42">
        <f>IF(AND(A164&gt;=Assumptions!$B$9,A164&lt;$AE$2),(A164-Assumptions!$B$9+1)*($AE$2-A164),0)</f>
        <v/>
      </c>
      <c r="E164" s="44">
        <f>IFERROR(D164/$AE$6,0)</f>
        <v/>
      </c>
      <c r="F164" s="21">
        <f>IF(A164=1,DevBudget!$B$5,0)</f>
        <v/>
      </c>
      <c r="G164" s="21">
        <f>E164*DevBudget!$B$6</f>
        <v/>
      </c>
      <c r="H164" s="21">
        <f>E164*DevBudget!$B$7</f>
        <v/>
      </c>
      <c r="I164" s="21">
        <f>E164*DevBudget!$B$8</f>
        <v/>
      </c>
      <c r="J164" s="21">
        <f>E164*(DevBudget!$B$9+DevBudget!$B$10)</f>
        <v/>
      </c>
      <c r="K164" s="21">
        <f>E164*DevBudget!$B$12</f>
        <v/>
      </c>
      <c r="L164" s="21">
        <f>E164*DevBudget!$B$13</f>
        <v/>
      </c>
      <c r="M164" s="21">
        <f>IF(A164=Assumptions!$B$9,Assumptions!$B$69+Assumptions!$B$72,0)+IF(A164=$AE$4,Assumptions!$B$70+Assumptions!$B$71+Assumptions!$B$73,0)</f>
        <v/>
      </c>
      <c r="N164" s="21">
        <f>E164*DevBudget!$B$16</f>
        <v/>
      </c>
      <c r="O164" s="21">
        <f>SUM(F164:N164)</f>
        <v/>
      </c>
      <c r="P164" s="21">
        <f>P163+O164</f>
        <v/>
      </c>
      <c r="Q164" s="21">
        <f>MIN(O164,MAX(0,DevBudget!$B$19-R163))</f>
        <v/>
      </c>
      <c r="R164" s="21">
        <f>R163+Q164</f>
        <v/>
      </c>
      <c r="S164" s="21">
        <f>MIN(MAX(0,O164-Q164),MAX(0,Assumptions!$B$24-T164-U164))</f>
        <v/>
      </c>
      <c r="T164" s="21">
        <f>W163</f>
        <v/>
      </c>
      <c r="U164" s="21">
        <f>T164*Assumptions!$B$25/12</f>
        <v/>
      </c>
      <c r="V164" s="21">
        <f>MIN(T164+U164+S164,MAX(0,Z164+AA164))</f>
        <v/>
      </c>
      <c r="W164" s="21">
        <f>T164+S164+U164-V164</f>
        <v/>
      </c>
      <c r="X164" s="21">
        <f>IF(AND(A164&gt;=$AE$2,A164&lt;=Assumptions!$B$58),(MIN(Program!$D$5,MAX(0,(A164-$AE$2+1)*Assumptions!$B$39))*Assumptions!$B$29*(1+Assumptions!$B$31)*(1-Assumptions!$B$32)+Program!$D$9*Assumptions!$B$43*Assumptions!$B$44/12+Program!$D$5*Assumptions!$B$35*Assumptions!$B$34-Program!$D$5*Assumptions!$B$33/12-Assumptions!$B$36*Assumptions!$B$38/12),0)</f>
        <v/>
      </c>
      <c r="Y164" s="21">
        <f>IF(AND(A164&gt;=$AE$4,A164&lt;=Assumptions!$B$59),(MIN(Program!$C$5,MAX(0,(A164-$AE$4+1)*Assumptions!$B$39))*Assumptions!$B$30*(1+Assumptions!$B$31)*(1-Assumptions!$B$32)+Program!$C$9*Assumptions!$B$43*Assumptions!$B$44/12+Program!$C$5*Assumptions!$B$35*Assumptions!$B$34-Program!$C$5*Assumptions!$B$33/12-Assumptions!$B$37*Assumptions!$B$38/12),0)</f>
        <v/>
      </c>
      <c r="Z164" s="31">
        <f>SUMIF(Sellout!$A$6:$A$35,A164,Sellout!$D$6:$D$35)*(1-Assumptions!$B$49)</f>
        <v/>
      </c>
      <c r="AA164" s="31">
        <f>IF(A164=Assumptions!$B$58,Ops!$B$23,0)+IF(A164=Assumptions!$B$59,Ops!$C$23,0)</f>
        <v/>
      </c>
      <c r="AB164" s="21">
        <f>-O164+X164+Y164+Z164+AA164</f>
        <v/>
      </c>
      <c r="AC164" s="21">
        <f>AB164+S164-V164</f>
        <v/>
      </c>
    </row>
    <row r="165">
      <c r="A165" s="42" t="n">
        <v>160</v>
      </c>
      <c r="B165" s="43">
        <f>EDATE(Assumptions!$B$7,A165-1)</f>
        <v/>
      </c>
      <c r="C165" s="30">
        <f>IF(A165&lt;Assumptions!$B$9,"Pre-dev",IF(A165&lt;$AE$2,"Construction",IF(A165&lt;=Assumptions!$B$59,"Lease-up / exit","Tail")))</f>
        <v/>
      </c>
      <c r="D165" s="42">
        <f>IF(AND(A165&gt;=Assumptions!$B$9,A165&lt;$AE$2),(A165-Assumptions!$B$9+1)*($AE$2-A165),0)</f>
        <v/>
      </c>
      <c r="E165" s="44">
        <f>IFERROR(D165/$AE$6,0)</f>
        <v/>
      </c>
      <c r="F165" s="21">
        <f>IF(A165=1,DevBudget!$B$5,0)</f>
        <v/>
      </c>
      <c r="G165" s="21">
        <f>E165*DevBudget!$B$6</f>
        <v/>
      </c>
      <c r="H165" s="21">
        <f>E165*DevBudget!$B$7</f>
        <v/>
      </c>
      <c r="I165" s="21">
        <f>E165*DevBudget!$B$8</f>
        <v/>
      </c>
      <c r="J165" s="21">
        <f>E165*(DevBudget!$B$9+DevBudget!$B$10)</f>
        <v/>
      </c>
      <c r="K165" s="21">
        <f>E165*DevBudget!$B$12</f>
        <v/>
      </c>
      <c r="L165" s="21">
        <f>E165*DevBudget!$B$13</f>
        <v/>
      </c>
      <c r="M165" s="21">
        <f>IF(A165=Assumptions!$B$9,Assumptions!$B$69+Assumptions!$B$72,0)+IF(A165=$AE$4,Assumptions!$B$70+Assumptions!$B$71+Assumptions!$B$73,0)</f>
        <v/>
      </c>
      <c r="N165" s="21">
        <f>E165*DevBudget!$B$16</f>
        <v/>
      </c>
      <c r="O165" s="21">
        <f>SUM(F165:N165)</f>
        <v/>
      </c>
      <c r="P165" s="21">
        <f>P164+O165</f>
        <v/>
      </c>
      <c r="Q165" s="21">
        <f>MIN(O165,MAX(0,DevBudget!$B$19-R164))</f>
        <v/>
      </c>
      <c r="R165" s="21">
        <f>R164+Q165</f>
        <v/>
      </c>
      <c r="S165" s="21">
        <f>MIN(MAX(0,O165-Q165),MAX(0,Assumptions!$B$24-T165-U165))</f>
        <v/>
      </c>
      <c r="T165" s="21">
        <f>W164</f>
        <v/>
      </c>
      <c r="U165" s="21">
        <f>T165*Assumptions!$B$25/12</f>
        <v/>
      </c>
      <c r="V165" s="21">
        <f>MIN(T165+U165+S165,MAX(0,Z165+AA165))</f>
        <v/>
      </c>
      <c r="W165" s="21">
        <f>T165+S165+U165-V165</f>
        <v/>
      </c>
      <c r="X165" s="21">
        <f>IF(AND(A165&gt;=$AE$2,A165&lt;=Assumptions!$B$58),(MIN(Program!$D$5,MAX(0,(A165-$AE$2+1)*Assumptions!$B$39))*Assumptions!$B$29*(1+Assumptions!$B$31)*(1-Assumptions!$B$32)+Program!$D$9*Assumptions!$B$43*Assumptions!$B$44/12+Program!$D$5*Assumptions!$B$35*Assumptions!$B$34-Program!$D$5*Assumptions!$B$33/12-Assumptions!$B$36*Assumptions!$B$38/12),0)</f>
        <v/>
      </c>
      <c r="Y165" s="21">
        <f>IF(AND(A165&gt;=$AE$4,A165&lt;=Assumptions!$B$59),(MIN(Program!$C$5,MAX(0,(A165-$AE$4+1)*Assumptions!$B$39))*Assumptions!$B$30*(1+Assumptions!$B$31)*(1-Assumptions!$B$32)+Program!$C$9*Assumptions!$B$43*Assumptions!$B$44/12+Program!$C$5*Assumptions!$B$35*Assumptions!$B$34-Program!$C$5*Assumptions!$B$33/12-Assumptions!$B$37*Assumptions!$B$38/12),0)</f>
        <v/>
      </c>
      <c r="Z165" s="31">
        <f>SUMIF(Sellout!$A$6:$A$35,A165,Sellout!$D$6:$D$35)*(1-Assumptions!$B$49)</f>
        <v/>
      </c>
      <c r="AA165" s="31">
        <f>IF(A165=Assumptions!$B$58,Ops!$B$23,0)+IF(A165=Assumptions!$B$59,Ops!$C$23,0)</f>
        <v/>
      </c>
      <c r="AB165" s="21">
        <f>-O165+X165+Y165+Z165+AA165</f>
        <v/>
      </c>
      <c r="AC165" s="21">
        <f>AB165+S165-V165</f>
        <v/>
      </c>
    </row>
    <row r="166">
      <c r="A166" s="2" t="inlineStr">
        <is>
          <t>TOTAL</t>
        </is>
      </c>
      <c r="F166" s="45">
        <f>SUM(F6:F165)</f>
        <v/>
      </c>
      <c r="G166" s="45">
        <f>SUM(G6:G165)</f>
        <v/>
      </c>
      <c r="H166" s="45">
        <f>SUM(H6:H165)</f>
        <v/>
      </c>
      <c r="I166" s="45">
        <f>SUM(I6:I165)</f>
        <v/>
      </c>
      <c r="J166" s="45">
        <f>SUM(J6:J165)</f>
        <v/>
      </c>
      <c r="K166" s="45">
        <f>SUM(K6:K165)</f>
        <v/>
      </c>
      <c r="L166" s="45">
        <f>SUM(L6:L165)</f>
        <v/>
      </c>
      <c r="M166" s="45">
        <f>SUM(M6:M165)</f>
        <v/>
      </c>
      <c r="N166" s="45">
        <f>SUM(N6:N165)</f>
        <v/>
      </c>
      <c r="O166" s="45">
        <f>SUM(O6:O165)</f>
        <v/>
      </c>
      <c r="P166" s="45">
        <f>SUM(P6:P165)</f>
        <v/>
      </c>
      <c r="Q166" s="45">
        <f>SUM(Q6:Q165)</f>
        <v/>
      </c>
      <c r="R166" s="45">
        <f>SUM(R6:R165)</f>
        <v/>
      </c>
      <c r="S166" s="45">
        <f>SUM(S6:S165)</f>
        <v/>
      </c>
      <c r="U166" s="45">
        <f>SUM(U6:U165)</f>
        <v/>
      </c>
      <c r="V166" s="45">
        <f>SUM(V6:V165)</f>
        <v/>
      </c>
      <c r="X166" s="45">
        <f>SUM(X6:X165)</f>
        <v/>
      </c>
      <c r="Y166" s="45">
        <f>SUM(Y6:Y165)</f>
        <v/>
      </c>
      <c r="Z166" s="45">
        <f>SUM(Z6:Z165)</f>
        <v/>
      </c>
      <c r="AA166" s="45">
        <f>SUM(AA6:AA165)</f>
        <v/>
      </c>
      <c r="AB166" s="45">
        <f>SUM(AB6:AB165)</f>
        <v/>
      </c>
      <c r="AC166" s="45">
        <f>SUM(AC6:AC165)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66"/>
  <sheetViews>
    <sheetView showGridLines="0" workbookViewId="0">
      <selection activeCell="A1" sqref="A1"/>
    </sheetView>
  </sheetViews>
  <sheetFormatPr baseColWidth="8" defaultRowHeight="15"/>
  <cols>
    <col width="11"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JV WATERFALL — investor capital vs sponsor promote</t>
        </is>
      </c>
    </row>
    <row r="2">
      <c r="A2" s="4" t="inlineStr">
        <is>
          <t>Two capital accounts: one accreting at the preferred return, one at the tier-2 hurdle. Tier-1 distributions also reduce the tier-2 account, so the hurdles are cumulative, not additive.</t>
        </is>
      </c>
    </row>
    <row r="3">
      <c r="A3" s="4" t="inlineStr">
        <is>
          <t>ASSUMPTION IN FULL: the Baupost JV terms are not public. Every rate on this sheet is a placeholder.</t>
        </is>
      </c>
    </row>
    <row r="5" ht="32" customHeight="1">
      <c r="A5" s="5" t="inlineStr">
        <is>
          <t>Month #</t>
        </is>
      </c>
      <c r="B5" s="5" t="inlineStr">
        <is>
          <t>Date</t>
        </is>
      </c>
      <c r="C5" s="5" t="inlineStr">
        <is>
          <t>Equity CF</t>
        </is>
      </c>
      <c r="D5" s="5" t="inlineStr">
        <is>
          <t>Contribution</t>
        </is>
      </c>
      <c r="E5" s="5" t="inlineStr">
        <is>
          <t>Distributable</t>
        </is>
      </c>
      <c r="F5" s="5" t="inlineStr">
        <is>
          <t>Pref acct BOP</t>
        </is>
      </c>
      <c r="G5" s="5" t="inlineStr">
        <is>
          <t>Pref accrual</t>
        </is>
      </c>
      <c r="H5" s="5" t="inlineStr">
        <is>
          <t>Pref acct + contrib</t>
        </is>
      </c>
      <c r="I5" s="5" t="inlineStr">
        <is>
          <t>Tier 1 dist</t>
        </is>
      </c>
      <c r="J5" s="5" t="inlineStr">
        <is>
          <t>Pref acct EOP</t>
        </is>
      </c>
      <c r="K5" s="5" t="inlineStr">
        <is>
          <t>Hurdle2 acct BOP</t>
        </is>
      </c>
      <c r="L5" s="5" t="inlineStr">
        <is>
          <t>Hurdle2 accrual</t>
        </is>
      </c>
      <c r="M5" s="5" t="inlineStr">
        <is>
          <t>Hurdle2 + contrib</t>
        </is>
      </c>
      <c r="N5" s="5" t="inlineStr">
        <is>
          <t>Tier 2 total</t>
        </is>
      </c>
      <c r="O5" s="5" t="inlineStr">
        <is>
          <t>Tier 2 to investors</t>
        </is>
      </c>
      <c r="P5" s="5" t="inlineStr">
        <is>
          <t>Promote tier 1</t>
        </is>
      </c>
      <c r="Q5" s="5" t="inlineStr">
        <is>
          <t>Hurdle2 acct EOP</t>
        </is>
      </c>
      <c r="R5" s="5" t="inlineStr">
        <is>
          <t>Residual</t>
        </is>
      </c>
      <c r="S5" s="5" t="inlineStr">
        <is>
          <t>Residual to investors</t>
        </is>
      </c>
      <c r="T5" s="5" t="inlineStr">
        <is>
          <t>Promote tier 2</t>
        </is>
      </c>
      <c r="U5" s="5" t="inlineStr">
        <is>
          <t>TOTAL to investors</t>
        </is>
      </c>
      <c r="V5" s="5" t="inlineStr">
        <is>
          <t>TOTAL promote</t>
        </is>
      </c>
      <c r="W5" s="5" t="inlineStr">
        <is>
          <t>LP cash flow</t>
        </is>
      </c>
      <c r="X5" s="5" t="inlineStr">
        <is>
          <t>Sponsor cash flow</t>
        </is>
      </c>
    </row>
    <row r="6">
      <c r="A6" s="42">
        <f>CashFlow!A6</f>
        <v/>
      </c>
      <c r="B6" s="43">
        <f>CashFlow!B6</f>
        <v/>
      </c>
      <c r="C6" s="31">
        <f>CashFlow!AC6</f>
        <v/>
      </c>
      <c r="D6" s="21">
        <f>MAX(0,-C6)</f>
        <v/>
      </c>
      <c r="E6" s="21">
        <f>MAX(0,C6)</f>
        <v/>
      </c>
      <c r="F6" s="21">
        <f>0</f>
        <v/>
      </c>
      <c r="G6" s="21">
        <f>F6*Assumptions!$B$63/12</f>
        <v/>
      </c>
      <c r="H6" s="21">
        <f>F6+G6+D6</f>
        <v/>
      </c>
      <c r="I6" s="21">
        <f>MIN(E6,H6)</f>
        <v/>
      </c>
      <c r="J6" s="21">
        <f>H6-I6</f>
        <v/>
      </c>
      <c r="K6" s="21">
        <f>0</f>
        <v/>
      </c>
      <c r="L6" s="21">
        <f>K6*Assumptions!$B$66/12</f>
        <v/>
      </c>
      <c r="M6" s="21">
        <f>K6+L6+D6</f>
        <v/>
      </c>
      <c r="N6" s="21">
        <f>MIN(MAX(0,E6-I6),MAX(0,M6-I6)/(1-Assumptions!$B$64))</f>
        <v/>
      </c>
      <c r="O6" s="21">
        <f>N6*(1-Assumptions!$B$64)</f>
        <v/>
      </c>
      <c r="P6" s="21">
        <f>N6*Assumptions!$B$64</f>
        <v/>
      </c>
      <c r="Q6" s="21">
        <f>MAX(0,M6-I6-O6)</f>
        <v/>
      </c>
      <c r="R6" s="21">
        <f>MAX(0,E6-I6-N6)</f>
        <v/>
      </c>
      <c r="S6" s="21">
        <f>R6*(1-Assumptions!$B$65)</f>
        <v/>
      </c>
      <c r="T6" s="21">
        <f>R6*Assumptions!$B$65</f>
        <v/>
      </c>
      <c r="U6" s="21">
        <f>I6+O6+S6</f>
        <v/>
      </c>
      <c r="V6" s="21">
        <f>P6+T6</f>
        <v/>
      </c>
      <c r="W6" s="21">
        <f>(1-Assumptions!$B$62)*(U6-D6)</f>
        <v/>
      </c>
      <c r="X6" s="21">
        <f>Assumptions!$B$62*(U6-D6)+V6</f>
        <v/>
      </c>
    </row>
    <row r="7">
      <c r="A7" s="42">
        <f>CashFlow!A7</f>
        <v/>
      </c>
      <c r="B7" s="43">
        <f>CashFlow!B7</f>
        <v/>
      </c>
      <c r="C7" s="31">
        <f>CashFlow!AC7</f>
        <v/>
      </c>
      <c r="D7" s="21">
        <f>MAX(0,-C7)</f>
        <v/>
      </c>
      <c r="E7" s="21">
        <f>MAX(0,C7)</f>
        <v/>
      </c>
      <c r="F7" s="21">
        <f>J6</f>
        <v/>
      </c>
      <c r="G7" s="21">
        <f>F7*Assumptions!$B$63/12</f>
        <v/>
      </c>
      <c r="H7" s="21">
        <f>F7+G7+D7</f>
        <v/>
      </c>
      <c r="I7" s="21">
        <f>MIN(E7,H7)</f>
        <v/>
      </c>
      <c r="J7" s="21">
        <f>H7-I7</f>
        <v/>
      </c>
      <c r="K7" s="21">
        <f>Q6</f>
        <v/>
      </c>
      <c r="L7" s="21">
        <f>K7*Assumptions!$B$66/12</f>
        <v/>
      </c>
      <c r="M7" s="21">
        <f>K7+L7+D7</f>
        <v/>
      </c>
      <c r="N7" s="21">
        <f>MIN(MAX(0,E7-I7),MAX(0,M7-I7)/(1-Assumptions!$B$64))</f>
        <v/>
      </c>
      <c r="O7" s="21">
        <f>N7*(1-Assumptions!$B$64)</f>
        <v/>
      </c>
      <c r="P7" s="21">
        <f>N7*Assumptions!$B$64</f>
        <v/>
      </c>
      <c r="Q7" s="21">
        <f>MAX(0,M7-I7-O7)</f>
        <v/>
      </c>
      <c r="R7" s="21">
        <f>MAX(0,E7-I7-N7)</f>
        <v/>
      </c>
      <c r="S7" s="21">
        <f>R7*(1-Assumptions!$B$65)</f>
        <v/>
      </c>
      <c r="T7" s="21">
        <f>R7*Assumptions!$B$65</f>
        <v/>
      </c>
      <c r="U7" s="21">
        <f>I7+O7+S7</f>
        <v/>
      </c>
      <c r="V7" s="21">
        <f>P7+T7</f>
        <v/>
      </c>
      <c r="W7" s="21">
        <f>(1-Assumptions!$B$62)*(U7-D7)</f>
        <v/>
      </c>
      <c r="X7" s="21">
        <f>Assumptions!$B$62*(U7-D7)+V7</f>
        <v/>
      </c>
    </row>
    <row r="8">
      <c r="A8" s="42">
        <f>CashFlow!A8</f>
        <v/>
      </c>
      <c r="B8" s="43">
        <f>CashFlow!B8</f>
        <v/>
      </c>
      <c r="C8" s="31">
        <f>CashFlow!AC8</f>
        <v/>
      </c>
      <c r="D8" s="21">
        <f>MAX(0,-C8)</f>
        <v/>
      </c>
      <c r="E8" s="21">
        <f>MAX(0,C8)</f>
        <v/>
      </c>
      <c r="F8" s="21">
        <f>J7</f>
        <v/>
      </c>
      <c r="G8" s="21">
        <f>F8*Assumptions!$B$63/12</f>
        <v/>
      </c>
      <c r="H8" s="21">
        <f>F8+G8+D8</f>
        <v/>
      </c>
      <c r="I8" s="21">
        <f>MIN(E8,H8)</f>
        <v/>
      </c>
      <c r="J8" s="21">
        <f>H8-I8</f>
        <v/>
      </c>
      <c r="K8" s="21">
        <f>Q7</f>
        <v/>
      </c>
      <c r="L8" s="21">
        <f>K8*Assumptions!$B$66/12</f>
        <v/>
      </c>
      <c r="M8" s="21">
        <f>K8+L8+D8</f>
        <v/>
      </c>
      <c r="N8" s="21">
        <f>MIN(MAX(0,E8-I8),MAX(0,M8-I8)/(1-Assumptions!$B$64))</f>
        <v/>
      </c>
      <c r="O8" s="21">
        <f>N8*(1-Assumptions!$B$64)</f>
        <v/>
      </c>
      <c r="P8" s="21">
        <f>N8*Assumptions!$B$64</f>
        <v/>
      </c>
      <c r="Q8" s="21">
        <f>MAX(0,M8-I8-O8)</f>
        <v/>
      </c>
      <c r="R8" s="21">
        <f>MAX(0,E8-I8-N8)</f>
        <v/>
      </c>
      <c r="S8" s="21">
        <f>R8*(1-Assumptions!$B$65)</f>
        <v/>
      </c>
      <c r="T8" s="21">
        <f>R8*Assumptions!$B$65</f>
        <v/>
      </c>
      <c r="U8" s="21">
        <f>I8+O8+S8</f>
        <v/>
      </c>
      <c r="V8" s="21">
        <f>P8+T8</f>
        <v/>
      </c>
      <c r="W8" s="21">
        <f>(1-Assumptions!$B$62)*(U8-D8)</f>
        <v/>
      </c>
      <c r="X8" s="21">
        <f>Assumptions!$B$62*(U8-D8)+V8</f>
        <v/>
      </c>
    </row>
    <row r="9">
      <c r="A9" s="42">
        <f>CashFlow!A9</f>
        <v/>
      </c>
      <c r="B9" s="43">
        <f>CashFlow!B9</f>
        <v/>
      </c>
      <c r="C9" s="31">
        <f>CashFlow!AC9</f>
        <v/>
      </c>
      <c r="D9" s="21">
        <f>MAX(0,-C9)</f>
        <v/>
      </c>
      <c r="E9" s="21">
        <f>MAX(0,C9)</f>
        <v/>
      </c>
      <c r="F9" s="21">
        <f>J8</f>
        <v/>
      </c>
      <c r="G9" s="21">
        <f>F9*Assumptions!$B$63/12</f>
        <v/>
      </c>
      <c r="H9" s="21">
        <f>F9+G9+D9</f>
        <v/>
      </c>
      <c r="I9" s="21">
        <f>MIN(E9,H9)</f>
        <v/>
      </c>
      <c r="J9" s="21">
        <f>H9-I9</f>
        <v/>
      </c>
      <c r="K9" s="21">
        <f>Q8</f>
        <v/>
      </c>
      <c r="L9" s="21">
        <f>K9*Assumptions!$B$66/12</f>
        <v/>
      </c>
      <c r="M9" s="21">
        <f>K9+L9+D9</f>
        <v/>
      </c>
      <c r="N9" s="21">
        <f>MIN(MAX(0,E9-I9),MAX(0,M9-I9)/(1-Assumptions!$B$64))</f>
        <v/>
      </c>
      <c r="O9" s="21">
        <f>N9*(1-Assumptions!$B$64)</f>
        <v/>
      </c>
      <c r="P9" s="21">
        <f>N9*Assumptions!$B$64</f>
        <v/>
      </c>
      <c r="Q9" s="21">
        <f>MAX(0,M9-I9-O9)</f>
        <v/>
      </c>
      <c r="R9" s="21">
        <f>MAX(0,E9-I9-N9)</f>
        <v/>
      </c>
      <c r="S9" s="21">
        <f>R9*(1-Assumptions!$B$65)</f>
        <v/>
      </c>
      <c r="T9" s="21">
        <f>R9*Assumptions!$B$65</f>
        <v/>
      </c>
      <c r="U9" s="21">
        <f>I9+O9+S9</f>
        <v/>
      </c>
      <c r="V9" s="21">
        <f>P9+T9</f>
        <v/>
      </c>
      <c r="W9" s="21">
        <f>(1-Assumptions!$B$62)*(U9-D9)</f>
        <v/>
      </c>
      <c r="X9" s="21">
        <f>Assumptions!$B$62*(U9-D9)+V9</f>
        <v/>
      </c>
    </row>
    <row r="10">
      <c r="A10" s="42">
        <f>CashFlow!A10</f>
        <v/>
      </c>
      <c r="B10" s="43">
        <f>CashFlow!B10</f>
        <v/>
      </c>
      <c r="C10" s="31">
        <f>CashFlow!AC10</f>
        <v/>
      </c>
      <c r="D10" s="21">
        <f>MAX(0,-C10)</f>
        <v/>
      </c>
      <c r="E10" s="21">
        <f>MAX(0,C10)</f>
        <v/>
      </c>
      <c r="F10" s="21">
        <f>J9</f>
        <v/>
      </c>
      <c r="G10" s="21">
        <f>F10*Assumptions!$B$63/12</f>
        <v/>
      </c>
      <c r="H10" s="21">
        <f>F10+G10+D10</f>
        <v/>
      </c>
      <c r="I10" s="21">
        <f>MIN(E10,H10)</f>
        <v/>
      </c>
      <c r="J10" s="21">
        <f>H10-I10</f>
        <v/>
      </c>
      <c r="K10" s="21">
        <f>Q9</f>
        <v/>
      </c>
      <c r="L10" s="21">
        <f>K10*Assumptions!$B$66/12</f>
        <v/>
      </c>
      <c r="M10" s="21">
        <f>K10+L10+D10</f>
        <v/>
      </c>
      <c r="N10" s="21">
        <f>MIN(MAX(0,E10-I10),MAX(0,M10-I10)/(1-Assumptions!$B$64))</f>
        <v/>
      </c>
      <c r="O10" s="21">
        <f>N10*(1-Assumptions!$B$64)</f>
        <v/>
      </c>
      <c r="P10" s="21">
        <f>N10*Assumptions!$B$64</f>
        <v/>
      </c>
      <c r="Q10" s="21">
        <f>MAX(0,M10-I10-O10)</f>
        <v/>
      </c>
      <c r="R10" s="21">
        <f>MAX(0,E10-I10-N10)</f>
        <v/>
      </c>
      <c r="S10" s="21">
        <f>R10*(1-Assumptions!$B$65)</f>
        <v/>
      </c>
      <c r="T10" s="21">
        <f>R10*Assumptions!$B$65</f>
        <v/>
      </c>
      <c r="U10" s="21">
        <f>I10+O10+S10</f>
        <v/>
      </c>
      <c r="V10" s="21">
        <f>P10+T10</f>
        <v/>
      </c>
      <c r="W10" s="21">
        <f>(1-Assumptions!$B$62)*(U10-D10)</f>
        <v/>
      </c>
      <c r="X10" s="21">
        <f>Assumptions!$B$62*(U10-D10)+V10</f>
        <v/>
      </c>
    </row>
    <row r="11">
      <c r="A11" s="42">
        <f>CashFlow!A11</f>
        <v/>
      </c>
      <c r="B11" s="43">
        <f>CashFlow!B11</f>
        <v/>
      </c>
      <c r="C11" s="31">
        <f>CashFlow!AC11</f>
        <v/>
      </c>
      <c r="D11" s="21">
        <f>MAX(0,-C11)</f>
        <v/>
      </c>
      <c r="E11" s="21">
        <f>MAX(0,C11)</f>
        <v/>
      </c>
      <c r="F11" s="21">
        <f>J10</f>
        <v/>
      </c>
      <c r="G11" s="21">
        <f>F11*Assumptions!$B$63/12</f>
        <v/>
      </c>
      <c r="H11" s="21">
        <f>F11+G11+D11</f>
        <v/>
      </c>
      <c r="I11" s="21">
        <f>MIN(E11,H11)</f>
        <v/>
      </c>
      <c r="J11" s="21">
        <f>H11-I11</f>
        <v/>
      </c>
      <c r="K11" s="21">
        <f>Q10</f>
        <v/>
      </c>
      <c r="L11" s="21">
        <f>K11*Assumptions!$B$66/12</f>
        <v/>
      </c>
      <c r="M11" s="21">
        <f>K11+L11+D11</f>
        <v/>
      </c>
      <c r="N11" s="21">
        <f>MIN(MAX(0,E11-I11),MAX(0,M11-I11)/(1-Assumptions!$B$64))</f>
        <v/>
      </c>
      <c r="O11" s="21">
        <f>N11*(1-Assumptions!$B$64)</f>
        <v/>
      </c>
      <c r="P11" s="21">
        <f>N11*Assumptions!$B$64</f>
        <v/>
      </c>
      <c r="Q11" s="21">
        <f>MAX(0,M11-I11-O11)</f>
        <v/>
      </c>
      <c r="R11" s="21">
        <f>MAX(0,E11-I11-N11)</f>
        <v/>
      </c>
      <c r="S11" s="21">
        <f>R11*(1-Assumptions!$B$65)</f>
        <v/>
      </c>
      <c r="T11" s="21">
        <f>R11*Assumptions!$B$65</f>
        <v/>
      </c>
      <c r="U11" s="21">
        <f>I11+O11+S11</f>
        <v/>
      </c>
      <c r="V11" s="21">
        <f>P11+T11</f>
        <v/>
      </c>
      <c r="W11" s="21">
        <f>(1-Assumptions!$B$62)*(U11-D11)</f>
        <v/>
      </c>
      <c r="X11" s="21">
        <f>Assumptions!$B$62*(U11-D11)+V11</f>
        <v/>
      </c>
    </row>
    <row r="12">
      <c r="A12" s="42">
        <f>CashFlow!A12</f>
        <v/>
      </c>
      <c r="B12" s="43">
        <f>CashFlow!B12</f>
        <v/>
      </c>
      <c r="C12" s="31">
        <f>CashFlow!AC12</f>
        <v/>
      </c>
      <c r="D12" s="21">
        <f>MAX(0,-C12)</f>
        <v/>
      </c>
      <c r="E12" s="21">
        <f>MAX(0,C12)</f>
        <v/>
      </c>
      <c r="F12" s="21">
        <f>J11</f>
        <v/>
      </c>
      <c r="G12" s="21">
        <f>F12*Assumptions!$B$63/12</f>
        <v/>
      </c>
      <c r="H12" s="21">
        <f>F12+G12+D12</f>
        <v/>
      </c>
      <c r="I12" s="21">
        <f>MIN(E12,H12)</f>
        <v/>
      </c>
      <c r="J12" s="21">
        <f>H12-I12</f>
        <v/>
      </c>
      <c r="K12" s="21">
        <f>Q11</f>
        <v/>
      </c>
      <c r="L12" s="21">
        <f>K12*Assumptions!$B$66/12</f>
        <v/>
      </c>
      <c r="M12" s="21">
        <f>K12+L12+D12</f>
        <v/>
      </c>
      <c r="N12" s="21">
        <f>MIN(MAX(0,E12-I12),MAX(0,M12-I12)/(1-Assumptions!$B$64))</f>
        <v/>
      </c>
      <c r="O12" s="21">
        <f>N12*(1-Assumptions!$B$64)</f>
        <v/>
      </c>
      <c r="P12" s="21">
        <f>N12*Assumptions!$B$64</f>
        <v/>
      </c>
      <c r="Q12" s="21">
        <f>MAX(0,M12-I12-O12)</f>
        <v/>
      </c>
      <c r="R12" s="21">
        <f>MAX(0,E12-I12-N12)</f>
        <v/>
      </c>
      <c r="S12" s="21">
        <f>R12*(1-Assumptions!$B$65)</f>
        <v/>
      </c>
      <c r="T12" s="21">
        <f>R12*Assumptions!$B$65</f>
        <v/>
      </c>
      <c r="U12" s="21">
        <f>I12+O12+S12</f>
        <v/>
      </c>
      <c r="V12" s="21">
        <f>P12+T12</f>
        <v/>
      </c>
      <c r="W12" s="21">
        <f>(1-Assumptions!$B$62)*(U12-D12)</f>
        <v/>
      </c>
      <c r="X12" s="21">
        <f>Assumptions!$B$62*(U12-D12)+V12</f>
        <v/>
      </c>
    </row>
    <row r="13">
      <c r="A13" s="42">
        <f>CashFlow!A13</f>
        <v/>
      </c>
      <c r="B13" s="43">
        <f>CashFlow!B13</f>
        <v/>
      </c>
      <c r="C13" s="31">
        <f>CashFlow!AC13</f>
        <v/>
      </c>
      <c r="D13" s="21">
        <f>MAX(0,-C13)</f>
        <v/>
      </c>
      <c r="E13" s="21">
        <f>MAX(0,C13)</f>
        <v/>
      </c>
      <c r="F13" s="21">
        <f>J12</f>
        <v/>
      </c>
      <c r="G13" s="21">
        <f>F13*Assumptions!$B$63/12</f>
        <v/>
      </c>
      <c r="H13" s="21">
        <f>F13+G13+D13</f>
        <v/>
      </c>
      <c r="I13" s="21">
        <f>MIN(E13,H13)</f>
        <v/>
      </c>
      <c r="J13" s="21">
        <f>H13-I13</f>
        <v/>
      </c>
      <c r="K13" s="21">
        <f>Q12</f>
        <v/>
      </c>
      <c r="L13" s="21">
        <f>K13*Assumptions!$B$66/12</f>
        <v/>
      </c>
      <c r="M13" s="21">
        <f>K13+L13+D13</f>
        <v/>
      </c>
      <c r="N13" s="21">
        <f>MIN(MAX(0,E13-I13),MAX(0,M13-I13)/(1-Assumptions!$B$64))</f>
        <v/>
      </c>
      <c r="O13" s="21">
        <f>N13*(1-Assumptions!$B$64)</f>
        <v/>
      </c>
      <c r="P13" s="21">
        <f>N13*Assumptions!$B$64</f>
        <v/>
      </c>
      <c r="Q13" s="21">
        <f>MAX(0,M13-I13-O13)</f>
        <v/>
      </c>
      <c r="R13" s="21">
        <f>MAX(0,E13-I13-N13)</f>
        <v/>
      </c>
      <c r="S13" s="21">
        <f>R13*(1-Assumptions!$B$65)</f>
        <v/>
      </c>
      <c r="T13" s="21">
        <f>R13*Assumptions!$B$65</f>
        <v/>
      </c>
      <c r="U13" s="21">
        <f>I13+O13+S13</f>
        <v/>
      </c>
      <c r="V13" s="21">
        <f>P13+T13</f>
        <v/>
      </c>
      <c r="W13" s="21">
        <f>(1-Assumptions!$B$62)*(U13-D13)</f>
        <v/>
      </c>
      <c r="X13" s="21">
        <f>Assumptions!$B$62*(U13-D13)+V13</f>
        <v/>
      </c>
    </row>
    <row r="14">
      <c r="A14" s="42">
        <f>CashFlow!A14</f>
        <v/>
      </c>
      <c r="B14" s="43">
        <f>CashFlow!B14</f>
        <v/>
      </c>
      <c r="C14" s="31">
        <f>CashFlow!AC14</f>
        <v/>
      </c>
      <c r="D14" s="21">
        <f>MAX(0,-C14)</f>
        <v/>
      </c>
      <c r="E14" s="21">
        <f>MAX(0,C14)</f>
        <v/>
      </c>
      <c r="F14" s="21">
        <f>J13</f>
        <v/>
      </c>
      <c r="G14" s="21">
        <f>F14*Assumptions!$B$63/12</f>
        <v/>
      </c>
      <c r="H14" s="21">
        <f>F14+G14+D14</f>
        <v/>
      </c>
      <c r="I14" s="21">
        <f>MIN(E14,H14)</f>
        <v/>
      </c>
      <c r="J14" s="21">
        <f>H14-I14</f>
        <v/>
      </c>
      <c r="K14" s="21">
        <f>Q13</f>
        <v/>
      </c>
      <c r="L14" s="21">
        <f>K14*Assumptions!$B$66/12</f>
        <v/>
      </c>
      <c r="M14" s="21">
        <f>K14+L14+D14</f>
        <v/>
      </c>
      <c r="N14" s="21">
        <f>MIN(MAX(0,E14-I14),MAX(0,M14-I14)/(1-Assumptions!$B$64))</f>
        <v/>
      </c>
      <c r="O14" s="21">
        <f>N14*(1-Assumptions!$B$64)</f>
        <v/>
      </c>
      <c r="P14" s="21">
        <f>N14*Assumptions!$B$64</f>
        <v/>
      </c>
      <c r="Q14" s="21">
        <f>MAX(0,M14-I14-O14)</f>
        <v/>
      </c>
      <c r="R14" s="21">
        <f>MAX(0,E14-I14-N14)</f>
        <v/>
      </c>
      <c r="S14" s="21">
        <f>R14*(1-Assumptions!$B$65)</f>
        <v/>
      </c>
      <c r="T14" s="21">
        <f>R14*Assumptions!$B$65</f>
        <v/>
      </c>
      <c r="U14" s="21">
        <f>I14+O14+S14</f>
        <v/>
      </c>
      <c r="V14" s="21">
        <f>P14+T14</f>
        <v/>
      </c>
      <c r="W14" s="21">
        <f>(1-Assumptions!$B$62)*(U14-D14)</f>
        <v/>
      </c>
      <c r="X14" s="21">
        <f>Assumptions!$B$62*(U14-D14)+V14</f>
        <v/>
      </c>
    </row>
    <row r="15">
      <c r="A15" s="42">
        <f>CashFlow!A15</f>
        <v/>
      </c>
      <c r="B15" s="43">
        <f>CashFlow!B15</f>
        <v/>
      </c>
      <c r="C15" s="31">
        <f>CashFlow!AC15</f>
        <v/>
      </c>
      <c r="D15" s="21">
        <f>MAX(0,-C15)</f>
        <v/>
      </c>
      <c r="E15" s="21">
        <f>MAX(0,C15)</f>
        <v/>
      </c>
      <c r="F15" s="21">
        <f>J14</f>
        <v/>
      </c>
      <c r="G15" s="21">
        <f>F15*Assumptions!$B$63/12</f>
        <v/>
      </c>
      <c r="H15" s="21">
        <f>F15+G15+D15</f>
        <v/>
      </c>
      <c r="I15" s="21">
        <f>MIN(E15,H15)</f>
        <v/>
      </c>
      <c r="J15" s="21">
        <f>H15-I15</f>
        <v/>
      </c>
      <c r="K15" s="21">
        <f>Q14</f>
        <v/>
      </c>
      <c r="L15" s="21">
        <f>K15*Assumptions!$B$66/12</f>
        <v/>
      </c>
      <c r="M15" s="21">
        <f>K15+L15+D15</f>
        <v/>
      </c>
      <c r="N15" s="21">
        <f>MIN(MAX(0,E15-I15),MAX(0,M15-I15)/(1-Assumptions!$B$64))</f>
        <v/>
      </c>
      <c r="O15" s="21">
        <f>N15*(1-Assumptions!$B$64)</f>
        <v/>
      </c>
      <c r="P15" s="21">
        <f>N15*Assumptions!$B$64</f>
        <v/>
      </c>
      <c r="Q15" s="21">
        <f>MAX(0,M15-I15-O15)</f>
        <v/>
      </c>
      <c r="R15" s="21">
        <f>MAX(0,E15-I15-N15)</f>
        <v/>
      </c>
      <c r="S15" s="21">
        <f>R15*(1-Assumptions!$B$65)</f>
        <v/>
      </c>
      <c r="T15" s="21">
        <f>R15*Assumptions!$B$65</f>
        <v/>
      </c>
      <c r="U15" s="21">
        <f>I15+O15+S15</f>
        <v/>
      </c>
      <c r="V15" s="21">
        <f>P15+T15</f>
        <v/>
      </c>
      <c r="W15" s="21">
        <f>(1-Assumptions!$B$62)*(U15-D15)</f>
        <v/>
      </c>
      <c r="X15" s="21">
        <f>Assumptions!$B$62*(U15-D15)+V15</f>
        <v/>
      </c>
    </row>
    <row r="16">
      <c r="A16" s="42">
        <f>CashFlow!A16</f>
        <v/>
      </c>
      <c r="B16" s="43">
        <f>CashFlow!B16</f>
        <v/>
      </c>
      <c r="C16" s="31">
        <f>CashFlow!AC16</f>
        <v/>
      </c>
      <c r="D16" s="21">
        <f>MAX(0,-C16)</f>
        <v/>
      </c>
      <c r="E16" s="21">
        <f>MAX(0,C16)</f>
        <v/>
      </c>
      <c r="F16" s="21">
        <f>J15</f>
        <v/>
      </c>
      <c r="G16" s="21">
        <f>F16*Assumptions!$B$63/12</f>
        <v/>
      </c>
      <c r="H16" s="21">
        <f>F16+G16+D16</f>
        <v/>
      </c>
      <c r="I16" s="21">
        <f>MIN(E16,H16)</f>
        <v/>
      </c>
      <c r="J16" s="21">
        <f>H16-I16</f>
        <v/>
      </c>
      <c r="K16" s="21">
        <f>Q15</f>
        <v/>
      </c>
      <c r="L16" s="21">
        <f>K16*Assumptions!$B$66/12</f>
        <v/>
      </c>
      <c r="M16" s="21">
        <f>K16+L16+D16</f>
        <v/>
      </c>
      <c r="N16" s="21">
        <f>MIN(MAX(0,E16-I16),MAX(0,M16-I16)/(1-Assumptions!$B$64))</f>
        <v/>
      </c>
      <c r="O16" s="21">
        <f>N16*(1-Assumptions!$B$64)</f>
        <v/>
      </c>
      <c r="P16" s="21">
        <f>N16*Assumptions!$B$64</f>
        <v/>
      </c>
      <c r="Q16" s="21">
        <f>MAX(0,M16-I16-O16)</f>
        <v/>
      </c>
      <c r="R16" s="21">
        <f>MAX(0,E16-I16-N16)</f>
        <v/>
      </c>
      <c r="S16" s="21">
        <f>R16*(1-Assumptions!$B$65)</f>
        <v/>
      </c>
      <c r="T16" s="21">
        <f>R16*Assumptions!$B$65</f>
        <v/>
      </c>
      <c r="U16" s="21">
        <f>I16+O16+S16</f>
        <v/>
      </c>
      <c r="V16" s="21">
        <f>P16+T16</f>
        <v/>
      </c>
      <c r="W16" s="21">
        <f>(1-Assumptions!$B$62)*(U16-D16)</f>
        <v/>
      </c>
      <c r="X16" s="21">
        <f>Assumptions!$B$62*(U16-D16)+V16</f>
        <v/>
      </c>
    </row>
    <row r="17">
      <c r="A17" s="42">
        <f>CashFlow!A17</f>
        <v/>
      </c>
      <c r="B17" s="43">
        <f>CashFlow!B17</f>
        <v/>
      </c>
      <c r="C17" s="31">
        <f>CashFlow!AC17</f>
        <v/>
      </c>
      <c r="D17" s="21">
        <f>MAX(0,-C17)</f>
        <v/>
      </c>
      <c r="E17" s="21">
        <f>MAX(0,C17)</f>
        <v/>
      </c>
      <c r="F17" s="21">
        <f>J16</f>
        <v/>
      </c>
      <c r="G17" s="21">
        <f>F17*Assumptions!$B$63/12</f>
        <v/>
      </c>
      <c r="H17" s="21">
        <f>F17+G17+D17</f>
        <v/>
      </c>
      <c r="I17" s="21">
        <f>MIN(E17,H17)</f>
        <v/>
      </c>
      <c r="J17" s="21">
        <f>H17-I17</f>
        <v/>
      </c>
      <c r="K17" s="21">
        <f>Q16</f>
        <v/>
      </c>
      <c r="L17" s="21">
        <f>K17*Assumptions!$B$66/12</f>
        <v/>
      </c>
      <c r="M17" s="21">
        <f>K17+L17+D17</f>
        <v/>
      </c>
      <c r="N17" s="21">
        <f>MIN(MAX(0,E17-I17),MAX(0,M17-I17)/(1-Assumptions!$B$64))</f>
        <v/>
      </c>
      <c r="O17" s="21">
        <f>N17*(1-Assumptions!$B$64)</f>
        <v/>
      </c>
      <c r="P17" s="21">
        <f>N17*Assumptions!$B$64</f>
        <v/>
      </c>
      <c r="Q17" s="21">
        <f>MAX(0,M17-I17-O17)</f>
        <v/>
      </c>
      <c r="R17" s="21">
        <f>MAX(0,E17-I17-N17)</f>
        <v/>
      </c>
      <c r="S17" s="21">
        <f>R17*(1-Assumptions!$B$65)</f>
        <v/>
      </c>
      <c r="T17" s="21">
        <f>R17*Assumptions!$B$65</f>
        <v/>
      </c>
      <c r="U17" s="21">
        <f>I17+O17+S17</f>
        <v/>
      </c>
      <c r="V17" s="21">
        <f>P17+T17</f>
        <v/>
      </c>
      <c r="W17" s="21">
        <f>(1-Assumptions!$B$62)*(U17-D17)</f>
        <v/>
      </c>
      <c r="X17" s="21">
        <f>Assumptions!$B$62*(U17-D17)+V17</f>
        <v/>
      </c>
    </row>
    <row r="18">
      <c r="A18" s="42">
        <f>CashFlow!A18</f>
        <v/>
      </c>
      <c r="B18" s="43">
        <f>CashFlow!B18</f>
        <v/>
      </c>
      <c r="C18" s="31">
        <f>CashFlow!AC18</f>
        <v/>
      </c>
      <c r="D18" s="21">
        <f>MAX(0,-C18)</f>
        <v/>
      </c>
      <c r="E18" s="21">
        <f>MAX(0,C18)</f>
        <v/>
      </c>
      <c r="F18" s="21">
        <f>J17</f>
        <v/>
      </c>
      <c r="G18" s="21">
        <f>F18*Assumptions!$B$63/12</f>
        <v/>
      </c>
      <c r="H18" s="21">
        <f>F18+G18+D18</f>
        <v/>
      </c>
      <c r="I18" s="21">
        <f>MIN(E18,H18)</f>
        <v/>
      </c>
      <c r="J18" s="21">
        <f>H18-I18</f>
        <v/>
      </c>
      <c r="K18" s="21">
        <f>Q17</f>
        <v/>
      </c>
      <c r="L18" s="21">
        <f>K18*Assumptions!$B$66/12</f>
        <v/>
      </c>
      <c r="M18" s="21">
        <f>K18+L18+D18</f>
        <v/>
      </c>
      <c r="N18" s="21">
        <f>MIN(MAX(0,E18-I18),MAX(0,M18-I18)/(1-Assumptions!$B$64))</f>
        <v/>
      </c>
      <c r="O18" s="21">
        <f>N18*(1-Assumptions!$B$64)</f>
        <v/>
      </c>
      <c r="P18" s="21">
        <f>N18*Assumptions!$B$64</f>
        <v/>
      </c>
      <c r="Q18" s="21">
        <f>MAX(0,M18-I18-O18)</f>
        <v/>
      </c>
      <c r="R18" s="21">
        <f>MAX(0,E18-I18-N18)</f>
        <v/>
      </c>
      <c r="S18" s="21">
        <f>R18*(1-Assumptions!$B$65)</f>
        <v/>
      </c>
      <c r="T18" s="21">
        <f>R18*Assumptions!$B$65</f>
        <v/>
      </c>
      <c r="U18" s="21">
        <f>I18+O18+S18</f>
        <v/>
      </c>
      <c r="V18" s="21">
        <f>P18+T18</f>
        <v/>
      </c>
      <c r="W18" s="21">
        <f>(1-Assumptions!$B$62)*(U18-D18)</f>
        <v/>
      </c>
      <c r="X18" s="21">
        <f>Assumptions!$B$62*(U18-D18)+V18</f>
        <v/>
      </c>
    </row>
    <row r="19">
      <c r="A19" s="42">
        <f>CashFlow!A19</f>
        <v/>
      </c>
      <c r="B19" s="43">
        <f>CashFlow!B19</f>
        <v/>
      </c>
      <c r="C19" s="31">
        <f>CashFlow!AC19</f>
        <v/>
      </c>
      <c r="D19" s="21">
        <f>MAX(0,-C19)</f>
        <v/>
      </c>
      <c r="E19" s="21">
        <f>MAX(0,C19)</f>
        <v/>
      </c>
      <c r="F19" s="21">
        <f>J18</f>
        <v/>
      </c>
      <c r="G19" s="21">
        <f>F19*Assumptions!$B$63/12</f>
        <v/>
      </c>
      <c r="H19" s="21">
        <f>F19+G19+D19</f>
        <v/>
      </c>
      <c r="I19" s="21">
        <f>MIN(E19,H19)</f>
        <v/>
      </c>
      <c r="J19" s="21">
        <f>H19-I19</f>
        <v/>
      </c>
      <c r="K19" s="21">
        <f>Q18</f>
        <v/>
      </c>
      <c r="L19" s="21">
        <f>K19*Assumptions!$B$66/12</f>
        <v/>
      </c>
      <c r="M19" s="21">
        <f>K19+L19+D19</f>
        <v/>
      </c>
      <c r="N19" s="21">
        <f>MIN(MAX(0,E19-I19),MAX(0,M19-I19)/(1-Assumptions!$B$64))</f>
        <v/>
      </c>
      <c r="O19" s="21">
        <f>N19*(1-Assumptions!$B$64)</f>
        <v/>
      </c>
      <c r="P19" s="21">
        <f>N19*Assumptions!$B$64</f>
        <v/>
      </c>
      <c r="Q19" s="21">
        <f>MAX(0,M19-I19-O19)</f>
        <v/>
      </c>
      <c r="R19" s="21">
        <f>MAX(0,E19-I19-N19)</f>
        <v/>
      </c>
      <c r="S19" s="21">
        <f>R19*(1-Assumptions!$B$65)</f>
        <v/>
      </c>
      <c r="T19" s="21">
        <f>R19*Assumptions!$B$65</f>
        <v/>
      </c>
      <c r="U19" s="21">
        <f>I19+O19+S19</f>
        <v/>
      </c>
      <c r="V19" s="21">
        <f>P19+T19</f>
        <v/>
      </c>
      <c r="W19" s="21">
        <f>(1-Assumptions!$B$62)*(U19-D19)</f>
        <v/>
      </c>
      <c r="X19" s="21">
        <f>Assumptions!$B$62*(U19-D19)+V19</f>
        <v/>
      </c>
    </row>
    <row r="20">
      <c r="A20" s="42">
        <f>CashFlow!A20</f>
        <v/>
      </c>
      <c r="B20" s="43">
        <f>CashFlow!B20</f>
        <v/>
      </c>
      <c r="C20" s="31">
        <f>CashFlow!AC20</f>
        <v/>
      </c>
      <c r="D20" s="21">
        <f>MAX(0,-C20)</f>
        <v/>
      </c>
      <c r="E20" s="21">
        <f>MAX(0,C20)</f>
        <v/>
      </c>
      <c r="F20" s="21">
        <f>J19</f>
        <v/>
      </c>
      <c r="G20" s="21">
        <f>F20*Assumptions!$B$63/12</f>
        <v/>
      </c>
      <c r="H20" s="21">
        <f>F20+G20+D20</f>
        <v/>
      </c>
      <c r="I20" s="21">
        <f>MIN(E20,H20)</f>
        <v/>
      </c>
      <c r="J20" s="21">
        <f>H20-I20</f>
        <v/>
      </c>
      <c r="K20" s="21">
        <f>Q19</f>
        <v/>
      </c>
      <c r="L20" s="21">
        <f>K20*Assumptions!$B$66/12</f>
        <v/>
      </c>
      <c r="M20" s="21">
        <f>K20+L20+D20</f>
        <v/>
      </c>
      <c r="N20" s="21">
        <f>MIN(MAX(0,E20-I20),MAX(0,M20-I20)/(1-Assumptions!$B$64))</f>
        <v/>
      </c>
      <c r="O20" s="21">
        <f>N20*(1-Assumptions!$B$64)</f>
        <v/>
      </c>
      <c r="P20" s="21">
        <f>N20*Assumptions!$B$64</f>
        <v/>
      </c>
      <c r="Q20" s="21">
        <f>MAX(0,M20-I20-O20)</f>
        <v/>
      </c>
      <c r="R20" s="21">
        <f>MAX(0,E20-I20-N20)</f>
        <v/>
      </c>
      <c r="S20" s="21">
        <f>R20*(1-Assumptions!$B$65)</f>
        <v/>
      </c>
      <c r="T20" s="21">
        <f>R20*Assumptions!$B$65</f>
        <v/>
      </c>
      <c r="U20" s="21">
        <f>I20+O20+S20</f>
        <v/>
      </c>
      <c r="V20" s="21">
        <f>P20+T20</f>
        <v/>
      </c>
      <c r="W20" s="21">
        <f>(1-Assumptions!$B$62)*(U20-D20)</f>
        <v/>
      </c>
      <c r="X20" s="21">
        <f>Assumptions!$B$62*(U20-D20)+V20</f>
        <v/>
      </c>
    </row>
    <row r="21">
      <c r="A21" s="42">
        <f>CashFlow!A21</f>
        <v/>
      </c>
      <c r="B21" s="43">
        <f>CashFlow!B21</f>
        <v/>
      </c>
      <c r="C21" s="31">
        <f>CashFlow!AC21</f>
        <v/>
      </c>
      <c r="D21" s="21">
        <f>MAX(0,-C21)</f>
        <v/>
      </c>
      <c r="E21" s="21">
        <f>MAX(0,C21)</f>
        <v/>
      </c>
      <c r="F21" s="21">
        <f>J20</f>
        <v/>
      </c>
      <c r="G21" s="21">
        <f>F21*Assumptions!$B$63/12</f>
        <v/>
      </c>
      <c r="H21" s="21">
        <f>F21+G21+D21</f>
        <v/>
      </c>
      <c r="I21" s="21">
        <f>MIN(E21,H21)</f>
        <v/>
      </c>
      <c r="J21" s="21">
        <f>H21-I21</f>
        <v/>
      </c>
      <c r="K21" s="21">
        <f>Q20</f>
        <v/>
      </c>
      <c r="L21" s="21">
        <f>K21*Assumptions!$B$66/12</f>
        <v/>
      </c>
      <c r="M21" s="21">
        <f>K21+L21+D21</f>
        <v/>
      </c>
      <c r="N21" s="21">
        <f>MIN(MAX(0,E21-I21),MAX(0,M21-I21)/(1-Assumptions!$B$64))</f>
        <v/>
      </c>
      <c r="O21" s="21">
        <f>N21*(1-Assumptions!$B$64)</f>
        <v/>
      </c>
      <c r="P21" s="21">
        <f>N21*Assumptions!$B$64</f>
        <v/>
      </c>
      <c r="Q21" s="21">
        <f>MAX(0,M21-I21-O21)</f>
        <v/>
      </c>
      <c r="R21" s="21">
        <f>MAX(0,E21-I21-N21)</f>
        <v/>
      </c>
      <c r="S21" s="21">
        <f>R21*(1-Assumptions!$B$65)</f>
        <v/>
      </c>
      <c r="T21" s="21">
        <f>R21*Assumptions!$B$65</f>
        <v/>
      </c>
      <c r="U21" s="21">
        <f>I21+O21+S21</f>
        <v/>
      </c>
      <c r="V21" s="21">
        <f>P21+T21</f>
        <v/>
      </c>
      <c r="W21" s="21">
        <f>(1-Assumptions!$B$62)*(U21-D21)</f>
        <v/>
      </c>
      <c r="X21" s="21">
        <f>Assumptions!$B$62*(U21-D21)+V21</f>
        <v/>
      </c>
    </row>
    <row r="22">
      <c r="A22" s="42">
        <f>CashFlow!A22</f>
        <v/>
      </c>
      <c r="B22" s="43">
        <f>CashFlow!B22</f>
        <v/>
      </c>
      <c r="C22" s="31">
        <f>CashFlow!AC22</f>
        <v/>
      </c>
      <c r="D22" s="21">
        <f>MAX(0,-C22)</f>
        <v/>
      </c>
      <c r="E22" s="21">
        <f>MAX(0,C22)</f>
        <v/>
      </c>
      <c r="F22" s="21">
        <f>J21</f>
        <v/>
      </c>
      <c r="G22" s="21">
        <f>F22*Assumptions!$B$63/12</f>
        <v/>
      </c>
      <c r="H22" s="21">
        <f>F22+G22+D22</f>
        <v/>
      </c>
      <c r="I22" s="21">
        <f>MIN(E22,H22)</f>
        <v/>
      </c>
      <c r="J22" s="21">
        <f>H22-I22</f>
        <v/>
      </c>
      <c r="K22" s="21">
        <f>Q21</f>
        <v/>
      </c>
      <c r="L22" s="21">
        <f>K22*Assumptions!$B$66/12</f>
        <v/>
      </c>
      <c r="M22" s="21">
        <f>K22+L22+D22</f>
        <v/>
      </c>
      <c r="N22" s="21">
        <f>MIN(MAX(0,E22-I22),MAX(0,M22-I22)/(1-Assumptions!$B$64))</f>
        <v/>
      </c>
      <c r="O22" s="21">
        <f>N22*(1-Assumptions!$B$64)</f>
        <v/>
      </c>
      <c r="P22" s="21">
        <f>N22*Assumptions!$B$64</f>
        <v/>
      </c>
      <c r="Q22" s="21">
        <f>MAX(0,M22-I22-O22)</f>
        <v/>
      </c>
      <c r="R22" s="21">
        <f>MAX(0,E22-I22-N22)</f>
        <v/>
      </c>
      <c r="S22" s="21">
        <f>R22*(1-Assumptions!$B$65)</f>
        <v/>
      </c>
      <c r="T22" s="21">
        <f>R22*Assumptions!$B$65</f>
        <v/>
      </c>
      <c r="U22" s="21">
        <f>I22+O22+S22</f>
        <v/>
      </c>
      <c r="V22" s="21">
        <f>P22+T22</f>
        <v/>
      </c>
      <c r="W22" s="21">
        <f>(1-Assumptions!$B$62)*(U22-D22)</f>
        <v/>
      </c>
      <c r="X22" s="21">
        <f>Assumptions!$B$62*(U22-D22)+V22</f>
        <v/>
      </c>
    </row>
    <row r="23">
      <c r="A23" s="42">
        <f>CashFlow!A23</f>
        <v/>
      </c>
      <c r="B23" s="43">
        <f>CashFlow!B23</f>
        <v/>
      </c>
      <c r="C23" s="31">
        <f>CashFlow!AC23</f>
        <v/>
      </c>
      <c r="D23" s="21">
        <f>MAX(0,-C23)</f>
        <v/>
      </c>
      <c r="E23" s="21">
        <f>MAX(0,C23)</f>
        <v/>
      </c>
      <c r="F23" s="21">
        <f>J22</f>
        <v/>
      </c>
      <c r="G23" s="21">
        <f>F23*Assumptions!$B$63/12</f>
        <v/>
      </c>
      <c r="H23" s="21">
        <f>F23+G23+D23</f>
        <v/>
      </c>
      <c r="I23" s="21">
        <f>MIN(E23,H23)</f>
        <v/>
      </c>
      <c r="J23" s="21">
        <f>H23-I23</f>
        <v/>
      </c>
      <c r="K23" s="21">
        <f>Q22</f>
        <v/>
      </c>
      <c r="L23" s="21">
        <f>K23*Assumptions!$B$66/12</f>
        <v/>
      </c>
      <c r="M23" s="21">
        <f>K23+L23+D23</f>
        <v/>
      </c>
      <c r="N23" s="21">
        <f>MIN(MAX(0,E23-I23),MAX(0,M23-I23)/(1-Assumptions!$B$64))</f>
        <v/>
      </c>
      <c r="O23" s="21">
        <f>N23*(1-Assumptions!$B$64)</f>
        <v/>
      </c>
      <c r="P23" s="21">
        <f>N23*Assumptions!$B$64</f>
        <v/>
      </c>
      <c r="Q23" s="21">
        <f>MAX(0,M23-I23-O23)</f>
        <v/>
      </c>
      <c r="R23" s="21">
        <f>MAX(0,E23-I23-N23)</f>
        <v/>
      </c>
      <c r="S23" s="21">
        <f>R23*(1-Assumptions!$B$65)</f>
        <v/>
      </c>
      <c r="T23" s="21">
        <f>R23*Assumptions!$B$65</f>
        <v/>
      </c>
      <c r="U23" s="21">
        <f>I23+O23+S23</f>
        <v/>
      </c>
      <c r="V23" s="21">
        <f>P23+T23</f>
        <v/>
      </c>
      <c r="W23" s="21">
        <f>(1-Assumptions!$B$62)*(U23-D23)</f>
        <v/>
      </c>
      <c r="X23" s="21">
        <f>Assumptions!$B$62*(U23-D23)+V23</f>
        <v/>
      </c>
    </row>
    <row r="24">
      <c r="A24" s="42">
        <f>CashFlow!A24</f>
        <v/>
      </c>
      <c r="B24" s="43">
        <f>CashFlow!B24</f>
        <v/>
      </c>
      <c r="C24" s="31">
        <f>CashFlow!AC24</f>
        <v/>
      </c>
      <c r="D24" s="21">
        <f>MAX(0,-C24)</f>
        <v/>
      </c>
      <c r="E24" s="21">
        <f>MAX(0,C24)</f>
        <v/>
      </c>
      <c r="F24" s="21">
        <f>J23</f>
        <v/>
      </c>
      <c r="G24" s="21">
        <f>F24*Assumptions!$B$63/12</f>
        <v/>
      </c>
      <c r="H24" s="21">
        <f>F24+G24+D24</f>
        <v/>
      </c>
      <c r="I24" s="21">
        <f>MIN(E24,H24)</f>
        <v/>
      </c>
      <c r="J24" s="21">
        <f>H24-I24</f>
        <v/>
      </c>
      <c r="K24" s="21">
        <f>Q23</f>
        <v/>
      </c>
      <c r="L24" s="21">
        <f>K24*Assumptions!$B$66/12</f>
        <v/>
      </c>
      <c r="M24" s="21">
        <f>K24+L24+D24</f>
        <v/>
      </c>
      <c r="N24" s="21">
        <f>MIN(MAX(0,E24-I24),MAX(0,M24-I24)/(1-Assumptions!$B$64))</f>
        <v/>
      </c>
      <c r="O24" s="21">
        <f>N24*(1-Assumptions!$B$64)</f>
        <v/>
      </c>
      <c r="P24" s="21">
        <f>N24*Assumptions!$B$64</f>
        <v/>
      </c>
      <c r="Q24" s="21">
        <f>MAX(0,M24-I24-O24)</f>
        <v/>
      </c>
      <c r="R24" s="21">
        <f>MAX(0,E24-I24-N24)</f>
        <v/>
      </c>
      <c r="S24" s="21">
        <f>R24*(1-Assumptions!$B$65)</f>
        <v/>
      </c>
      <c r="T24" s="21">
        <f>R24*Assumptions!$B$65</f>
        <v/>
      </c>
      <c r="U24" s="21">
        <f>I24+O24+S24</f>
        <v/>
      </c>
      <c r="V24" s="21">
        <f>P24+T24</f>
        <v/>
      </c>
      <c r="W24" s="21">
        <f>(1-Assumptions!$B$62)*(U24-D24)</f>
        <v/>
      </c>
      <c r="X24" s="21">
        <f>Assumptions!$B$62*(U24-D24)+V24</f>
        <v/>
      </c>
    </row>
    <row r="25">
      <c r="A25" s="42">
        <f>CashFlow!A25</f>
        <v/>
      </c>
      <c r="B25" s="43">
        <f>CashFlow!B25</f>
        <v/>
      </c>
      <c r="C25" s="31">
        <f>CashFlow!AC25</f>
        <v/>
      </c>
      <c r="D25" s="21">
        <f>MAX(0,-C25)</f>
        <v/>
      </c>
      <c r="E25" s="21">
        <f>MAX(0,C25)</f>
        <v/>
      </c>
      <c r="F25" s="21">
        <f>J24</f>
        <v/>
      </c>
      <c r="G25" s="21">
        <f>F25*Assumptions!$B$63/12</f>
        <v/>
      </c>
      <c r="H25" s="21">
        <f>F25+G25+D25</f>
        <v/>
      </c>
      <c r="I25" s="21">
        <f>MIN(E25,H25)</f>
        <v/>
      </c>
      <c r="J25" s="21">
        <f>H25-I25</f>
        <v/>
      </c>
      <c r="K25" s="21">
        <f>Q24</f>
        <v/>
      </c>
      <c r="L25" s="21">
        <f>K25*Assumptions!$B$66/12</f>
        <v/>
      </c>
      <c r="M25" s="21">
        <f>K25+L25+D25</f>
        <v/>
      </c>
      <c r="N25" s="21">
        <f>MIN(MAX(0,E25-I25),MAX(0,M25-I25)/(1-Assumptions!$B$64))</f>
        <v/>
      </c>
      <c r="O25" s="21">
        <f>N25*(1-Assumptions!$B$64)</f>
        <v/>
      </c>
      <c r="P25" s="21">
        <f>N25*Assumptions!$B$64</f>
        <v/>
      </c>
      <c r="Q25" s="21">
        <f>MAX(0,M25-I25-O25)</f>
        <v/>
      </c>
      <c r="R25" s="21">
        <f>MAX(0,E25-I25-N25)</f>
        <v/>
      </c>
      <c r="S25" s="21">
        <f>R25*(1-Assumptions!$B$65)</f>
        <v/>
      </c>
      <c r="T25" s="21">
        <f>R25*Assumptions!$B$65</f>
        <v/>
      </c>
      <c r="U25" s="21">
        <f>I25+O25+S25</f>
        <v/>
      </c>
      <c r="V25" s="21">
        <f>P25+T25</f>
        <v/>
      </c>
      <c r="W25" s="21">
        <f>(1-Assumptions!$B$62)*(U25-D25)</f>
        <v/>
      </c>
      <c r="X25" s="21">
        <f>Assumptions!$B$62*(U25-D25)+V25</f>
        <v/>
      </c>
    </row>
    <row r="26">
      <c r="A26" s="42">
        <f>CashFlow!A26</f>
        <v/>
      </c>
      <c r="B26" s="43">
        <f>CashFlow!B26</f>
        <v/>
      </c>
      <c r="C26" s="31">
        <f>CashFlow!AC26</f>
        <v/>
      </c>
      <c r="D26" s="21">
        <f>MAX(0,-C26)</f>
        <v/>
      </c>
      <c r="E26" s="21">
        <f>MAX(0,C26)</f>
        <v/>
      </c>
      <c r="F26" s="21">
        <f>J25</f>
        <v/>
      </c>
      <c r="G26" s="21">
        <f>F26*Assumptions!$B$63/12</f>
        <v/>
      </c>
      <c r="H26" s="21">
        <f>F26+G26+D26</f>
        <v/>
      </c>
      <c r="I26" s="21">
        <f>MIN(E26,H26)</f>
        <v/>
      </c>
      <c r="J26" s="21">
        <f>H26-I26</f>
        <v/>
      </c>
      <c r="K26" s="21">
        <f>Q25</f>
        <v/>
      </c>
      <c r="L26" s="21">
        <f>K26*Assumptions!$B$66/12</f>
        <v/>
      </c>
      <c r="M26" s="21">
        <f>K26+L26+D26</f>
        <v/>
      </c>
      <c r="N26" s="21">
        <f>MIN(MAX(0,E26-I26),MAX(0,M26-I26)/(1-Assumptions!$B$64))</f>
        <v/>
      </c>
      <c r="O26" s="21">
        <f>N26*(1-Assumptions!$B$64)</f>
        <v/>
      </c>
      <c r="P26" s="21">
        <f>N26*Assumptions!$B$64</f>
        <v/>
      </c>
      <c r="Q26" s="21">
        <f>MAX(0,M26-I26-O26)</f>
        <v/>
      </c>
      <c r="R26" s="21">
        <f>MAX(0,E26-I26-N26)</f>
        <v/>
      </c>
      <c r="S26" s="21">
        <f>R26*(1-Assumptions!$B$65)</f>
        <v/>
      </c>
      <c r="T26" s="21">
        <f>R26*Assumptions!$B$65</f>
        <v/>
      </c>
      <c r="U26" s="21">
        <f>I26+O26+S26</f>
        <v/>
      </c>
      <c r="V26" s="21">
        <f>P26+T26</f>
        <v/>
      </c>
      <c r="W26" s="21">
        <f>(1-Assumptions!$B$62)*(U26-D26)</f>
        <v/>
      </c>
      <c r="X26" s="21">
        <f>Assumptions!$B$62*(U26-D26)+V26</f>
        <v/>
      </c>
    </row>
    <row r="27">
      <c r="A27" s="42">
        <f>CashFlow!A27</f>
        <v/>
      </c>
      <c r="B27" s="43">
        <f>CashFlow!B27</f>
        <v/>
      </c>
      <c r="C27" s="31">
        <f>CashFlow!AC27</f>
        <v/>
      </c>
      <c r="D27" s="21">
        <f>MAX(0,-C27)</f>
        <v/>
      </c>
      <c r="E27" s="21">
        <f>MAX(0,C27)</f>
        <v/>
      </c>
      <c r="F27" s="21">
        <f>J26</f>
        <v/>
      </c>
      <c r="G27" s="21">
        <f>F27*Assumptions!$B$63/12</f>
        <v/>
      </c>
      <c r="H27" s="21">
        <f>F27+G27+D27</f>
        <v/>
      </c>
      <c r="I27" s="21">
        <f>MIN(E27,H27)</f>
        <v/>
      </c>
      <c r="J27" s="21">
        <f>H27-I27</f>
        <v/>
      </c>
      <c r="K27" s="21">
        <f>Q26</f>
        <v/>
      </c>
      <c r="L27" s="21">
        <f>K27*Assumptions!$B$66/12</f>
        <v/>
      </c>
      <c r="M27" s="21">
        <f>K27+L27+D27</f>
        <v/>
      </c>
      <c r="N27" s="21">
        <f>MIN(MAX(0,E27-I27),MAX(0,M27-I27)/(1-Assumptions!$B$64))</f>
        <v/>
      </c>
      <c r="O27" s="21">
        <f>N27*(1-Assumptions!$B$64)</f>
        <v/>
      </c>
      <c r="P27" s="21">
        <f>N27*Assumptions!$B$64</f>
        <v/>
      </c>
      <c r="Q27" s="21">
        <f>MAX(0,M27-I27-O27)</f>
        <v/>
      </c>
      <c r="R27" s="21">
        <f>MAX(0,E27-I27-N27)</f>
        <v/>
      </c>
      <c r="S27" s="21">
        <f>R27*(1-Assumptions!$B$65)</f>
        <v/>
      </c>
      <c r="T27" s="21">
        <f>R27*Assumptions!$B$65</f>
        <v/>
      </c>
      <c r="U27" s="21">
        <f>I27+O27+S27</f>
        <v/>
      </c>
      <c r="V27" s="21">
        <f>P27+T27</f>
        <v/>
      </c>
      <c r="W27" s="21">
        <f>(1-Assumptions!$B$62)*(U27-D27)</f>
        <v/>
      </c>
      <c r="X27" s="21">
        <f>Assumptions!$B$62*(U27-D27)+V27</f>
        <v/>
      </c>
    </row>
    <row r="28">
      <c r="A28" s="42">
        <f>CashFlow!A28</f>
        <v/>
      </c>
      <c r="B28" s="43">
        <f>CashFlow!B28</f>
        <v/>
      </c>
      <c r="C28" s="31">
        <f>CashFlow!AC28</f>
        <v/>
      </c>
      <c r="D28" s="21">
        <f>MAX(0,-C28)</f>
        <v/>
      </c>
      <c r="E28" s="21">
        <f>MAX(0,C28)</f>
        <v/>
      </c>
      <c r="F28" s="21">
        <f>J27</f>
        <v/>
      </c>
      <c r="G28" s="21">
        <f>F28*Assumptions!$B$63/12</f>
        <v/>
      </c>
      <c r="H28" s="21">
        <f>F28+G28+D28</f>
        <v/>
      </c>
      <c r="I28" s="21">
        <f>MIN(E28,H28)</f>
        <v/>
      </c>
      <c r="J28" s="21">
        <f>H28-I28</f>
        <v/>
      </c>
      <c r="K28" s="21">
        <f>Q27</f>
        <v/>
      </c>
      <c r="L28" s="21">
        <f>K28*Assumptions!$B$66/12</f>
        <v/>
      </c>
      <c r="M28" s="21">
        <f>K28+L28+D28</f>
        <v/>
      </c>
      <c r="N28" s="21">
        <f>MIN(MAX(0,E28-I28),MAX(0,M28-I28)/(1-Assumptions!$B$64))</f>
        <v/>
      </c>
      <c r="O28" s="21">
        <f>N28*(1-Assumptions!$B$64)</f>
        <v/>
      </c>
      <c r="P28" s="21">
        <f>N28*Assumptions!$B$64</f>
        <v/>
      </c>
      <c r="Q28" s="21">
        <f>MAX(0,M28-I28-O28)</f>
        <v/>
      </c>
      <c r="R28" s="21">
        <f>MAX(0,E28-I28-N28)</f>
        <v/>
      </c>
      <c r="S28" s="21">
        <f>R28*(1-Assumptions!$B$65)</f>
        <v/>
      </c>
      <c r="T28" s="21">
        <f>R28*Assumptions!$B$65</f>
        <v/>
      </c>
      <c r="U28" s="21">
        <f>I28+O28+S28</f>
        <v/>
      </c>
      <c r="V28" s="21">
        <f>P28+T28</f>
        <v/>
      </c>
      <c r="W28" s="21">
        <f>(1-Assumptions!$B$62)*(U28-D28)</f>
        <v/>
      </c>
      <c r="X28" s="21">
        <f>Assumptions!$B$62*(U28-D28)+V28</f>
        <v/>
      </c>
    </row>
    <row r="29">
      <c r="A29" s="42">
        <f>CashFlow!A29</f>
        <v/>
      </c>
      <c r="B29" s="43">
        <f>CashFlow!B29</f>
        <v/>
      </c>
      <c r="C29" s="31">
        <f>CashFlow!AC29</f>
        <v/>
      </c>
      <c r="D29" s="21">
        <f>MAX(0,-C29)</f>
        <v/>
      </c>
      <c r="E29" s="21">
        <f>MAX(0,C29)</f>
        <v/>
      </c>
      <c r="F29" s="21">
        <f>J28</f>
        <v/>
      </c>
      <c r="G29" s="21">
        <f>F29*Assumptions!$B$63/12</f>
        <v/>
      </c>
      <c r="H29" s="21">
        <f>F29+G29+D29</f>
        <v/>
      </c>
      <c r="I29" s="21">
        <f>MIN(E29,H29)</f>
        <v/>
      </c>
      <c r="J29" s="21">
        <f>H29-I29</f>
        <v/>
      </c>
      <c r="K29" s="21">
        <f>Q28</f>
        <v/>
      </c>
      <c r="L29" s="21">
        <f>K29*Assumptions!$B$66/12</f>
        <v/>
      </c>
      <c r="M29" s="21">
        <f>K29+L29+D29</f>
        <v/>
      </c>
      <c r="N29" s="21">
        <f>MIN(MAX(0,E29-I29),MAX(0,M29-I29)/(1-Assumptions!$B$64))</f>
        <v/>
      </c>
      <c r="O29" s="21">
        <f>N29*(1-Assumptions!$B$64)</f>
        <v/>
      </c>
      <c r="P29" s="21">
        <f>N29*Assumptions!$B$64</f>
        <v/>
      </c>
      <c r="Q29" s="21">
        <f>MAX(0,M29-I29-O29)</f>
        <v/>
      </c>
      <c r="R29" s="21">
        <f>MAX(0,E29-I29-N29)</f>
        <v/>
      </c>
      <c r="S29" s="21">
        <f>R29*(1-Assumptions!$B$65)</f>
        <v/>
      </c>
      <c r="T29" s="21">
        <f>R29*Assumptions!$B$65</f>
        <v/>
      </c>
      <c r="U29" s="21">
        <f>I29+O29+S29</f>
        <v/>
      </c>
      <c r="V29" s="21">
        <f>P29+T29</f>
        <v/>
      </c>
      <c r="W29" s="21">
        <f>(1-Assumptions!$B$62)*(U29-D29)</f>
        <v/>
      </c>
      <c r="X29" s="21">
        <f>Assumptions!$B$62*(U29-D29)+V29</f>
        <v/>
      </c>
    </row>
    <row r="30">
      <c r="A30" s="42">
        <f>CashFlow!A30</f>
        <v/>
      </c>
      <c r="B30" s="43">
        <f>CashFlow!B30</f>
        <v/>
      </c>
      <c r="C30" s="31">
        <f>CashFlow!AC30</f>
        <v/>
      </c>
      <c r="D30" s="21">
        <f>MAX(0,-C30)</f>
        <v/>
      </c>
      <c r="E30" s="21">
        <f>MAX(0,C30)</f>
        <v/>
      </c>
      <c r="F30" s="21">
        <f>J29</f>
        <v/>
      </c>
      <c r="G30" s="21">
        <f>F30*Assumptions!$B$63/12</f>
        <v/>
      </c>
      <c r="H30" s="21">
        <f>F30+G30+D30</f>
        <v/>
      </c>
      <c r="I30" s="21">
        <f>MIN(E30,H30)</f>
        <v/>
      </c>
      <c r="J30" s="21">
        <f>H30-I30</f>
        <v/>
      </c>
      <c r="K30" s="21">
        <f>Q29</f>
        <v/>
      </c>
      <c r="L30" s="21">
        <f>K30*Assumptions!$B$66/12</f>
        <v/>
      </c>
      <c r="M30" s="21">
        <f>K30+L30+D30</f>
        <v/>
      </c>
      <c r="N30" s="21">
        <f>MIN(MAX(0,E30-I30),MAX(0,M30-I30)/(1-Assumptions!$B$64))</f>
        <v/>
      </c>
      <c r="O30" s="21">
        <f>N30*(1-Assumptions!$B$64)</f>
        <v/>
      </c>
      <c r="P30" s="21">
        <f>N30*Assumptions!$B$64</f>
        <v/>
      </c>
      <c r="Q30" s="21">
        <f>MAX(0,M30-I30-O30)</f>
        <v/>
      </c>
      <c r="R30" s="21">
        <f>MAX(0,E30-I30-N30)</f>
        <v/>
      </c>
      <c r="S30" s="21">
        <f>R30*(1-Assumptions!$B$65)</f>
        <v/>
      </c>
      <c r="T30" s="21">
        <f>R30*Assumptions!$B$65</f>
        <v/>
      </c>
      <c r="U30" s="21">
        <f>I30+O30+S30</f>
        <v/>
      </c>
      <c r="V30" s="21">
        <f>P30+T30</f>
        <v/>
      </c>
      <c r="W30" s="21">
        <f>(1-Assumptions!$B$62)*(U30-D30)</f>
        <v/>
      </c>
      <c r="X30" s="21">
        <f>Assumptions!$B$62*(U30-D30)+V30</f>
        <v/>
      </c>
    </row>
    <row r="31">
      <c r="A31" s="42">
        <f>CashFlow!A31</f>
        <v/>
      </c>
      <c r="B31" s="43">
        <f>CashFlow!B31</f>
        <v/>
      </c>
      <c r="C31" s="31">
        <f>CashFlow!AC31</f>
        <v/>
      </c>
      <c r="D31" s="21">
        <f>MAX(0,-C31)</f>
        <v/>
      </c>
      <c r="E31" s="21">
        <f>MAX(0,C31)</f>
        <v/>
      </c>
      <c r="F31" s="21">
        <f>J30</f>
        <v/>
      </c>
      <c r="G31" s="21">
        <f>F31*Assumptions!$B$63/12</f>
        <v/>
      </c>
      <c r="H31" s="21">
        <f>F31+G31+D31</f>
        <v/>
      </c>
      <c r="I31" s="21">
        <f>MIN(E31,H31)</f>
        <v/>
      </c>
      <c r="J31" s="21">
        <f>H31-I31</f>
        <v/>
      </c>
      <c r="K31" s="21">
        <f>Q30</f>
        <v/>
      </c>
      <c r="L31" s="21">
        <f>K31*Assumptions!$B$66/12</f>
        <v/>
      </c>
      <c r="M31" s="21">
        <f>K31+L31+D31</f>
        <v/>
      </c>
      <c r="N31" s="21">
        <f>MIN(MAX(0,E31-I31),MAX(0,M31-I31)/(1-Assumptions!$B$64))</f>
        <v/>
      </c>
      <c r="O31" s="21">
        <f>N31*(1-Assumptions!$B$64)</f>
        <v/>
      </c>
      <c r="P31" s="21">
        <f>N31*Assumptions!$B$64</f>
        <v/>
      </c>
      <c r="Q31" s="21">
        <f>MAX(0,M31-I31-O31)</f>
        <v/>
      </c>
      <c r="R31" s="21">
        <f>MAX(0,E31-I31-N31)</f>
        <v/>
      </c>
      <c r="S31" s="21">
        <f>R31*(1-Assumptions!$B$65)</f>
        <v/>
      </c>
      <c r="T31" s="21">
        <f>R31*Assumptions!$B$65</f>
        <v/>
      </c>
      <c r="U31" s="21">
        <f>I31+O31+S31</f>
        <v/>
      </c>
      <c r="V31" s="21">
        <f>P31+T31</f>
        <v/>
      </c>
      <c r="W31" s="21">
        <f>(1-Assumptions!$B$62)*(U31-D31)</f>
        <v/>
      </c>
      <c r="X31" s="21">
        <f>Assumptions!$B$62*(U31-D31)+V31</f>
        <v/>
      </c>
    </row>
    <row r="32">
      <c r="A32" s="42">
        <f>CashFlow!A32</f>
        <v/>
      </c>
      <c r="B32" s="43">
        <f>CashFlow!B32</f>
        <v/>
      </c>
      <c r="C32" s="31">
        <f>CashFlow!AC32</f>
        <v/>
      </c>
      <c r="D32" s="21">
        <f>MAX(0,-C32)</f>
        <v/>
      </c>
      <c r="E32" s="21">
        <f>MAX(0,C32)</f>
        <v/>
      </c>
      <c r="F32" s="21">
        <f>J31</f>
        <v/>
      </c>
      <c r="G32" s="21">
        <f>F32*Assumptions!$B$63/12</f>
        <v/>
      </c>
      <c r="H32" s="21">
        <f>F32+G32+D32</f>
        <v/>
      </c>
      <c r="I32" s="21">
        <f>MIN(E32,H32)</f>
        <v/>
      </c>
      <c r="J32" s="21">
        <f>H32-I32</f>
        <v/>
      </c>
      <c r="K32" s="21">
        <f>Q31</f>
        <v/>
      </c>
      <c r="L32" s="21">
        <f>K32*Assumptions!$B$66/12</f>
        <v/>
      </c>
      <c r="M32" s="21">
        <f>K32+L32+D32</f>
        <v/>
      </c>
      <c r="N32" s="21">
        <f>MIN(MAX(0,E32-I32),MAX(0,M32-I32)/(1-Assumptions!$B$64))</f>
        <v/>
      </c>
      <c r="O32" s="21">
        <f>N32*(1-Assumptions!$B$64)</f>
        <v/>
      </c>
      <c r="P32" s="21">
        <f>N32*Assumptions!$B$64</f>
        <v/>
      </c>
      <c r="Q32" s="21">
        <f>MAX(0,M32-I32-O32)</f>
        <v/>
      </c>
      <c r="R32" s="21">
        <f>MAX(0,E32-I32-N32)</f>
        <v/>
      </c>
      <c r="S32" s="21">
        <f>R32*(1-Assumptions!$B$65)</f>
        <v/>
      </c>
      <c r="T32" s="21">
        <f>R32*Assumptions!$B$65</f>
        <v/>
      </c>
      <c r="U32" s="21">
        <f>I32+O32+S32</f>
        <v/>
      </c>
      <c r="V32" s="21">
        <f>P32+T32</f>
        <v/>
      </c>
      <c r="W32" s="21">
        <f>(1-Assumptions!$B$62)*(U32-D32)</f>
        <v/>
      </c>
      <c r="X32" s="21">
        <f>Assumptions!$B$62*(U32-D32)+V32</f>
        <v/>
      </c>
    </row>
    <row r="33">
      <c r="A33" s="42">
        <f>CashFlow!A33</f>
        <v/>
      </c>
      <c r="B33" s="43">
        <f>CashFlow!B33</f>
        <v/>
      </c>
      <c r="C33" s="31">
        <f>CashFlow!AC33</f>
        <v/>
      </c>
      <c r="D33" s="21">
        <f>MAX(0,-C33)</f>
        <v/>
      </c>
      <c r="E33" s="21">
        <f>MAX(0,C33)</f>
        <v/>
      </c>
      <c r="F33" s="21">
        <f>J32</f>
        <v/>
      </c>
      <c r="G33" s="21">
        <f>F33*Assumptions!$B$63/12</f>
        <v/>
      </c>
      <c r="H33" s="21">
        <f>F33+G33+D33</f>
        <v/>
      </c>
      <c r="I33" s="21">
        <f>MIN(E33,H33)</f>
        <v/>
      </c>
      <c r="J33" s="21">
        <f>H33-I33</f>
        <v/>
      </c>
      <c r="K33" s="21">
        <f>Q32</f>
        <v/>
      </c>
      <c r="L33" s="21">
        <f>K33*Assumptions!$B$66/12</f>
        <v/>
      </c>
      <c r="M33" s="21">
        <f>K33+L33+D33</f>
        <v/>
      </c>
      <c r="N33" s="21">
        <f>MIN(MAX(0,E33-I33),MAX(0,M33-I33)/(1-Assumptions!$B$64))</f>
        <v/>
      </c>
      <c r="O33" s="21">
        <f>N33*(1-Assumptions!$B$64)</f>
        <v/>
      </c>
      <c r="P33" s="21">
        <f>N33*Assumptions!$B$64</f>
        <v/>
      </c>
      <c r="Q33" s="21">
        <f>MAX(0,M33-I33-O33)</f>
        <v/>
      </c>
      <c r="R33" s="21">
        <f>MAX(0,E33-I33-N33)</f>
        <v/>
      </c>
      <c r="S33" s="21">
        <f>R33*(1-Assumptions!$B$65)</f>
        <v/>
      </c>
      <c r="T33" s="21">
        <f>R33*Assumptions!$B$65</f>
        <v/>
      </c>
      <c r="U33" s="21">
        <f>I33+O33+S33</f>
        <v/>
      </c>
      <c r="V33" s="21">
        <f>P33+T33</f>
        <v/>
      </c>
      <c r="W33" s="21">
        <f>(1-Assumptions!$B$62)*(U33-D33)</f>
        <v/>
      </c>
      <c r="X33" s="21">
        <f>Assumptions!$B$62*(U33-D33)+V33</f>
        <v/>
      </c>
    </row>
    <row r="34">
      <c r="A34" s="42">
        <f>CashFlow!A34</f>
        <v/>
      </c>
      <c r="B34" s="43">
        <f>CashFlow!B34</f>
        <v/>
      </c>
      <c r="C34" s="31">
        <f>CashFlow!AC34</f>
        <v/>
      </c>
      <c r="D34" s="21">
        <f>MAX(0,-C34)</f>
        <v/>
      </c>
      <c r="E34" s="21">
        <f>MAX(0,C34)</f>
        <v/>
      </c>
      <c r="F34" s="21">
        <f>J33</f>
        <v/>
      </c>
      <c r="G34" s="21">
        <f>F34*Assumptions!$B$63/12</f>
        <v/>
      </c>
      <c r="H34" s="21">
        <f>F34+G34+D34</f>
        <v/>
      </c>
      <c r="I34" s="21">
        <f>MIN(E34,H34)</f>
        <v/>
      </c>
      <c r="J34" s="21">
        <f>H34-I34</f>
        <v/>
      </c>
      <c r="K34" s="21">
        <f>Q33</f>
        <v/>
      </c>
      <c r="L34" s="21">
        <f>K34*Assumptions!$B$66/12</f>
        <v/>
      </c>
      <c r="M34" s="21">
        <f>K34+L34+D34</f>
        <v/>
      </c>
      <c r="N34" s="21">
        <f>MIN(MAX(0,E34-I34),MAX(0,M34-I34)/(1-Assumptions!$B$64))</f>
        <v/>
      </c>
      <c r="O34" s="21">
        <f>N34*(1-Assumptions!$B$64)</f>
        <v/>
      </c>
      <c r="P34" s="21">
        <f>N34*Assumptions!$B$64</f>
        <v/>
      </c>
      <c r="Q34" s="21">
        <f>MAX(0,M34-I34-O34)</f>
        <v/>
      </c>
      <c r="R34" s="21">
        <f>MAX(0,E34-I34-N34)</f>
        <v/>
      </c>
      <c r="S34" s="21">
        <f>R34*(1-Assumptions!$B$65)</f>
        <v/>
      </c>
      <c r="T34" s="21">
        <f>R34*Assumptions!$B$65</f>
        <v/>
      </c>
      <c r="U34" s="21">
        <f>I34+O34+S34</f>
        <v/>
      </c>
      <c r="V34" s="21">
        <f>P34+T34</f>
        <v/>
      </c>
      <c r="W34" s="21">
        <f>(1-Assumptions!$B$62)*(U34-D34)</f>
        <v/>
      </c>
      <c r="X34" s="21">
        <f>Assumptions!$B$62*(U34-D34)+V34</f>
        <v/>
      </c>
    </row>
    <row r="35">
      <c r="A35" s="42">
        <f>CashFlow!A35</f>
        <v/>
      </c>
      <c r="B35" s="43">
        <f>CashFlow!B35</f>
        <v/>
      </c>
      <c r="C35" s="31">
        <f>CashFlow!AC35</f>
        <v/>
      </c>
      <c r="D35" s="21">
        <f>MAX(0,-C35)</f>
        <v/>
      </c>
      <c r="E35" s="21">
        <f>MAX(0,C35)</f>
        <v/>
      </c>
      <c r="F35" s="21">
        <f>J34</f>
        <v/>
      </c>
      <c r="G35" s="21">
        <f>F35*Assumptions!$B$63/12</f>
        <v/>
      </c>
      <c r="H35" s="21">
        <f>F35+G35+D35</f>
        <v/>
      </c>
      <c r="I35" s="21">
        <f>MIN(E35,H35)</f>
        <v/>
      </c>
      <c r="J35" s="21">
        <f>H35-I35</f>
        <v/>
      </c>
      <c r="K35" s="21">
        <f>Q34</f>
        <v/>
      </c>
      <c r="L35" s="21">
        <f>K35*Assumptions!$B$66/12</f>
        <v/>
      </c>
      <c r="M35" s="21">
        <f>K35+L35+D35</f>
        <v/>
      </c>
      <c r="N35" s="21">
        <f>MIN(MAX(0,E35-I35),MAX(0,M35-I35)/(1-Assumptions!$B$64))</f>
        <v/>
      </c>
      <c r="O35" s="21">
        <f>N35*(1-Assumptions!$B$64)</f>
        <v/>
      </c>
      <c r="P35" s="21">
        <f>N35*Assumptions!$B$64</f>
        <v/>
      </c>
      <c r="Q35" s="21">
        <f>MAX(0,M35-I35-O35)</f>
        <v/>
      </c>
      <c r="R35" s="21">
        <f>MAX(0,E35-I35-N35)</f>
        <v/>
      </c>
      <c r="S35" s="21">
        <f>R35*(1-Assumptions!$B$65)</f>
        <v/>
      </c>
      <c r="T35" s="21">
        <f>R35*Assumptions!$B$65</f>
        <v/>
      </c>
      <c r="U35" s="21">
        <f>I35+O35+S35</f>
        <v/>
      </c>
      <c r="V35" s="21">
        <f>P35+T35</f>
        <v/>
      </c>
      <c r="W35" s="21">
        <f>(1-Assumptions!$B$62)*(U35-D35)</f>
        <v/>
      </c>
      <c r="X35" s="21">
        <f>Assumptions!$B$62*(U35-D35)+V35</f>
        <v/>
      </c>
    </row>
    <row r="36">
      <c r="A36" s="42">
        <f>CashFlow!A36</f>
        <v/>
      </c>
      <c r="B36" s="43">
        <f>CashFlow!B36</f>
        <v/>
      </c>
      <c r="C36" s="31">
        <f>CashFlow!AC36</f>
        <v/>
      </c>
      <c r="D36" s="21">
        <f>MAX(0,-C36)</f>
        <v/>
      </c>
      <c r="E36" s="21">
        <f>MAX(0,C36)</f>
        <v/>
      </c>
      <c r="F36" s="21">
        <f>J35</f>
        <v/>
      </c>
      <c r="G36" s="21">
        <f>F36*Assumptions!$B$63/12</f>
        <v/>
      </c>
      <c r="H36" s="21">
        <f>F36+G36+D36</f>
        <v/>
      </c>
      <c r="I36" s="21">
        <f>MIN(E36,H36)</f>
        <v/>
      </c>
      <c r="J36" s="21">
        <f>H36-I36</f>
        <v/>
      </c>
      <c r="K36" s="21">
        <f>Q35</f>
        <v/>
      </c>
      <c r="L36" s="21">
        <f>K36*Assumptions!$B$66/12</f>
        <v/>
      </c>
      <c r="M36" s="21">
        <f>K36+L36+D36</f>
        <v/>
      </c>
      <c r="N36" s="21">
        <f>MIN(MAX(0,E36-I36),MAX(0,M36-I36)/(1-Assumptions!$B$64))</f>
        <v/>
      </c>
      <c r="O36" s="21">
        <f>N36*(1-Assumptions!$B$64)</f>
        <v/>
      </c>
      <c r="P36" s="21">
        <f>N36*Assumptions!$B$64</f>
        <v/>
      </c>
      <c r="Q36" s="21">
        <f>MAX(0,M36-I36-O36)</f>
        <v/>
      </c>
      <c r="R36" s="21">
        <f>MAX(0,E36-I36-N36)</f>
        <v/>
      </c>
      <c r="S36" s="21">
        <f>R36*(1-Assumptions!$B$65)</f>
        <v/>
      </c>
      <c r="T36" s="21">
        <f>R36*Assumptions!$B$65</f>
        <v/>
      </c>
      <c r="U36" s="21">
        <f>I36+O36+S36</f>
        <v/>
      </c>
      <c r="V36" s="21">
        <f>P36+T36</f>
        <v/>
      </c>
      <c r="W36" s="21">
        <f>(1-Assumptions!$B$62)*(U36-D36)</f>
        <v/>
      </c>
      <c r="X36" s="21">
        <f>Assumptions!$B$62*(U36-D36)+V36</f>
        <v/>
      </c>
    </row>
    <row r="37">
      <c r="A37" s="42">
        <f>CashFlow!A37</f>
        <v/>
      </c>
      <c r="B37" s="43">
        <f>CashFlow!B37</f>
        <v/>
      </c>
      <c r="C37" s="31">
        <f>CashFlow!AC37</f>
        <v/>
      </c>
      <c r="D37" s="21">
        <f>MAX(0,-C37)</f>
        <v/>
      </c>
      <c r="E37" s="21">
        <f>MAX(0,C37)</f>
        <v/>
      </c>
      <c r="F37" s="21">
        <f>J36</f>
        <v/>
      </c>
      <c r="G37" s="21">
        <f>F37*Assumptions!$B$63/12</f>
        <v/>
      </c>
      <c r="H37" s="21">
        <f>F37+G37+D37</f>
        <v/>
      </c>
      <c r="I37" s="21">
        <f>MIN(E37,H37)</f>
        <v/>
      </c>
      <c r="J37" s="21">
        <f>H37-I37</f>
        <v/>
      </c>
      <c r="K37" s="21">
        <f>Q36</f>
        <v/>
      </c>
      <c r="L37" s="21">
        <f>K37*Assumptions!$B$66/12</f>
        <v/>
      </c>
      <c r="M37" s="21">
        <f>K37+L37+D37</f>
        <v/>
      </c>
      <c r="N37" s="21">
        <f>MIN(MAX(0,E37-I37),MAX(0,M37-I37)/(1-Assumptions!$B$64))</f>
        <v/>
      </c>
      <c r="O37" s="21">
        <f>N37*(1-Assumptions!$B$64)</f>
        <v/>
      </c>
      <c r="P37" s="21">
        <f>N37*Assumptions!$B$64</f>
        <v/>
      </c>
      <c r="Q37" s="21">
        <f>MAX(0,M37-I37-O37)</f>
        <v/>
      </c>
      <c r="R37" s="21">
        <f>MAX(0,E37-I37-N37)</f>
        <v/>
      </c>
      <c r="S37" s="21">
        <f>R37*(1-Assumptions!$B$65)</f>
        <v/>
      </c>
      <c r="T37" s="21">
        <f>R37*Assumptions!$B$65</f>
        <v/>
      </c>
      <c r="U37" s="21">
        <f>I37+O37+S37</f>
        <v/>
      </c>
      <c r="V37" s="21">
        <f>P37+T37</f>
        <v/>
      </c>
      <c r="W37" s="21">
        <f>(1-Assumptions!$B$62)*(U37-D37)</f>
        <v/>
      </c>
      <c r="X37" s="21">
        <f>Assumptions!$B$62*(U37-D37)+V37</f>
        <v/>
      </c>
    </row>
    <row r="38">
      <c r="A38" s="42">
        <f>CashFlow!A38</f>
        <v/>
      </c>
      <c r="B38" s="43">
        <f>CashFlow!B38</f>
        <v/>
      </c>
      <c r="C38" s="31">
        <f>CashFlow!AC38</f>
        <v/>
      </c>
      <c r="D38" s="21">
        <f>MAX(0,-C38)</f>
        <v/>
      </c>
      <c r="E38" s="21">
        <f>MAX(0,C38)</f>
        <v/>
      </c>
      <c r="F38" s="21">
        <f>J37</f>
        <v/>
      </c>
      <c r="G38" s="21">
        <f>F38*Assumptions!$B$63/12</f>
        <v/>
      </c>
      <c r="H38" s="21">
        <f>F38+G38+D38</f>
        <v/>
      </c>
      <c r="I38" s="21">
        <f>MIN(E38,H38)</f>
        <v/>
      </c>
      <c r="J38" s="21">
        <f>H38-I38</f>
        <v/>
      </c>
      <c r="K38" s="21">
        <f>Q37</f>
        <v/>
      </c>
      <c r="L38" s="21">
        <f>K38*Assumptions!$B$66/12</f>
        <v/>
      </c>
      <c r="M38" s="21">
        <f>K38+L38+D38</f>
        <v/>
      </c>
      <c r="N38" s="21">
        <f>MIN(MAX(0,E38-I38),MAX(0,M38-I38)/(1-Assumptions!$B$64))</f>
        <v/>
      </c>
      <c r="O38" s="21">
        <f>N38*(1-Assumptions!$B$64)</f>
        <v/>
      </c>
      <c r="P38" s="21">
        <f>N38*Assumptions!$B$64</f>
        <v/>
      </c>
      <c r="Q38" s="21">
        <f>MAX(0,M38-I38-O38)</f>
        <v/>
      </c>
      <c r="R38" s="21">
        <f>MAX(0,E38-I38-N38)</f>
        <v/>
      </c>
      <c r="S38" s="21">
        <f>R38*(1-Assumptions!$B$65)</f>
        <v/>
      </c>
      <c r="T38" s="21">
        <f>R38*Assumptions!$B$65</f>
        <v/>
      </c>
      <c r="U38" s="21">
        <f>I38+O38+S38</f>
        <v/>
      </c>
      <c r="V38" s="21">
        <f>P38+T38</f>
        <v/>
      </c>
      <c r="W38" s="21">
        <f>(1-Assumptions!$B$62)*(U38-D38)</f>
        <v/>
      </c>
      <c r="X38" s="21">
        <f>Assumptions!$B$62*(U38-D38)+V38</f>
        <v/>
      </c>
    </row>
    <row r="39">
      <c r="A39" s="42">
        <f>CashFlow!A39</f>
        <v/>
      </c>
      <c r="B39" s="43">
        <f>CashFlow!B39</f>
        <v/>
      </c>
      <c r="C39" s="31">
        <f>CashFlow!AC39</f>
        <v/>
      </c>
      <c r="D39" s="21">
        <f>MAX(0,-C39)</f>
        <v/>
      </c>
      <c r="E39" s="21">
        <f>MAX(0,C39)</f>
        <v/>
      </c>
      <c r="F39" s="21">
        <f>J38</f>
        <v/>
      </c>
      <c r="G39" s="21">
        <f>F39*Assumptions!$B$63/12</f>
        <v/>
      </c>
      <c r="H39" s="21">
        <f>F39+G39+D39</f>
        <v/>
      </c>
      <c r="I39" s="21">
        <f>MIN(E39,H39)</f>
        <v/>
      </c>
      <c r="J39" s="21">
        <f>H39-I39</f>
        <v/>
      </c>
      <c r="K39" s="21">
        <f>Q38</f>
        <v/>
      </c>
      <c r="L39" s="21">
        <f>K39*Assumptions!$B$66/12</f>
        <v/>
      </c>
      <c r="M39" s="21">
        <f>K39+L39+D39</f>
        <v/>
      </c>
      <c r="N39" s="21">
        <f>MIN(MAX(0,E39-I39),MAX(0,M39-I39)/(1-Assumptions!$B$64))</f>
        <v/>
      </c>
      <c r="O39" s="21">
        <f>N39*(1-Assumptions!$B$64)</f>
        <v/>
      </c>
      <c r="P39" s="21">
        <f>N39*Assumptions!$B$64</f>
        <v/>
      </c>
      <c r="Q39" s="21">
        <f>MAX(0,M39-I39-O39)</f>
        <v/>
      </c>
      <c r="R39" s="21">
        <f>MAX(0,E39-I39-N39)</f>
        <v/>
      </c>
      <c r="S39" s="21">
        <f>R39*(1-Assumptions!$B$65)</f>
        <v/>
      </c>
      <c r="T39" s="21">
        <f>R39*Assumptions!$B$65</f>
        <v/>
      </c>
      <c r="U39" s="21">
        <f>I39+O39+S39</f>
        <v/>
      </c>
      <c r="V39" s="21">
        <f>P39+T39</f>
        <v/>
      </c>
      <c r="W39" s="21">
        <f>(1-Assumptions!$B$62)*(U39-D39)</f>
        <v/>
      </c>
      <c r="X39" s="21">
        <f>Assumptions!$B$62*(U39-D39)+V39</f>
        <v/>
      </c>
    </row>
    <row r="40">
      <c r="A40" s="42">
        <f>CashFlow!A40</f>
        <v/>
      </c>
      <c r="B40" s="43">
        <f>CashFlow!B40</f>
        <v/>
      </c>
      <c r="C40" s="31">
        <f>CashFlow!AC40</f>
        <v/>
      </c>
      <c r="D40" s="21">
        <f>MAX(0,-C40)</f>
        <v/>
      </c>
      <c r="E40" s="21">
        <f>MAX(0,C40)</f>
        <v/>
      </c>
      <c r="F40" s="21">
        <f>J39</f>
        <v/>
      </c>
      <c r="G40" s="21">
        <f>F40*Assumptions!$B$63/12</f>
        <v/>
      </c>
      <c r="H40" s="21">
        <f>F40+G40+D40</f>
        <v/>
      </c>
      <c r="I40" s="21">
        <f>MIN(E40,H40)</f>
        <v/>
      </c>
      <c r="J40" s="21">
        <f>H40-I40</f>
        <v/>
      </c>
      <c r="K40" s="21">
        <f>Q39</f>
        <v/>
      </c>
      <c r="L40" s="21">
        <f>K40*Assumptions!$B$66/12</f>
        <v/>
      </c>
      <c r="M40" s="21">
        <f>K40+L40+D40</f>
        <v/>
      </c>
      <c r="N40" s="21">
        <f>MIN(MAX(0,E40-I40),MAX(0,M40-I40)/(1-Assumptions!$B$64))</f>
        <v/>
      </c>
      <c r="O40" s="21">
        <f>N40*(1-Assumptions!$B$64)</f>
        <v/>
      </c>
      <c r="P40" s="21">
        <f>N40*Assumptions!$B$64</f>
        <v/>
      </c>
      <c r="Q40" s="21">
        <f>MAX(0,M40-I40-O40)</f>
        <v/>
      </c>
      <c r="R40" s="21">
        <f>MAX(0,E40-I40-N40)</f>
        <v/>
      </c>
      <c r="S40" s="21">
        <f>R40*(1-Assumptions!$B$65)</f>
        <v/>
      </c>
      <c r="T40" s="21">
        <f>R40*Assumptions!$B$65</f>
        <v/>
      </c>
      <c r="U40" s="21">
        <f>I40+O40+S40</f>
        <v/>
      </c>
      <c r="V40" s="21">
        <f>P40+T40</f>
        <v/>
      </c>
      <c r="W40" s="21">
        <f>(1-Assumptions!$B$62)*(U40-D40)</f>
        <v/>
      </c>
      <c r="X40" s="21">
        <f>Assumptions!$B$62*(U40-D40)+V40</f>
        <v/>
      </c>
    </row>
    <row r="41">
      <c r="A41" s="42">
        <f>CashFlow!A41</f>
        <v/>
      </c>
      <c r="B41" s="43">
        <f>CashFlow!B41</f>
        <v/>
      </c>
      <c r="C41" s="31">
        <f>CashFlow!AC41</f>
        <v/>
      </c>
      <c r="D41" s="21">
        <f>MAX(0,-C41)</f>
        <v/>
      </c>
      <c r="E41" s="21">
        <f>MAX(0,C41)</f>
        <v/>
      </c>
      <c r="F41" s="21">
        <f>J40</f>
        <v/>
      </c>
      <c r="G41" s="21">
        <f>F41*Assumptions!$B$63/12</f>
        <v/>
      </c>
      <c r="H41" s="21">
        <f>F41+G41+D41</f>
        <v/>
      </c>
      <c r="I41" s="21">
        <f>MIN(E41,H41)</f>
        <v/>
      </c>
      <c r="J41" s="21">
        <f>H41-I41</f>
        <v/>
      </c>
      <c r="K41" s="21">
        <f>Q40</f>
        <v/>
      </c>
      <c r="L41" s="21">
        <f>K41*Assumptions!$B$66/12</f>
        <v/>
      </c>
      <c r="M41" s="21">
        <f>K41+L41+D41</f>
        <v/>
      </c>
      <c r="N41" s="21">
        <f>MIN(MAX(0,E41-I41),MAX(0,M41-I41)/(1-Assumptions!$B$64))</f>
        <v/>
      </c>
      <c r="O41" s="21">
        <f>N41*(1-Assumptions!$B$64)</f>
        <v/>
      </c>
      <c r="P41" s="21">
        <f>N41*Assumptions!$B$64</f>
        <v/>
      </c>
      <c r="Q41" s="21">
        <f>MAX(0,M41-I41-O41)</f>
        <v/>
      </c>
      <c r="R41" s="21">
        <f>MAX(0,E41-I41-N41)</f>
        <v/>
      </c>
      <c r="S41" s="21">
        <f>R41*(1-Assumptions!$B$65)</f>
        <v/>
      </c>
      <c r="T41" s="21">
        <f>R41*Assumptions!$B$65</f>
        <v/>
      </c>
      <c r="U41" s="21">
        <f>I41+O41+S41</f>
        <v/>
      </c>
      <c r="V41" s="21">
        <f>P41+T41</f>
        <v/>
      </c>
      <c r="W41" s="21">
        <f>(1-Assumptions!$B$62)*(U41-D41)</f>
        <v/>
      </c>
      <c r="X41" s="21">
        <f>Assumptions!$B$62*(U41-D41)+V41</f>
        <v/>
      </c>
    </row>
    <row r="42">
      <c r="A42" s="42">
        <f>CashFlow!A42</f>
        <v/>
      </c>
      <c r="B42" s="43">
        <f>CashFlow!B42</f>
        <v/>
      </c>
      <c r="C42" s="31">
        <f>CashFlow!AC42</f>
        <v/>
      </c>
      <c r="D42" s="21">
        <f>MAX(0,-C42)</f>
        <v/>
      </c>
      <c r="E42" s="21">
        <f>MAX(0,C42)</f>
        <v/>
      </c>
      <c r="F42" s="21">
        <f>J41</f>
        <v/>
      </c>
      <c r="G42" s="21">
        <f>F42*Assumptions!$B$63/12</f>
        <v/>
      </c>
      <c r="H42" s="21">
        <f>F42+G42+D42</f>
        <v/>
      </c>
      <c r="I42" s="21">
        <f>MIN(E42,H42)</f>
        <v/>
      </c>
      <c r="J42" s="21">
        <f>H42-I42</f>
        <v/>
      </c>
      <c r="K42" s="21">
        <f>Q41</f>
        <v/>
      </c>
      <c r="L42" s="21">
        <f>K42*Assumptions!$B$66/12</f>
        <v/>
      </c>
      <c r="M42" s="21">
        <f>K42+L42+D42</f>
        <v/>
      </c>
      <c r="N42" s="21">
        <f>MIN(MAX(0,E42-I42),MAX(0,M42-I42)/(1-Assumptions!$B$64))</f>
        <v/>
      </c>
      <c r="O42" s="21">
        <f>N42*(1-Assumptions!$B$64)</f>
        <v/>
      </c>
      <c r="P42" s="21">
        <f>N42*Assumptions!$B$64</f>
        <v/>
      </c>
      <c r="Q42" s="21">
        <f>MAX(0,M42-I42-O42)</f>
        <v/>
      </c>
      <c r="R42" s="21">
        <f>MAX(0,E42-I42-N42)</f>
        <v/>
      </c>
      <c r="S42" s="21">
        <f>R42*(1-Assumptions!$B$65)</f>
        <v/>
      </c>
      <c r="T42" s="21">
        <f>R42*Assumptions!$B$65</f>
        <v/>
      </c>
      <c r="U42" s="21">
        <f>I42+O42+S42</f>
        <v/>
      </c>
      <c r="V42" s="21">
        <f>P42+T42</f>
        <v/>
      </c>
      <c r="W42" s="21">
        <f>(1-Assumptions!$B$62)*(U42-D42)</f>
        <v/>
      </c>
      <c r="X42" s="21">
        <f>Assumptions!$B$62*(U42-D42)+V42</f>
        <v/>
      </c>
    </row>
    <row r="43">
      <c r="A43" s="42">
        <f>CashFlow!A43</f>
        <v/>
      </c>
      <c r="B43" s="43">
        <f>CashFlow!B43</f>
        <v/>
      </c>
      <c r="C43" s="31">
        <f>CashFlow!AC43</f>
        <v/>
      </c>
      <c r="D43" s="21">
        <f>MAX(0,-C43)</f>
        <v/>
      </c>
      <c r="E43" s="21">
        <f>MAX(0,C43)</f>
        <v/>
      </c>
      <c r="F43" s="21">
        <f>J42</f>
        <v/>
      </c>
      <c r="G43" s="21">
        <f>F43*Assumptions!$B$63/12</f>
        <v/>
      </c>
      <c r="H43" s="21">
        <f>F43+G43+D43</f>
        <v/>
      </c>
      <c r="I43" s="21">
        <f>MIN(E43,H43)</f>
        <v/>
      </c>
      <c r="J43" s="21">
        <f>H43-I43</f>
        <v/>
      </c>
      <c r="K43" s="21">
        <f>Q42</f>
        <v/>
      </c>
      <c r="L43" s="21">
        <f>K43*Assumptions!$B$66/12</f>
        <v/>
      </c>
      <c r="M43" s="21">
        <f>K43+L43+D43</f>
        <v/>
      </c>
      <c r="N43" s="21">
        <f>MIN(MAX(0,E43-I43),MAX(0,M43-I43)/(1-Assumptions!$B$64))</f>
        <v/>
      </c>
      <c r="O43" s="21">
        <f>N43*(1-Assumptions!$B$64)</f>
        <v/>
      </c>
      <c r="P43" s="21">
        <f>N43*Assumptions!$B$64</f>
        <v/>
      </c>
      <c r="Q43" s="21">
        <f>MAX(0,M43-I43-O43)</f>
        <v/>
      </c>
      <c r="R43" s="21">
        <f>MAX(0,E43-I43-N43)</f>
        <v/>
      </c>
      <c r="S43" s="21">
        <f>R43*(1-Assumptions!$B$65)</f>
        <v/>
      </c>
      <c r="T43" s="21">
        <f>R43*Assumptions!$B$65</f>
        <v/>
      </c>
      <c r="U43" s="21">
        <f>I43+O43+S43</f>
        <v/>
      </c>
      <c r="V43" s="21">
        <f>P43+T43</f>
        <v/>
      </c>
      <c r="W43" s="21">
        <f>(1-Assumptions!$B$62)*(U43-D43)</f>
        <v/>
      </c>
      <c r="X43" s="21">
        <f>Assumptions!$B$62*(U43-D43)+V43</f>
        <v/>
      </c>
    </row>
    <row r="44">
      <c r="A44" s="42">
        <f>CashFlow!A44</f>
        <v/>
      </c>
      <c r="B44" s="43">
        <f>CashFlow!B44</f>
        <v/>
      </c>
      <c r="C44" s="31">
        <f>CashFlow!AC44</f>
        <v/>
      </c>
      <c r="D44" s="21">
        <f>MAX(0,-C44)</f>
        <v/>
      </c>
      <c r="E44" s="21">
        <f>MAX(0,C44)</f>
        <v/>
      </c>
      <c r="F44" s="21">
        <f>J43</f>
        <v/>
      </c>
      <c r="G44" s="21">
        <f>F44*Assumptions!$B$63/12</f>
        <v/>
      </c>
      <c r="H44" s="21">
        <f>F44+G44+D44</f>
        <v/>
      </c>
      <c r="I44" s="21">
        <f>MIN(E44,H44)</f>
        <v/>
      </c>
      <c r="J44" s="21">
        <f>H44-I44</f>
        <v/>
      </c>
      <c r="K44" s="21">
        <f>Q43</f>
        <v/>
      </c>
      <c r="L44" s="21">
        <f>K44*Assumptions!$B$66/12</f>
        <v/>
      </c>
      <c r="M44" s="21">
        <f>K44+L44+D44</f>
        <v/>
      </c>
      <c r="N44" s="21">
        <f>MIN(MAX(0,E44-I44),MAX(0,M44-I44)/(1-Assumptions!$B$64))</f>
        <v/>
      </c>
      <c r="O44" s="21">
        <f>N44*(1-Assumptions!$B$64)</f>
        <v/>
      </c>
      <c r="P44" s="21">
        <f>N44*Assumptions!$B$64</f>
        <v/>
      </c>
      <c r="Q44" s="21">
        <f>MAX(0,M44-I44-O44)</f>
        <v/>
      </c>
      <c r="R44" s="21">
        <f>MAX(0,E44-I44-N44)</f>
        <v/>
      </c>
      <c r="S44" s="21">
        <f>R44*(1-Assumptions!$B$65)</f>
        <v/>
      </c>
      <c r="T44" s="21">
        <f>R44*Assumptions!$B$65</f>
        <v/>
      </c>
      <c r="U44" s="21">
        <f>I44+O44+S44</f>
        <v/>
      </c>
      <c r="V44" s="21">
        <f>P44+T44</f>
        <v/>
      </c>
      <c r="W44" s="21">
        <f>(1-Assumptions!$B$62)*(U44-D44)</f>
        <v/>
      </c>
      <c r="X44" s="21">
        <f>Assumptions!$B$62*(U44-D44)+V44</f>
        <v/>
      </c>
    </row>
    <row r="45">
      <c r="A45" s="42">
        <f>CashFlow!A45</f>
        <v/>
      </c>
      <c r="B45" s="43">
        <f>CashFlow!B45</f>
        <v/>
      </c>
      <c r="C45" s="31">
        <f>CashFlow!AC45</f>
        <v/>
      </c>
      <c r="D45" s="21">
        <f>MAX(0,-C45)</f>
        <v/>
      </c>
      <c r="E45" s="21">
        <f>MAX(0,C45)</f>
        <v/>
      </c>
      <c r="F45" s="21">
        <f>J44</f>
        <v/>
      </c>
      <c r="G45" s="21">
        <f>F45*Assumptions!$B$63/12</f>
        <v/>
      </c>
      <c r="H45" s="21">
        <f>F45+G45+D45</f>
        <v/>
      </c>
      <c r="I45" s="21">
        <f>MIN(E45,H45)</f>
        <v/>
      </c>
      <c r="J45" s="21">
        <f>H45-I45</f>
        <v/>
      </c>
      <c r="K45" s="21">
        <f>Q44</f>
        <v/>
      </c>
      <c r="L45" s="21">
        <f>K45*Assumptions!$B$66/12</f>
        <v/>
      </c>
      <c r="M45" s="21">
        <f>K45+L45+D45</f>
        <v/>
      </c>
      <c r="N45" s="21">
        <f>MIN(MAX(0,E45-I45),MAX(0,M45-I45)/(1-Assumptions!$B$64))</f>
        <v/>
      </c>
      <c r="O45" s="21">
        <f>N45*(1-Assumptions!$B$64)</f>
        <v/>
      </c>
      <c r="P45" s="21">
        <f>N45*Assumptions!$B$64</f>
        <v/>
      </c>
      <c r="Q45" s="21">
        <f>MAX(0,M45-I45-O45)</f>
        <v/>
      </c>
      <c r="R45" s="21">
        <f>MAX(0,E45-I45-N45)</f>
        <v/>
      </c>
      <c r="S45" s="21">
        <f>R45*(1-Assumptions!$B$65)</f>
        <v/>
      </c>
      <c r="T45" s="21">
        <f>R45*Assumptions!$B$65</f>
        <v/>
      </c>
      <c r="U45" s="21">
        <f>I45+O45+S45</f>
        <v/>
      </c>
      <c r="V45" s="21">
        <f>P45+T45</f>
        <v/>
      </c>
      <c r="W45" s="21">
        <f>(1-Assumptions!$B$62)*(U45-D45)</f>
        <v/>
      </c>
      <c r="X45" s="21">
        <f>Assumptions!$B$62*(U45-D45)+V45</f>
        <v/>
      </c>
    </row>
    <row r="46">
      <c r="A46" s="42">
        <f>CashFlow!A46</f>
        <v/>
      </c>
      <c r="B46" s="43">
        <f>CashFlow!B46</f>
        <v/>
      </c>
      <c r="C46" s="31">
        <f>CashFlow!AC46</f>
        <v/>
      </c>
      <c r="D46" s="21">
        <f>MAX(0,-C46)</f>
        <v/>
      </c>
      <c r="E46" s="21">
        <f>MAX(0,C46)</f>
        <v/>
      </c>
      <c r="F46" s="21">
        <f>J45</f>
        <v/>
      </c>
      <c r="G46" s="21">
        <f>F46*Assumptions!$B$63/12</f>
        <v/>
      </c>
      <c r="H46" s="21">
        <f>F46+G46+D46</f>
        <v/>
      </c>
      <c r="I46" s="21">
        <f>MIN(E46,H46)</f>
        <v/>
      </c>
      <c r="J46" s="21">
        <f>H46-I46</f>
        <v/>
      </c>
      <c r="K46" s="21">
        <f>Q45</f>
        <v/>
      </c>
      <c r="L46" s="21">
        <f>K46*Assumptions!$B$66/12</f>
        <v/>
      </c>
      <c r="M46" s="21">
        <f>K46+L46+D46</f>
        <v/>
      </c>
      <c r="N46" s="21">
        <f>MIN(MAX(0,E46-I46),MAX(0,M46-I46)/(1-Assumptions!$B$64))</f>
        <v/>
      </c>
      <c r="O46" s="21">
        <f>N46*(1-Assumptions!$B$64)</f>
        <v/>
      </c>
      <c r="P46" s="21">
        <f>N46*Assumptions!$B$64</f>
        <v/>
      </c>
      <c r="Q46" s="21">
        <f>MAX(0,M46-I46-O46)</f>
        <v/>
      </c>
      <c r="R46" s="21">
        <f>MAX(0,E46-I46-N46)</f>
        <v/>
      </c>
      <c r="S46" s="21">
        <f>R46*(1-Assumptions!$B$65)</f>
        <v/>
      </c>
      <c r="T46" s="21">
        <f>R46*Assumptions!$B$65</f>
        <v/>
      </c>
      <c r="U46" s="21">
        <f>I46+O46+S46</f>
        <v/>
      </c>
      <c r="V46" s="21">
        <f>P46+T46</f>
        <v/>
      </c>
      <c r="W46" s="21">
        <f>(1-Assumptions!$B$62)*(U46-D46)</f>
        <v/>
      </c>
      <c r="X46" s="21">
        <f>Assumptions!$B$62*(U46-D46)+V46</f>
        <v/>
      </c>
    </row>
    <row r="47">
      <c r="A47" s="42">
        <f>CashFlow!A47</f>
        <v/>
      </c>
      <c r="B47" s="43">
        <f>CashFlow!B47</f>
        <v/>
      </c>
      <c r="C47" s="31">
        <f>CashFlow!AC47</f>
        <v/>
      </c>
      <c r="D47" s="21">
        <f>MAX(0,-C47)</f>
        <v/>
      </c>
      <c r="E47" s="21">
        <f>MAX(0,C47)</f>
        <v/>
      </c>
      <c r="F47" s="21">
        <f>J46</f>
        <v/>
      </c>
      <c r="G47" s="21">
        <f>F47*Assumptions!$B$63/12</f>
        <v/>
      </c>
      <c r="H47" s="21">
        <f>F47+G47+D47</f>
        <v/>
      </c>
      <c r="I47" s="21">
        <f>MIN(E47,H47)</f>
        <v/>
      </c>
      <c r="J47" s="21">
        <f>H47-I47</f>
        <v/>
      </c>
      <c r="K47" s="21">
        <f>Q46</f>
        <v/>
      </c>
      <c r="L47" s="21">
        <f>K47*Assumptions!$B$66/12</f>
        <v/>
      </c>
      <c r="M47" s="21">
        <f>K47+L47+D47</f>
        <v/>
      </c>
      <c r="N47" s="21">
        <f>MIN(MAX(0,E47-I47),MAX(0,M47-I47)/(1-Assumptions!$B$64))</f>
        <v/>
      </c>
      <c r="O47" s="21">
        <f>N47*(1-Assumptions!$B$64)</f>
        <v/>
      </c>
      <c r="P47" s="21">
        <f>N47*Assumptions!$B$64</f>
        <v/>
      </c>
      <c r="Q47" s="21">
        <f>MAX(0,M47-I47-O47)</f>
        <v/>
      </c>
      <c r="R47" s="21">
        <f>MAX(0,E47-I47-N47)</f>
        <v/>
      </c>
      <c r="S47" s="21">
        <f>R47*(1-Assumptions!$B$65)</f>
        <v/>
      </c>
      <c r="T47" s="21">
        <f>R47*Assumptions!$B$65</f>
        <v/>
      </c>
      <c r="U47" s="21">
        <f>I47+O47+S47</f>
        <v/>
      </c>
      <c r="V47" s="21">
        <f>P47+T47</f>
        <v/>
      </c>
      <c r="W47" s="21">
        <f>(1-Assumptions!$B$62)*(U47-D47)</f>
        <v/>
      </c>
      <c r="X47" s="21">
        <f>Assumptions!$B$62*(U47-D47)+V47</f>
        <v/>
      </c>
    </row>
    <row r="48">
      <c r="A48" s="42">
        <f>CashFlow!A48</f>
        <v/>
      </c>
      <c r="B48" s="43">
        <f>CashFlow!B48</f>
        <v/>
      </c>
      <c r="C48" s="31">
        <f>CashFlow!AC48</f>
        <v/>
      </c>
      <c r="D48" s="21">
        <f>MAX(0,-C48)</f>
        <v/>
      </c>
      <c r="E48" s="21">
        <f>MAX(0,C48)</f>
        <v/>
      </c>
      <c r="F48" s="21">
        <f>J47</f>
        <v/>
      </c>
      <c r="G48" s="21">
        <f>F48*Assumptions!$B$63/12</f>
        <v/>
      </c>
      <c r="H48" s="21">
        <f>F48+G48+D48</f>
        <v/>
      </c>
      <c r="I48" s="21">
        <f>MIN(E48,H48)</f>
        <v/>
      </c>
      <c r="J48" s="21">
        <f>H48-I48</f>
        <v/>
      </c>
      <c r="K48" s="21">
        <f>Q47</f>
        <v/>
      </c>
      <c r="L48" s="21">
        <f>K48*Assumptions!$B$66/12</f>
        <v/>
      </c>
      <c r="M48" s="21">
        <f>K48+L48+D48</f>
        <v/>
      </c>
      <c r="N48" s="21">
        <f>MIN(MAX(0,E48-I48),MAX(0,M48-I48)/(1-Assumptions!$B$64))</f>
        <v/>
      </c>
      <c r="O48" s="21">
        <f>N48*(1-Assumptions!$B$64)</f>
        <v/>
      </c>
      <c r="P48" s="21">
        <f>N48*Assumptions!$B$64</f>
        <v/>
      </c>
      <c r="Q48" s="21">
        <f>MAX(0,M48-I48-O48)</f>
        <v/>
      </c>
      <c r="R48" s="21">
        <f>MAX(0,E48-I48-N48)</f>
        <v/>
      </c>
      <c r="S48" s="21">
        <f>R48*(1-Assumptions!$B$65)</f>
        <v/>
      </c>
      <c r="T48" s="21">
        <f>R48*Assumptions!$B$65</f>
        <v/>
      </c>
      <c r="U48" s="21">
        <f>I48+O48+S48</f>
        <v/>
      </c>
      <c r="V48" s="21">
        <f>P48+T48</f>
        <v/>
      </c>
      <c r="W48" s="21">
        <f>(1-Assumptions!$B$62)*(U48-D48)</f>
        <v/>
      </c>
      <c r="X48" s="21">
        <f>Assumptions!$B$62*(U48-D48)+V48</f>
        <v/>
      </c>
    </row>
    <row r="49">
      <c r="A49" s="42">
        <f>CashFlow!A49</f>
        <v/>
      </c>
      <c r="B49" s="43">
        <f>CashFlow!B49</f>
        <v/>
      </c>
      <c r="C49" s="31">
        <f>CashFlow!AC49</f>
        <v/>
      </c>
      <c r="D49" s="21">
        <f>MAX(0,-C49)</f>
        <v/>
      </c>
      <c r="E49" s="21">
        <f>MAX(0,C49)</f>
        <v/>
      </c>
      <c r="F49" s="21">
        <f>J48</f>
        <v/>
      </c>
      <c r="G49" s="21">
        <f>F49*Assumptions!$B$63/12</f>
        <v/>
      </c>
      <c r="H49" s="21">
        <f>F49+G49+D49</f>
        <v/>
      </c>
      <c r="I49" s="21">
        <f>MIN(E49,H49)</f>
        <v/>
      </c>
      <c r="J49" s="21">
        <f>H49-I49</f>
        <v/>
      </c>
      <c r="K49" s="21">
        <f>Q48</f>
        <v/>
      </c>
      <c r="L49" s="21">
        <f>K49*Assumptions!$B$66/12</f>
        <v/>
      </c>
      <c r="M49" s="21">
        <f>K49+L49+D49</f>
        <v/>
      </c>
      <c r="N49" s="21">
        <f>MIN(MAX(0,E49-I49),MAX(0,M49-I49)/(1-Assumptions!$B$64))</f>
        <v/>
      </c>
      <c r="O49" s="21">
        <f>N49*(1-Assumptions!$B$64)</f>
        <v/>
      </c>
      <c r="P49" s="21">
        <f>N49*Assumptions!$B$64</f>
        <v/>
      </c>
      <c r="Q49" s="21">
        <f>MAX(0,M49-I49-O49)</f>
        <v/>
      </c>
      <c r="R49" s="21">
        <f>MAX(0,E49-I49-N49)</f>
        <v/>
      </c>
      <c r="S49" s="21">
        <f>R49*(1-Assumptions!$B$65)</f>
        <v/>
      </c>
      <c r="T49" s="21">
        <f>R49*Assumptions!$B$65</f>
        <v/>
      </c>
      <c r="U49" s="21">
        <f>I49+O49+S49</f>
        <v/>
      </c>
      <c r="V49" s="21">
        <f>P49+T49</f>
        <v/>
      </c>
      <c r="W49" s="21">
        <f>(1-Assumptions!$B$62)*(U49-D49)</f>
        <v/>
      </c>
      <c r="X49" s="21">
        <f>Assumptions!$B$62*(U49-D49)+V49</f>
        <v/>
      </c>
    </row>
    <row r="50">
      <c r="A50" s="42">
        <f>CashFlow!A50</f>
        <v/>
      </c>
      <c r="B50" s="43">
        <f>CashFlow!B50</f>
        <v/>
      </c>
      <c r="C50" s="31">
        <f>CashFlow!AC50</f>
        <v/>
      </c>
      <c r="D50" s="21">
        <f>MAX(0,-C50)</f>
        <v/>
      </c>
      <c r="E50" s="21">
        <f>MAX(0,C50)</f>
        <v/>
      </c>
      <c r="F50" s="21">
        <f>J49</f>
        <v/>
      </c>
      <c r="G50" s="21">
        <f>F50*Assumptions!$B$63/12</f>
        <v/>
      </c>
      <c r="H50" s="21">
        <f>F50+G50+D50</f>
        <v/>
      </c>
      <c r="I50" s="21">
        <f>MIN(E50,H50)</f>
        <v/>
      </c>
      <c r="J50" s="21">
        <f>H50-I50</f>
        <v/>
      </c>
      <c r="K50" s="21">
        <f>Q49</f>
        <v/>
      </c>
      <c r="L50" s="21">
        <f>K50*Assumptions!$B$66/12</f>
        <v/>
      </c>
      <c r="M50" s="21">
        <f>K50+L50+D50</f>
        <v/>
      </c>
      <c r="N50" s="21">
        <f>MIN(MAX(0,E50-I50),MAX(0,M50-I50)/(1-Assumptions!$B$64))</f>
        <v/>
      </c>
      <c r="O50" s="21">
        <f>N50*(1-Assumptions!$B$64)</f>
        <v/>
      </c>
      <c r="P50" s="21">
        <f>N50*Assumptions!$B$64</f>
        <v/>
      </c>
      <c r="Q50" s="21">
        <f>MAX(0,M50-I50-O50)</f>
        <v/>
      </c>
      <c r="R50" s="21">
        <f>MAX(0,E50-I50-N50)</f>
        <v/>
      </c>
      <c r="S50" s="21">
        <f>R50*(1-Assumptions!$B$65)</f>
        <v/>
      </c>
      <c r="T50" s="21">
        <f>R50*Assumptions!$B$65</f>
        <v/>
      </c>
      <c r="U50" s="21">
        <f>I50+O50+S50</f>
        <v/>
      </c>
      <c r="V50" s="21">
        <f>P50+T50</f>
        <v/>
      </c>
      <c r="W50" s="21">
        <f>(1-Assumptions!$B$62)*(U50-D50)</f>
        <v/>
      </c>
      <c r="X50" s="21">
        <f>Assumptions!$B$62*(U50-D50)+V50</f>
        <v/>
      </c>
    </row>
    <row r="51">
      <c r="A51" s="42">
        <f>CashFlow!A51</f>
        <v/>
      </c>
      <c r="B51" s="43">
        <f>CashFlow!B51</f>
        <v/>
      </c>
      <c r="C51" s="31">
        <f>CashFlow!AC51</f>
        <v/>
      </c>
      <c r="D51" s="21">
        <f>MAX(0,-C51)</f>
        <v/>
      </c>
      <c r="E51" s="21">
        <f>MAX(0,C51)</f>
        <v/>
      </c>
      <c r="F51" s="21">
        <f>J50</f>
        <v/>
      </c>
      <c r="G51" s="21">
        <f>F51*Assumptions!$B$63/12</f>
        <v/>
      </c>
      <c r="H51" s="21">
        <f>F51+G51+D51</f>
        <v/>
      </c>
      <c r="I51" s="21">
        <f>MIN(E51,H51)</f>
        <v/>
      </c>
      <c r="J51" s="21">
        <f>H51-I51</f>
        <v/>
      </c>
      <c r="K51" s="21">
        <f>Q50</f>
        <v/>
      </c>
      <c r="L51" s="21">
        <f>K51*Assumptions!$B$66/12</f>
        <v/>
      </c>
      <c r="M51" s="21">
        <f>K51+L51+D51</f>
        <v/>
      </c>
      <c r="N51" s="21">
        <f>MIN(MAX(0,E51-I51),MAX(0,M51-I51)/(1-Assumptions!$B$64))</f>
        <v/>
      </c>
      <c r="O51" s="21">
        <f>N51*(1-Assumptions!$B$64)</f>
        <v/>
      </c>
      <c r="P51" s="21">
        <f>N51*Assumptions!$B$64</f>
        <v/>
      </c>
      <c r="Q51" s="21">
        <f>MAX(0,M51-I51-O51)</f>
        <v/>
      </c>
      <c r="R51" s="21">
        <f>MAX(0,E51-I51-N51)</f>
        <v/>
      </c>
      <c r="S51" s="21">
        <f>R51*(1-Assumptions!$B$65)</f>
        <v/>
      </c>
      <c r="T51" s="21">
        <f>R51*Assumptions!$B$65</f>
        <v/>
      </c>
      <c r="U51" s="21">
        <f>I51+O51+S51</f>
        <v/>
      </c>
      <c r="V51" s="21">
        <f>P51+T51</f>
        <v/>
      </c>
      <c r="W51" s="21">
        <f>(1-Assumptions!$B$62)*(U51-D51)</f>
        <v/>
      </c>
      <c r="X51" s="21">
        <f>Assumptions!$B$62*(U51-D51)+V51</f>
        <v/>
      </c>
    </row>
    <row r="52">
      <c r="A52" s="42">
        <f>CashFlow!A52</f>
        <v/>
      </c>
      <c r="B52" s="43">
        <f>CashFlow!B52</f>
        <v/>
      </c>
      <c r="C52" s="31">
        <f>CashFlow!AC52</f>
        <v/>
      </c>
      <c r="D52" s="21">
        <f>MAX(0,-C52)</f>
        <v/>
      </c>
      <c r="E52" s="21">
        <f>MAX(0,C52)</f>
        <v/>
      </c>
      <c r="F52" s="21">
        <f>J51</f>
        <v/>
      </c>
      <c r="G52" s="21">
        <f>F52*Assumptions!$B$63/12</f>
        <v/>
      </c>
      <c r="H52" s="21">
        <f>F52+G52+D52</f>
        <v/>
      </c>
      <c r="I52" s="21">
        <f>MIN(E52,H52)</f>
        <v/>
      </c>
      <c r="J52" s="21">
        <f>H52-I52</f>
        <v/>
      </c>
      <c r="K52" s="21">
        <f>Q51</f>
        <v/>
      </c>
      <c r="L52" s="21">
        <f>K52*Assumptions!$B$66/12</f>
        <v/>
      </c>
      <c r="M52" s="21">
        <f>K52+L52+D52</f>
        <v/>
      </c>
      <c r="N52" s="21">
        <f>MIN(MAX(0,E52-I52),MAX(0,M52-I52)/(1-Assumptions!$B$64))</f>
        <v/>
      </c>
      <c r="O52" s="21">
        <f>N52*(1-Assumptions!$B$64)</f>
        <v/>
      </c>
      <c r="P52" s="21">
        <f>N52*Assumptions!$B$64</f>
        <v/>
      </c>
      <c r="Q52" s="21">
        <f>MAX(0,M52-I52-O52)</f>
        <v/>
      </c>
      <c r="R52" s="21">
        <f>MAX(0,E52-I52-N52)</f>
        <v/>
      </c>
      <c r="S52" s="21">
        <f>R52*(1-Assumptions!$B$65)</f>
        <v/>
      </c>
      <c r="T52" s="21">
        <f>R52*Assumptions!$B$65</f>
        <v/>
      </c>
      <c r="U52" s="21">
        <f>I52+O52+S52</f>
        <v/>
      </c>
      <c r="V52" s="21">
        <f>P52+T52</f>
        <v/>
      </c>
      <c r="W52" s="21">
        <f>(1-Assumptions!$B$62)*(U52-D52)</f>
        <v/>
      </c>
      <c r="X52" s="21">
        <f>Assumptions!$B$62*(U52-D52)+V52</f>
        <v/>
      </c>
    </row>
    <row r="53">
      <c r="A53" s="42">
        <f>CashFlow!A53</f>
        <v/>
      </c>
      <c r="B53" s="43">
        <f>CashFlow!B53</f>
        <v/>
      </c>
      <c r="C53" s="31">
        <f>CashFlow!AC53</f>
        <v/>
      </c>
      <c r="D53" s="21">
        <f>MAX(0,-C53)</f>
        <v/>
      </c>
      <c r="E53" s="21">
        <f>MAX(0,C53)</f>
        <v/>
      </c>
      <c r="F53" s="21">
        <f>J52</f>
        <v/>
      </c>
      <c r="G53" s="21">
        <f>F53*Assumptions!$B$63/12</f>
        <v/>
      </c>
      <c r="H53" s="21">
        <f>F53+G53+D53</f>
        <v/>
      </c>
      <c r="I53" s="21">
        <f>MIN(E53,H53)</f>
        <v/>
      </c>
      <c r="J53" s="21">
        <f>H53-I53</f>
        <v/>
      </c>
      <c r="K53" s="21">
        <f>Q52</f>
        <v/>
      </c>
      <c r="L53" s="21">
        <f>K53*Assumptions!$B$66/12</f>
        <v/>
      </c>
      <c r="M53" s="21">
        <f>K53+L53+D53</f>
        <v/>
      </c>
      <c r="N53" s="21">
        <f>MIN(MAX(0,E53-I53),MAX(0,M53-I53)/(1-Assumptions!$B$64))</f>
        <v/>
      </c>
      <c r="O53" s="21">
        <f>N53*(1-Assumptions!$B$64)</f>
        <v/>
      </c>
      <c r="P53" s="21">
        <f>N53*Assumptions!$B$64</f>
        <v/>
      </c>
      <c r="Q53" s="21">
        <f>MAX(0,M53-I53-O53)</f>
        <v/>
      </c>
      <c r="R53" s="21">
        <f>MAX(0,E53-I53-N53)</f>
        <v/>
      </c>
      <c r="S53" s="21">
        <f>R53*(1-Assumptions!$B$65)</f>
        <v/>
      </c>
      <c r="T53" s="21">
        <f>R53*Assumptions!$B$65</f>
        <v/>
      </c>
      <c r="U53" s="21">
        <f>I53+O53+S53</f>
        <v/>
      </c>
      <c r="V53" s="21">
        <f>P53+T53</f>
        <v/>
      </c>
      <c r="W53" s="21">
        <f>(1-Assumptions!$B$62)*(U53-D53)</f>
        <v/>
      </c>
      <c r="X53" s="21">
        <f>Assumptions!$B$62*(U53-D53)+V53</f>
        <v/>
      </c>
    </row>
    <row r="54">
      <c r="A54" s="42">
        <f>CashFlow!A54</f>
        <v/>
      </c>
      <c r="B54" s="43">
        <f>CashFlow!B54</f>
        <v/>
      </c>
      <c r="C54" s="31">
        <f>CashFlow!AC54</f>
        <v/>
      </c>
      <c r="D54" s="21">
        <f>MAX(0,-C54)</f>
        <v/>
      </c>
      <c r="E54" s="21">
        <f>MAX(0,C54)</f>
        <v/>
      </c>
      <c r="F54" s="21">
        <f>J53</f>
        <v/>
      </c>
      <c r="G54" s="21">
        <f>F54*Assumptions!$B$63/12</f>
        <v/>
      </c>
      <c r="H54" s="21">
        <f>F54+G54+D54</f>
        <v/>
      </c>
      <c r="I54" s="21">
        <f>MIN(E54,H54)</f>
        <v/>
      </c>
      <c r="J54" s="21">
        <f>H54-I54</f>
        <v/>
      </c>
      <c r="K54" s="21">
        <f>Q53</f>
        <v/>
      </c>
      <c r="L54" s="21">
        <f>K54*Assumptions!$B$66/12</f>
        <v/>
      </c>
      <c r="M54" s="21">
        <f>K54+L54+D54</f>
        <v/>
      </c>
      <c r="N54" s="21">
        <f>MIN(MAX(0,E54-I54),MAX(0,M54-I54)/(1-Assumptions!$B$64))</f>
        <v/>
      </c>
      <c r="O54" s="21">
        <f>N54*(1-Assumptions!$B$64)</f>
        <v/>
      </c>
      <c r="P54" s="21">
        <f>N54*Assumptions!$B$64</f>
        <v/>
      </c>
      <c r="Q54" s="21">
        <f>MAX(0,M54-I54-O54)</f>
        <v/>
      </c>
      <c r="R54" s="21">
        <f>MAX(0,E54-I54-N54)</f>
        <v/>
      </c>
      <c r="S54" s="21">
        <f>R54*(1-Assumptions!$B$65)</f>
        <v/>
      </c>
      <c r="T54" s="21">
        <f>R54*Assumptions!$B$65</f>
        <v/>
      </c>
      <c r="U54" s="21">
        <f>I54+O54+S54</f>
        <v/>
      </c>
      <c r="V54" s="21">
        <f>P54+T54</f>
        <v/>
      </c>
      <c r="W54" s="21">
        <f>(1-Assumptions!$B$62)*(U54-D54)</f>
        <v/>
      </c>
      <c r="X54" s="21">
        <f>Assumptions!$B$62*(U54-D54)+V54</f>
        <v/>
      </c>
    </row>
    <row r="55">
      <c r="A55" s="42">
        <f>CashFlow!A55</f>
        <v/>
      </c>
      <c r="B55" s="43">
        <f>CashFlow!B55</f>
        <v/>
      </c>
      <c r="C55" s="31">
        <f>CashFlow!AC55</f>
        <v/>
      </c>
      <c r="D55" s="21">
        <f>MAX(0,-C55)</f>
        <v/>
      </c>
      <c r="E55" s="21">
        <f>MAX(0,C55)</f>
        <v/>
      </c>
      <c r="F55" s="21">
        <f>J54</f>
        <v/>
      </c>
      <c r="G55" s="21">
        <f>F55*Assumptions!$B$63/12</f>
        <v/>
      </c>
      <c r="H55" s="21">
        <f>F55+G55+D55</f>
        <v/>
      </c>
      <c r="I55" s="21">
        <f>MIN(E55,H55)</f>
        <v/>
      </c>
      <c r="J55" s="21">
        <f>H55-I55</f>
        <v/>
      </c>
      <c r="K55" s="21">
        <f>Q54</f>
        <v/>
      </c>
      <c r="L55" s="21">
        <f>K55*Assumptions!$B$66/12</f>
        <v/>
      </c>
      <c r="M55" s="21">
        <f>K55+L55+D55</f>
        <v/>
      </c>
      <c r="N55" s="21">
        <f>MIN(MAX(0,E55-I55),MAX(0,M55-I55)/(1-Assumptions!$B$64))</f>
        <v/>
      </c>
      <c r="O55" s="21">
        <f>N55*(1-Assumptions!$B$64)</f>
        <v/>
      </c>
      <c r="P55" s="21">
        <f>N55*Assumptions!$B$64</f>
        <v/>
      </c>
      <c r="Q55" s="21">
        <f>MAX(0,M55-I55-O55)</f>
        <v/>
      </c>
      <c r="R55" s="21">
        <f>MAX(0,E55-I55-N55)</f>
        <v/>
      </c>
      <c r="S55" s="21">
        <f>R55*(1-Assumptions!$B$65)</f>
        <v/>
      </c>
      <c r="T55" s="21">
        <f>R55*Assumptions!$B$65</f>
        <v/>
      </c>
      <c r="U55" s="21">
        <f>I55+O55+S55</f>
        <v/>
      </c>
      <c r="V55" s="21">
        <f>P55+T55</f>
        <v/>
      </c>
      <c r="W55" s="21">
        <f>(1-Assumptions!$B$62)*(U55-D55)</f>
        <v/>
      </c>
      <c r="X55" s="21">
        <f>Assumptions!$B$62*(U55-D55)+V55</f>
        <v/>
      </c>
    </row>
    <row r="56">
      <c r="A56" s="42">
        <f>CashFlow!A56</f>
        <v/>
      </c>
      <c r="B56" s="43">
        <f>CashFlow!B56</f>
        <v/>
      </c>
      <c r="C56" s="31">
        <f>CashFlow!AC56</f>
        <v/>
      </c>
      <c r="D56" s="21">
        <f>MAX(0,-C56)</f>
        <v/>
      </c>
      <c r="E56" s="21">
        <f>MAX(0,C56)</f>
        <v/>
      </c>
      <c r="F56" s="21">
        <f>J55</f>
        <v/>
      </c>
      <c r="G56" s="21">
        <f>F56*Assumptions!$B$63/12</f>
        <v/>
      </c>
      <c r="H56" s="21">
        <f>F56+G56+D56</f>
        <v/>
      </c>
      <c r="I56" s="21">
        <f>MIN(E56,H56)</f>
        <v/>
      </c>
      <c r="J56" s="21">
        <f>H56-I56</f>
        <v/>
      </c>
      <c r="K56" s="21">
        <f>Q55</f>
        <v/>
      </c>
      <c r="L56" s="21">
        <f>K56*Assumptions!$B$66/12</f>
        <v/>
      </c>
      <c r="M56" s="21">
        <f>K56+L56+D56</f>
        <v/>
      </c>
      <c r="N56" s="21">
        <f>MIN(MAX(0,E56-I56),MAX(0,M56-I56)/(1-Assumptions!$B$64))</f>
        <v/>
      </c>
      <c r="O56" s="21">
        <f>N56*(1-Assumptions!$B$64)</f>
        <v/>
      </c>
      <c r="P56" s="21">
        <f>N56*Assumptions!$B$64</f>
        <v/>
      </c>
      <c r="Q56" s="21">
        <f>MAX(0,M56-I56-O56)</f>
        <v/>
      </c>
      <c r="R56" s="21">
        <f>MAX(0,E56-I56-N56)</f>
        <v/>
      </c>
      <c r="S56" s="21">
        <f>R56*(1-Assumptions!$B$65)</f>
        <v/>
      </c>
      <c r="T56" s="21">
        <f>R56*Assumptions!$B$65</f>
        <v/>
      </c>
      <c r="U56" s="21">
        <f>I56+O56+S56</f>
        <v/>
      </c>
      <c r="V56" s="21">
        <f>P56+T56</f>
        <v/>
      </c>
      <c r="W56" s="21">
        <f>(1-Assumptions!$B$62)*(U56-D56)</f>
        <v/>
      </c>
      <c r="X56" s="21">
        <f>Assumptions!$B$62*(U56-D56)+V56</f>
        <v/>
      </c>
    </row>
    <row r="57">
      <c r="A57" s="42">
        <f>CashFlow!A57</f>
        <v/>
      </c>
      <c r="B57" s="43">
        <f>CashFlow!B57</f>
        <v/>
      </c>
      <c r="C57" s="31">
        <f>CashFlow!AC57</f>
        <v/>
      </c>
      <c r="D57" s="21">
        <f>MAX(0,-C57)</f>
        <v/>
      </c>
      <c r="E57" s="21">
        <f>MAX(0,C57)</f>
        <v/>
      </c>
      <c r="F57" s="21">
        <f>J56</f>
        <v/>
      </c>
      <c r="G57" s="21">
        <f>F57*Assumptions!$B$63/12</f>
        <v/>
      </c>
      <c r="H57" s="21">
        <f>F57+G57+D57</f>
        <v/>
      </c>
      <c r="I57" s="21">
        <f>MIN(E57,H57)</f>
        <v/>
      </c>
      <c r="J57" s="21">
        <f>H57-I57</f>
        <v/>
      </c>
      <c r="K57" s="21">
        <f>Q56</f>
        <v/>
      </c>
      <c r="L57" s="21">
        <f>K57*Assumptions!$B$66/12</f>
        <v/>
      </c>
      <c r="M57" s="21">
        <f>K57+L57+D57</f>
        <v/>
      </c>
      <c r="N57" s="21">
        <f>MIN(MAX(0,E57-I57),MAX(0,M57-I57)/(1-Assumptions!$B$64))</f>
        <v/>
      </c>
      <c r="O57" s="21">
        <f>N57*(1-Assumptions!$B$64)</f>
        <v/>
      </c>
      <c r="P57" s="21">
        <f>N57*Assumptions!$B$64</f>
        <v/>
      </c>
      <c r="Q57" s="21">
        <f>MAX(0,M57-I57-O57)</f>
        <v/>
      </c>
      <c r="R57" s="21">
        <f>MAX(0,E57-I57-N57)</f>
        <v/>
      </c>
      <c r="S57" s="21">
        <f>R57*(1-Assumptions!$B$65)</f>
        <v/>
      </c>
      <c r="T57" s="21">
        <f>R57*Assumptions!$B$65</f>
        <v/>
      </c>
      <c r="U57" s="21">
        <f>I57+O57+S57</f>
        <v/>
      </c>
      <c r="V57" s="21">
        <f>P57+T57</f>
        <v/>
      </c>
      <c r="W57" s="21">
        <f>(1-Assumptions!$B$62)*(U57-D57)</f>
        <v/>
      </c>
      <c r="X57" s="21">
        <f>Assumptions!$B$62*(U57-D57)+V57</f>
        <v/>
      </c>
    </row>
    <row r="58">
      <c r="A58" s="42">
        <f>CashFlow!A58</f>
        <v/>
      </c>
      <c r="B58" s="43">
        <f>CashFlow!B58</f>
        <v/>
      </c>
      <c r="C58" s="31">
        <f>CashFlow!AC58</f>
        <v/>
      </c>
      <c r="D58" s="21">
        <f>MAX(0,-C58)</f>
        <v/>
      </c>
      <c r="E58" s="21">
        <f>MAX(0,C58)</f>
        <v/>
      </c>
      <c r="F58" s="21">
        <f>J57</f>
        <v/>
      </c>
      <c r="G58" s="21">
        <f>F58*Assumptions!$B$63/12</f>
        <v/>
      </c>
      <c r="H58" s="21">
        <f>F58+G58+D58</f>
        <v/>
      </c>
      <c r="I58" s="21">
        <f>MIN(E58,H58)</f>
        <v/>
      </c>
      <c r="J58" s="21">
        <f>H58-I58</f>
        <v/>
      </c>
      <c r="K58" s="21">
        <f>Q57</f>
        <v/>
      </c>
      <c r="L58" s="21">
        <f>K58*Assumptions!$B$66/12</f>
        <v/>
      </c>
      <c r="M58" s="21">
        <f>K58+L58+D58</f>
        <v/>
      </c>
      <c r="N58" s="21">
        <f>MIN(MAX(0,E58-I58),MAX(0,M58-I58)/(1-Assumptions!$B$64))</f>
        <v/>
      </c>
      <c r="O58" s="21">
        <f>N58*(1-Assumptions!$B$64)</f>
        <v/>
      </c>
      <c r="P58" s="21">
        <f>N58*Assumptions!$B$64</f>
        <v/>
      </c>
      <c r="Q58" s="21">
        <f>MAX(0,M58-I58-O58)</f>
        <v/>
      </c>
      <c r="R58" s="21">
        <f>MAX(0,E58-I58-N58)</f>
        <v/>
      </c>
      <c r="S58" s="21">
        <f>R58*(1-Assumptions!$B$65)</f>
        <v/>
      </c>
      <c r="T58" s="21">
        <f>R58*Assumptions!$B$65</f>
        <v/>
      </c>
      <c r="U58" s="21">
        <f>I58+O58+S58</f>
        <v/>
      </c>
      <c r="V58" s="21">
        <f>P58+T58</f>
        <v/>
      </c>
      <c r="W58" s="21">
        <f>(1-Assumptions!$B$62)*(U58-D58)</f>
        <v/>
      </c>
      <c r="X58" s="21">
        <f>Assumptions!$B$62*(U58-D58)+V58</f>
        <v/>
      </c>
    </row>
    <row r="59">
      <c r="A59" s="42">
        <f>CashFlow!A59</f>
        <v/>
      </c>
      <c r="B59" s="43">
        <f>CashFlow!B59</f>
        <v/>
      </c>
      <c r="C59" s="31">
        <f>CashFlow!AC59</f>
        <v/>
      </c>
      <c r="D59" s="21">
        <f>MAX(0,-C59)</f>
        <v/>
      </c>
      <c r="E59" s="21">
        <f>MAX(0,C59)</f>
        <v/>
      </c>
      <c r="F59" s="21">
        <f>J58</f>
        <v/>
      </c>
      <c r="G59" s="21">
        <f>F59*Assumptions!$B$63/12</f>
        <v/>
      </c>
      <c r="H59" s="21">
        <f>F59+G59+D59</f>
        <v/>
      </c>
      <c r="I59" s="21">
        <f>MIN(E59,H59)</f>
        <v/>
      </c>
      <c r="J59" s="21">
        <f>H59-I59</f>
        <v/>
      </c>
      <c r="K59" s="21">
        <f>Q58</f>
        <v/>
      </c>
      <c r="L59" s="21">
        <f>K59*Assumptions!$B$66/12</f>
        <v/>
      </c>
      <c r="M59" s="21">
        <f>K59+L59+D59</f>
        <v/>
      </c>
      <c r="N59" s="21">
        <f>MIN(MAX(0,E59-I59),MAX(0,M59-I59)/(1-Assumptions!$B$64))</f>
        <v/>
      </c>
      <c r="O59" s="21">
        <f>N59*(1-Assumptions!$B$64)</f>
        <v/>
      </c>
      <c r="P59" s="21">
        <f>N59*Assumptions!$B$64</f>
        <v/>
      </c>
      <c r="Q59" s="21">
        <f>MAX(0,M59-I59-O59)</f>
        <v/>
      </c>
      <c r="R59" s="21">
        <f>MAX(0,E59-I59-N59)</f>
        <v/>
      </c>
      <c r="S59" s="21">
        <f>R59*(1-Assumptions!$B$65)</f>
        <v/>
      </c>
      <c r="T59" s="21">
        <f>R59*Assumptions!$B$65</f>
        <v/>
      </c>
      <c r="U59" s="21">
        <f>I59+O59+S59</f>
        <v/>
      </c>
      <c r="V59" s="21">
        <f>P59+T59</f>
        <v/>
      </c>
      <c r="W59" s="21">
        <f>(1-Assumptions!$B$62)*(U59-D59)</f>
        <v/>
      </c>
      <c r="X59" s="21">
        <f>Assumptions!$B$62*(U59-D59)+V59</f>
        <v/>
      </c>
    </row>
    <row r="60">
      <c r="A60" s="42">
        <f>CashFlow!A60</f>
        <v/>
      </c>
      <c r="B60" s="43">
        <f>CashFlow!B60</f>
        <v/>
      </c>
      <c r="C60" s="31">
        <f>CashFlow!AC60</f>
        <v/>
      </c>
      <c r="D60" s="21">
        <f>MAX(0,-C60)</f>
        <v/>
      </c>
      <c r="E60" s="21">
        <f>MAX(0,C60)</f>
        <v/>
      </c>
      <c r="F60" s="21">
        <f>J59</f>
        <v/>
      </c>
      <c r="G60" s="21">
        <f>F60*Assumptions!$B$63/12</f>
        <v/>
      </c>
      <c r="H60" s="21">
        <f>F60+G60+D60</f>
        <v/>
      </c>
      <c r="I60" s="21">
        <f>MIN(E60,H60)</f>
        <v/>
      </c>
      <c r="J60" s="21">
        <f>H60-I60</f>
        <v/>
      </c>
      <c r="K60" s="21">
        <f>Q59</f>
        <v/>
      </c>
      <c r="L60" s="21">
        <f>K60*Assumptions!$B$66/12</f>
        <v/>
      </c>
      <c r="M60" s="21">
        <f>K60+L60+D60</f>
        <v/>
      </c>
      <c r="N60" s="21">
        <f>MIN(MAX(0,E60-I60),MAX(0,M60-I60)/(1-Assumptions!$B$64))</f>
        <v/>
      </c>
      <c r="O60" s="21">
        <f>N60*(1-Assumptions!$B$64)</f>
        <v/>
      </c>
      <c r="P60" s="21">
        <f>N60*Assumptions!$B$64</f>
        <v/>
      </c>
      <c r="Q60" s="21">
        <f>MAX(0,M60-I60-O60)</f>
        <v/>
      </c>
      <c r="R60" s="21">
        <f>MAX(0,E60-I60-N60)</f>
        <v/>
      </c>
      <c r="S60" s="21">
        <f>R60*(1-Assumptions!$B$65)</f>
        <v/>
      </c>
      <c r="T60" s="21">
        <f>R60*Assumptions!$B$65</f>
        <v/>
      </c>
      <c r="U60" s="21">
        <f>I60+O60+S60</f>
        <v/>
      </c>
      <c r="V60" s="21">
        <f>P60+T60</f>
        <v/>
      </c>
      <c r="W60" s="21">
        <f>(1-Assumptions!$B$62)*(U60-D60)</f>
        <v/>
      </c>
      <c r="X60" s="21">
        <f>Assumptions!$B$62*(U60-D60)+V60</f>
        <v/>
      </c>
    </row>
    <row r="61">
      <c r="A61" s="42">
        <f>CashFlow!A61</f>
        <v/>
      </c>
      <c r="B61" s="43">
        <f>CashFlow!B61</f>
        <v/>
      </c>
      <c r="C61" s="31">
        <f>CashFlow!AC61</f>
        <v/>
      </c>
      <c r="D61" s="21">
        <f>MAX(0,-C61)</f>
        <v/>
      </c>
      <c r="E61" s="21">
        <f>MAX(0,C61)</f>
        <v/>
      </c>
      <c r="F61" s="21">
        <f>J60</f>
        <v/>
      </c>
      <c r="G61" s="21">
        <f>F61*Assumptions!$B$63/12</f>
        <v/>
      </c>
      <c r="H61" s="21">
        <f>F61+G61+D61</f>
        <v/>
      </c>
      <c r="I61" s="21">
        <f>MIN(E61,H61)</f>
        <v/>
      </c>
      <c r="J61" s="21">
        <f>H61-I61</f>
        <v/>
      </c>
      <c r="K61" s="21">
        <f>Q60</f>
        <v/>
      </c>
      <c r="L61" s="21">
        <f>K61*Assumptions!$B$66/12</f>
        <v/>
      </c>
      <c r="M61" s="21">
        <f>K61+L61+D61</f>
        <v/>
      </c>
      <c r="N61" s="21">
        <f>MIN(MAX(0,E61-I61),MAX(0,M61-I61)/(1-Assumptions!$B$64))</f>
        <v/>
      </c>
      <c r="O61" s="21">
        <f>N61*(1-Assumptions!$B$64)</f>
        <v/>
      </c>
      <c r="P61" s="21">
        <f>N61*Assumptions!$B$64</f>
        <v/>
      </c>
      <c r="Q61" s="21">
        <f>MAX(0,M61-I61-O61)</f>
        <v/>
      </c>
      <c r="R61" s="21">
        <f>MAX(0,E61-I61-N61)</f>
        <v/>
      </c>
      <c r="S61" s="21">
        <f>R61*(1-Assumptions!$B$65)</f>
        <v/>
      </c>
      <c r="T61" s="21">
        <f>R61*Assumptions!$B$65</f>
        <v/>
      </c>
      <c r="U61" s="21">
        <f>I61+O61+S61</f>
        <v/>
      </c>
      <c r="V61" s="21">
        <f>P61+T61</f>
        <v/>
      </c>
      <c r="W61" s="21">
        <f>(1-Assumptions!$B$62)*(U61-D61)</f>
        <v/>
      </c>
      <c r="X61" s="21">
        <f>Assumptions!$B$62*(U61-D61)+V61</f>
        <v/>
      </c>
    </row>
    <row r="62">
      <c r="A62" s="42">
        <f>CashFlow!A62</f>
        <v/>
      </c>
      <c r="B62" s="43">
        <f>CashFlow!B62</f>
        <v/>
      </c>
      <c r="C62" s="31">
        <f>CashFlow!AC62</f>
        <v/>
      </c>
      <c r="D62" s="21">
        <f>MAX(0,-C62)</f>
        <v/>
      </c>
      <c r="E62" s="21">
        <f>MAX(0,C62)</f>
        <v/>
      </c>
      <c r="F62" s="21">
        <f>J61</f>
        <v/>
      </c>
      <c r="G62" s="21">
        <f>F62*Assumptions!$B$63/12</f>
        <v/>
      </c>
      <c r="H62" s="21">
        <f>F62+G62+D62</f>
        <v/>
      </c>
      <c r="I62" s="21">
        <f>MIN(E62,H62)</f>
        <v/>
      </c>
      <c r="J62" s="21">
        <f>H62-I62</f>
        <v/>
      </c>
      <c r="K62" s="21">
        <f>Q61</f>
        <v/>
      </c>
      <c r="L62" s="21">
        <f>K62*Assumptions!$B$66/12</f>
        <v/>
      </c>
      <c r="M62" s="21">
        <f>K62+L62+D62</f>
        <v/>
      </c>
      <c r="N62" s="21">
        <f>MIN(MAX(0,E62-I62),MAX(0,M62-I62)/(1-Assumptions!$B$64))</f>
        <v/>
      </c>
      <c r="O62" s="21">
        <f>N62*(1-Assumptions!$B$64)</f>
        <v/>
      </c>
      <c r="P62" s="21">
        <f>N62*Assumptions!$B$64</f>
        <v/>
      </c>
      <c r="Q62" s="21">
        <f>MAX(0,M62-I62-O62)</f>
        <v/>
      </c>
      <c r="R62" s="21">
        <f>MAX(0,E62-I62-N62)</f>
        <v/>
      </c>
      <c r="S62" s="21">
        <f>R62*(1-Assumptions!$B$65)</f>
        <v/>
      </c>
      <c r="T62" s="21">
        <f>R62*Assumptions!$B$65</f>
        <v/>
      </c>
      <c r="U62" s="21">
        <f>I62+O62+S62</f>
        <v/>
      </c>
      <c r="V62" s="21">
        <f>P62+T62</f>
        <v/>
      </c>
      <c r="W62" s="21">
        <f>(1-Assumptions!$B$62)*(U62-D62)</f>
        <v/>
      </c>
      <c r="X62" s="21">
        <f>Assumptions!$B$62*(U62-D62)+V62</f>
        <v/>
      </c>
    </row>
    <row r="63">
      <c r="A63" s="42">
        <f>CashFlow!A63</f>
        <v/>
      </c>
      <c r="B63" s="43">
        <f>CashFlow!B63</f>
        <v/>
      </c>
      <c r="C63" s="31">
        <f>CashFlow!AC63</f>
        <v/>
      </c>
      <c r="D63" s="21">
        <f>MAX(0,-C63)</f>
        <v/>
      </c>
      <c r="E63" s="21">
        <f>MAX(0,C63)</f>
        <v/>
      </c>
      <c r="F63" s="21">
        <f>J62</f>
        <v/>
      </c>
      <c r="G63" s="21">
        <f>F63*Assumptions!$B$63/12</f>
        <v/>
      </c>
      <c r="H63" s="21">
        <f>F63+G63+D63</f>
        <v/>
      </c>
      <c r="I63" s="21">
        <f>MIN(E63,H63)</f>
        <v/>
      </c>
      <c r="J63" s="21">
        <f>H63-I63</f>
        <v/>
      </c>
      <c r="K63" s="21">
        <f>Q62</f>
        <v/>
      </c>
      <c r="L63" s="21">
        <f>K63*Assumptions!$B$66/12</f>
        <v/>
      </c>
      <c r="M63" s="21">
        <f>K63+L63+D63</f>
        <v/>
      </c>
      <c r="N63" s="21">
        <f>MIN(MAX(0,E63-I63),MAX(0,M63-I63)/(1-Assumptions!$B$64))</f>
        <v/>
      </c>
      <c r="O63" s="21">
        <f>N63*(1-Assumptions!$B$64)</f>
        <v/>
      </c>
      <c r="P63" s="21">
        <f>N63*Assumptions!$B$64</f>
        <v/>
      </c>
      <c r="Q63" s="21">
        <f>MAX(0,M63-I63-O63)</f>
        <v/>
      </c>
      <c r="R63" s="21">
        <f>MAX(0,E63-I63-N63)</f>
        <v/>
      </c>
      <c r="S63" s="21">
        <f>R63*(1-Assumptions!$B$65)</f>
        <v/>
      </c>
      <c r="T63" s="21">
        <f>R63*Assumptions!$B$65</f>
        <v/>
      </c>
      <c r="U63" s="21">
        <f>I63+O63+S63</f>
        <v/>
      </c>
      <c r="V63" s="21">
        <f>P63+T63</f>
        <v/>
      </c>
      <c r="W63" s="21">
        <f>(1-Assumptions!$B$62)*(U63-D63)</f>
        <v/>
      </c>
      <c r="X63" s="21">
        <f>Assumptions!$B$62*(U63-D63)+V63</f>
        <v/>
      </c>
    </row>
    <row r="64">
      <c r="A64" s="42">
        <f>CashFlow!A64</f>
        <v/>
      </c>
      <c r="B64" s="43">
        <f>CashFlow!B64</f>
        <v/>
      </c>
      <c r="C64" s="31">
        <f>CashFlow!AC64</f>
        <v/>
      </c>
      <c r="D64" s="21">
        <f>MAX(0,-C64)</f>
        <v/>
      </c>
      <c r="E64" s="21">
        <f>MAX(0,C64)</f>
        <v/>
      </c>
      <c r="F64" s="21">
        <f>J63</f>
        <v/>
      </c>
      <c r="G64" s="21">
        <f>F64*Assumptions!$B$63/12</f>
        <v/>
      </c>
      <c r="H64" s="21">
        <f>F64+G64+D64</f>
        <v/>
      </c>
      <c r="I64" s="21">
        <f>MIN(E64,H64)</f>
        <v/>
      </c>
      <c r="J64" s="21">
        <f>H64-I64</f>
        <v/>
      </c>
      <c r="K64" s="21">
        <f>Q63</f>
        <v/>
      </c>
      <c r="L64" s="21">
        <f>K64*Assumptions!$B$66/12</f>
        <v/>
      </c>
      <c r="M64" s="21">
        <f>K64+L64+D64</f>
        <v/>
      </c>
      <c r="N64" s="21">
        <f>MIN(MAX(0,E64-I64),MAX(0,M64-I64)/(1-Assumptions!$B$64))</f>
        <v/>
      </c>
      <c r="O64" s="21">
        <f>N64*(1-Assumptions!$B$64)</f>
        <v/>
      </c>
      <c r="P64" s="21">
        <f>N64*Assumptions!$B$64</f>
        <v/>
      </c>
      <c r="Q64" s="21">
        <f>MAX(0,M64-I64-O64)</f>
        <v/>
      </c>
      <c r="R64" s="21">
        <f>MAX(0,E64-I64-N64)</f>
        <v/>
      </c>
      <c r="S64" s="21">
        <f>R64*(1-Assumptions!$B$65)</f>
        <v/>
      </c>
      <c r="T64" s="21">
        <f>R64*Assumptions!$B$65</f>
        <v/>
      </c>
      <c r="U64" s="21">
        <f>I64+O64+S64</f>
        <v/>
      </c>
      <c r="V64" s="21">
        <f>P64+T64</f>
        <v/>
      </c>
      <c r="W64" s="21">
        <f>(1-Assumptions!$B$62)*(U64-D64)</f>
        <v/>
      </c>
      <c r="X64" s="21">
        <f>Assumptions!$B$62*(U64-D64)+V64</f>
        <v/>
      </c>
    </row>
    <row r="65">
      <c r="A65" s="42">
        <f>CashFlow!A65</f>
        <v/>
      </c>
      <c r="B65" s="43">
        <f>CashFlow!B65</f>
        <v/>
      </c>
      <c r="C65" s="31">
        <f>CashFlow!AC65</f>
        <v/>
      </c>
      <c r="D65" s="21">
        <f>MAX(0,-C65)</f>
        <v/>
      </c>
      <c r="E65" s="21">
        <f>MAX(0,C65)</f>
        <v/>
      </c>
      <c r="F65" s="21">
        <f>J64</f>
        <v/>
      </c>
      <c r="G65" s="21">
        <f>F65*Assumptions!$B$63/12</f>
        <v/>
      </c>
      <c r="H65" s="21">
        <f>F65+G65+D65</f>
        <v/>
      </c>
      <c r="I65" s="21">
        <f>MIN(E65,H65)</f>
        <v/>
      </c>
      <c r="J65" s="21">
        <f>H65-I65</f>
        <v/>
      </c>
      <c r="K65" s="21">
        <f>Q64</f>
        <v/>
      </c>
      <c r="L65" s="21">
        <f>K65*Assumptions!$B$66/12</f>
        <v/>
      </c>
      <c r="M65" s="21">
        <f>K65+L65+D65</f>
        <v/>
      </c>
      <c r="N65" s="21">
        <f>MIN(MAX(0,E65-I65),MAX(0,M65-I65)/(1-Assumptions!$B$64))</f>
        <v/>
      </c>
      <c r="O65" s="21">
        <f>N65*(1-Assumptions!$B$64)</f>
        <v/>
      </c>
      <c r="P65" s="21">
        <f>N65*Assumptions!$B$64</f>
        <v/>
      </c>
      <c r="Q65" s="21">
        <f>MAX(0,M65-I65-O65)</f>
        <v/>
      </c>
      <c r="R65" s="21">
        <f>MAX(0,E65-I65-N65)</f>
        <v/>
      </c>
      <c r="S65" s="21">
        <f>R65*(1-Assumptions!$B$65)</f>
        <v/>
      </c>
      <c r="T65" s="21">
        <f>R65*Assumptions!$B$65</f>
        <v/>
      </c>
      <c r="U65" s="21">
        <f>I65+O65+S65</f>
        <v/>
      </c>
      <c r="V65" s="21">
        <f>P65+T65</f>
        <v/>
      </c>
      <c r="W65" s="21">
        <f>(1-Assumptions!$B$62)*(U65-D65)</f>
        <v/>
      </c>
      <c r="X65" s="21">
        <f>Assumptions!$B$62*(U65-D65)+V65</f>
        <v/>
      </c>
    </row>
    <row r="66">
      <c r="A66" s="42">
        <f>CashFlow!A66</f>
        <v/>
      </c>
      <c r="B66" s="43">
        <f>CashFlow!B66</f>
        <v/>
      </c>
      <c r="C66" s="31">
        <f>CashFlow!AC66</f>
        <v/>
      </c>
      <c r="D66" s="21">
        <f>MAX(0,-C66)</f>
        <v/>
      </c>
      <c r="E66" s="21">
        <f>MAX(0,C66)</f>
        <v/>
      </c>
      <c r="F66" s="21">
        <f>J65</f>
        <v/>
      </c>
      <c r="G66" s="21">
        <f>F66*Assumptions!$B$63/12</f>
        <v/>
      </c>
      <c r="H66" s="21">
        <f>F66+G66+D66</f>
        <v/>
      </c>
      <c r="I66" s="21">
        <f>MIN(E66,H66)</f>
        <v/>
      </c>
      <c r="J66" s="21">
        <f>H66-I66</f>
        <v/>
      </c>
      <c r="K66" s="21">
        <f>Q65</f>
        <v/>
      </c>
      <c r="L66" s="21">
        <f>K66*Assumptions!$B$66/12</f>
        <v/>
      </c>
      <c r="M66" s="21">
        <f>K66+L66+D66</f>
        <v/>
      </c>
      <c r="N66" s="21">
        <f>MIN(MAX(0,E66-I66),MAX(0,M66-I66)/(1-Assumptions!$B$64))</f>
        <v/>
      </c>
      <c r="O66" s="21">
        <f>N66*(1-Assumptions!$B$64)</f>
        <v/>
      </c>
      <c r="P66" s="21">
        <f>N66*Assumptions!$B$64</f>
        <v/>
      </c>
      <c r="Q66" s="21">
        <f>MAX(0,M66-I66-O66)</f>
        <v/>
      </c>
      <c r="R66" s="21">
        <f>MAX(0,E66-I66-N66)</f>
        <v/>
      </c>
      <c r="S66" s="21">
        <f>R66*(1-Assumptions!$B$65)</f>
        <v/>
      </c>
      <c r="T66" s="21">
        <f>R66*Assumptions!$B$65</f>
        <v/>
      </c>
      <c r="U66" s="21">
        <f>I66+O66+S66</f>
        <v/>
      </c>
      <c r="V66" s="21">
        <f>P66+T66</f>
        <v/>
      </c>
      <c r="W66" s="21">
        <f>(1-Assumptions!$B$62)*(U66-D66)</f>
        <v/>
      </c>
      <c r="X66" s="21">
        <f>Assumptions!$B$62*(U66-D66)+V66</f>
        <v/>
      </c>
    </row>
    <row r="67">
      <c r="A67" s="42">
        <f>CashFlow!A67</f>
        <v/>
      </c>
      <c r="B67" s="43">
        <f>CashFlow!B67</f>
        <v/>
      </c>
      <c r="C67" s="31">
        <f>CashFlow!AC67</f>
        <v/>
      </c>
      <c r="D67" s="21">
        <f>MAX(0,-C67)</f>
        <v/>
      </c>
      <c r="E67" s="21">
        <f>MAX(0,C67)</f>
        <v/>
      </c>
      <c r="F67" s="21">
        <f>J66</f>
        <v/>
      </c>
      <c r="G67" s="21">
        <f>F67*Assumptions!$B$63/12</f>
        <v/>
      </c>
      <c r="H67" s="21">
        <f>F67+G67+D67</f>
        <v/>
      </c>
      <c r="I67" s="21">
        <f>MIN(E67,H67)</f>
        <v/>
      </c>
      <c r="J67" s="21">
        <f>H67-I67</f>
        <v/>
      </c>
      <c r="K67" s="21">
        <f>Q66</f>
        <v/>
      </c>
      <c r="L67" s="21">
        <f>K67*Assumptions!$B$66/12</f>
        <v/>
      </c>
      <c r="M67" s="21">
        <f>K67+L67+D67</f>
        <v/>
      </c>
      <c r="N67" s="21">
        <f>MIN(MAX(0,E67-I67),MAX(0,M67-I67)/(1-Assumptions!$B$64))</f>
        <v/>
      </c>
      <c r="O67" s="21">
        <f>N67*(1-Assumptions!$B$64)</f>
        <v/>
      </c>
      <c r="P67" s="21">
        <f>N67*Assumptions!$B$64</f>
        <v/>
      </c>
      <c r="Q67" s="21">
        <f>MAX(0,M67-I67-O67)</f>
        <v/>
      </c>
      <c r="R67" s="21">
        <f>MAX(0,E67-I67-N67)</f>
        <v/>
      </c>
      <c r="S67" s="21">
        <f>R67*(1-Assumptions!$B$65)</f>
        <v/>
      </c>
      <c r="T67" s="21">
        <f>R67*Assumptions!$B$65</f>
        <v/>
      </c>
      <c r="U67" s="21">
        <f>I67+O67+S67</f>
        <v/>
      </c>
      <c r="V67" s="21">
        <f>P67+T67</f>
        <v/>
      </c>
      <c r="W67" s="21">
        <f>(1-Assumptions!$B$62)*(U67-D67)</f>
        <v/>
      </c>
      <c r="X67" s="21">
        <f>Assumptions!$B$62*(U67-D67)+V67</f>
        <v/>
      </c>
    </row>
    <row r="68">
      <c r="A68" s="42">
        <f>CashFlow!A68</f>
        <v/>
      </c>
      <c r="B68" s="43">
        <f>CashFlow!B68</f>
        <v/>
      </c>
      <c r="C68" s="31">
        <f>CashFlow!AC68</f>
        <v/>
      </c>
      <c r="D68" s="21">
        <f>MAX(0,-C68)</f>
        <v/>
      </c>
      <c r="E68" s="21">
        <f>MAX(0,C68)</f>
        <v/>
      </c>
      <c r="F68" s="21">
        <f>J67</f>
        <v/>
      </c>
      <c r="G68" s="21">
        <f>F68*Assumptions!$B$63/12</f>
        <v/>
      </c>
      <c r="H68" s="21">
        <f>F68+G68+D68</f>
        <v/>
      </c>
      <c r="I68" s="21">
        <f>MIN(E68,H68)</f>
        <v/>
      </c>
      <c r="J68" s="21">
        <f>H68-I68</f>
        <v/>
      </c>
      <c r="K68" s="21">
        <f>Q67</f>
        <v/>
      </c>
      <c r="L68" s="21">
        <f>K68*Assumptions!$B$66/12</f>
        <v/>
      </c>
      <c r="M68" s="21">
        <f>K68+L68+D68</f>
        <v/>
      </c>
      <c r="N68" s="21">
        <f>MIN(MAX(0,E68-I68),MAX(0,M68-I68)/(1-Assumptions!$B$64))</f>
        <v/>
      </c>
      <c r="O68" s="21">
        <f>N68*(1-Assumptions!$B$64)</f>
        <v/>
      </c>
      <c r="P68" s="21">
        <f>N68*Assumptions!$B$64</f>
        <v/>
      </c>
      <c r="Q68" s="21">
        <f>MAX(0,M68-I68-O68)</f>
        <v/>
      </c>
      <c r="R68" s="21">
        <f>MAX(0,E68-I68-N68)</f>
        <v/>
      </c>
      <c r="S68" s="21">
        <f>R68*(1-Assumptions!$B$65)</f>
        <v/>
      </c>
      <c r="T68" s="21">
        <f>R68*Assumptions!$B$65</f>
        <v/>
      </c>
      <c r="U68" s="21">
        <f>I68+O68+S68</f>
        <v/>
      </c>
      <c r="V68" s="21">
        <f>P68+T68</f>
        <v/>
      </c>
      <c r="W68" s="21">
        <f>(1-Assumptions!$B$62)*(U68-D68)</f>
        <v/>
      </c>
      <c r="X68" s="21">
        <f>Assumptions!$B$62*(U68-D68)+V68</f>
        <v/>
      </c>
    </row>
    <row r="69">
      <c r="A69" s="42">
        <f>CashFlow!A69</f>
        <v/>
      </c>
      <c r="B69" s="43">
        <f>CashFlow!B69</f>
        <v/>
      </c>
      <c r="C69" s="31">
        <f>CashFlow!AC69</f>
        <v/>
      </c>
      <c r="D69" s="21">
        <f>MAX(0,-C69)</f>
        <v/>
      </c>
      <c r="E69" s="21">
        <f>MAX(0,C69)</f>
        <v/>
      </c>
      <c r="F69" s="21">
        <f>J68</f>
        <v/>
      </c>
      <c r="G69" s="21">
        <f>F69*Assumptions!$B$63/12</f>
        <v/>
      </c>
      <c r="H69" s="21">
        <f>F69+G69+D69</f>
        <v/>
      </c>
      <c r="I69" s="21">
        <f>MIN(E69,H69)</f>
        <v/>
      </c>
      <c r="J69" s="21">
        <f>H69-I69</f>
        <v/>
      </c>
      <c r="K69" s="21">
        <f>Q68</f>
        <v/>
      </c>
      <c r="L69" s="21">
        <f>K69*Assumptions!$B$66/12</f>
        <v/>
      </c>
      <c r="M69" s="21">
        <f>K69+L69+D69</f>
        <v/>
      </c>
      <c r="N69" s="21">
        <f>MIN(MAX(0,E69-I69),MAX(0,M69-I69)/(1-Assumptions!$B$64))</f>
        <v/>
      </c>
      <c r="O69" s="21">
        <f>N69*(1-Assumptions!$B$64)</f>
        <v/>
      </c>
      <c r="P69" s="21">
        <f>N69*Assumptions!$B$64</f>
        <v/>
      </c>
      <c r="Q69" s="21">
        <f>MAX(0,M69-I69-O69)</f>
        <v/>
      </c>
      <c r="R69" s="21">
        <f>MAX(0,E69-I69-N69)</f>
        <v/>
      </c>
      <c r="S69" s="21">
        <f>R69*(1-Assumptions!$B$65)</f>
        <v/>
      </c>
      <c r="T69" s="21">
        <f>R69*Assumptions!$B$65</f>
        <v/>
      </c>
      <c r="U69" s="21">
        <f>I69+O69+S69</f>
        <v/>
      </c>
      <c r="V69" s="21">
        <f>P69+T69</f>
        <v/>
      </c>
      <c r="W69" s="21">
        <f>(1-Assumptions!$B$62)*(U69-D69)</f>
        <v/>
      </c>
      <c r="X69" s="21">
        <f>Assumptions!$B$62*(U69-D69)+V69</f>
        <v/>
      </c>
    </row>
    <row r="70">
      <c r="A70" s="42">
        <f>CashFlow!A70</f>
        <v/>
      </c>
      <c r="B70" s="43">
        <f>CashFlow!B70</f>
        <v/>
      </c>
      <c r="C70" s="31">
        <f>CashFlow!AC70</f>
        <v/>
      </c>
      <c r="D70" s="21">
        <f>MAX(0,-C70)</f>
        <v/>
      </c>
      <c r="E70" s="21">
        <f>MAX(0,C70)</f>
        <v/>
      </c>
      <c r="F70" s="21">
        <f>J69</f>
        <v/>
      </c>
      <c r="G70" s="21">
        <f>F70*Assumptions!$B$63/12</f>
        <v/>
      </c>
      <c r="H70" s="21">
        <f>F70+G70+D70</f>
        <v/>
      </c>
      <c r="I70" s="21">
        <f>MIN(E70,H70)</f>
        <v/>
      </c>
      <c r="J70" s="21">
        <f>H70-I70</f>
        <v/>
      </c>
      <c r="K70" s="21">
        <f>Q69</f>
        <v/>
      </c>
      <c r="L70" s="21">
        <f>K70*Assumptions!$B$66/12</f>
        <v/>
      </c>
      <c r="M70" s="21">
        <f>K70+L70+D70</f>
        <v/>
      </c>
      <c r="N70" s="21">
        <f>MIN(MAX(0,E70-I70),MAX(0,M70-I70)/(1-Assumptions!$B$64))</f>
        <v/>
      </c>
      <c r="O70" s="21">
        <f>N70*(1-Assumptions!$B$64)</f>
        <v/>
      </c>
      <c r="P70" s="21">
        <f>N70*Assumptions!$B$64</f>
        <v/>
      </c>
      <c r="Q70" s="21">
        <f>MAX(0,M70-I70-O70)</f>
        <v/>
      </c>
      <c r="R70" s="21">
        <f>MAX(0,E70-I70-N70)</f>
        <v/>
      </c>
      <c r="S70" s="21">
        <f>R70*(1-Assumptions!$B$65)</f>
        <v/>
      </c>
      <c r="T70" s="21">
        <f>R70*Assumptions!$B$65</f>
        <v/>
      </c>
      <c r="U70" s="21">
        <f>I70+O70+S70</f>
        <v/>
      </c>
      <c r="V70" s="21">
        <f>P70+T70</f>
        <v/>
      </c>
      <c r="W70" s="21">
        <f>(1-Assumptions!$B$62)*(U70-D70)</f>
        <v/>
      </c>
      <c r="X70" s="21">
        <f>Assumptions!$B$62*(U70-D70)+V70</f>
        <v/>
      </c>
    </row>
    <row r="71">
      <c r="A71" s="42">
        <f>CashFlow!A71</f>
        <v/>
      </c>
      <c r="B71" s="43">
        <f>CashFlow!B71</f>
        <v/>
      </c>
      <c r="C71" s="31">
        <f>CashFlow!AC71</f>
        <v/>
      </c>
      <c r="D71" s="21">
        <f>MAX(0,-C71)</f>
        <v/>
      </c>
      <c r="E71" s="21">
        <f>MAX(0,C71)</f>
        <v/>
      </c>
      <c r="F71" s="21">
        <f>J70</f>
        <v/>
      </c>
      <c r="G71" s="21">
        <f>F71*Assumptions!$B$63/12</f>
        <v/>
      </c>
      <c r="H71" s="21">
        <f>F71+G71+D71</f>
        <v/>
      </c>
      <c r="I71" s="21">
        <f>MIN(E71,H71)</f>
        <v/>
      </c>
      <c r="J71" s="21">
        <f>H71-I71</f>
        <v/>
      </c>
      <c r="K71" s="21">
        <f>Q70</f>
        <v/>
      </c>
      <c r="L71" s="21">
        <f>K71*Assumptions!$B$66/12</f>
        <v/>
      </c>
      <c r="M71" s="21">
        <f>K71+L71+D71</f>
        <v/>
      </c>
      <c r="N71" s="21">
        <f>MIN(MAX(0,E71-I71),MAX(0,M71-I71)/(1-Assumptions!$B$64))</f>
        <v/>
      </c>
      <c r="O71" s="21">
        <f>N71*(1-Assumptions!$B$64)</f>
        <v/>
      </c>
      <c r="P71" s="21">
        <f>N71*Assumptions!$B$64</f>
        <v/>
      </c>
      <c r="Q71" s="21">
        <f>MAX(0,M71-I71-O71)</f>
        <v/>
      </c>
      <c r="R71" s="21">
        <f>MAX(0,E71-I71-N71)</f>
        <v/>
      </c>
      <c r="S71" s="21">
        <f>R71*(1-Assumptions!$B$65)</f>
        <v/>
      </c>
      <c r="T71" s="21">
        <f>R71*Assumptions!$B$65</f>
        <v/>
      </c>
      <c r="U71" s="21">
        <f>I71+O71+S71</f>
        <v/>
      </c>
      <c r="V71" s="21">
        <f>P71+T71</f>
        <v/>
      </c>
      <c r="W71" s="21">
        <f>(1-Assumptions!$B$62)*(U71-D71)</f>
        <v/>
      </c>
      <c r="X71" s="21">
        <f>Assumptions!$B$62*(U71-D71)+V71</f>
        <v/>
      </c>
    </row>
    <row r="72">
      <c r="A72" s="42">
        <f>CashFlow!A72</f>
        <v/>
      </c>
      <c r="B72" s="43">
        <f>CashFlow!B72</f>
        <v/>
      </c>
      <c r="C72" s="31">
        <f>CashFlow!AC72</f>
        <v/>
      </c>
      <c r="D72" s="21">
        <f>MAX(0,-C72)</f>
        <v/>
      </c>
      <c r="E72" s="21">
        <f>MAX(0,C72)</f>
        <v/>
      </c>
      <c r="F72" s="21">
        <f>J71</f>
        <v/>
      </c>
      <c r="G72" s="21">
        <f>F72*Assumptions!$B$63/12</f>
        <v/>
      </c>
      <c r="H72" s="21">
        <f>F72+G72+D72</f>
        <v/>
      </c>
      <c r="I72" s="21">
        <f>MIN(E72,H72)</f>
        <v/>
      </c>
      <c r="J72" s="21">
        <f>H72-I72</f>
        <v/>
      </c>
      <c r="K72" s="21">
        <f>Q71</f>
        <v/>
      </c>
      <c r="L72" s="21">
        <f>K72*Assumptions!$B$66/12</f>
        <v/>
      </c>
      <c r="M72" s="21">
        <f>K72+L72+D72</f>
        <v/>
      </c>
      <c r="N72" s="21">
        <f>MIN(MAX(0,E72-I72),MAX(0,M72-I72)/(1-Assumptions!$B$64))</f>
        <v/>
      </c>
      <c r="O72" s="21">
        <f>N72*(1-Assumptions!$B$64)</f>
        <v/>
      </c>
      <c r="P72" s="21">
        <f>N72*Assumptions!$B$64</f>
        <v/>
      </c>
      <c r="Q72" s="21">
        <f>MAX(0,M72-I72-O72)</f>
        <v/>
      </c>
      <c r="R72" s="21">
        <f>MAX(0,E72-I72-N72)</f>
        <v/>
      </c>
      <c r="S72" s="21">
        <f>R72*(1-Assumptions!$B$65)</f>
        <v/>
      </c>
      <c r="T72" s="21">
        <f>R72*Assumptions!$B$65</f>
        <v/>
      </c>
      <c r="U72" s="21">
        <f>I72+O72+S72</f>
        <v/>
      </c>
      <c r="V72" s="21">
        <f>P72+T72</f>
        <v/>
      </c>
      <c r="W72" s="21">
        <f>(1-Assumptions!$B$62)*(U72-D72)</f>
        <v/>
      </c>
      <c r="X72" s="21">
        <f>Assumptions!$B$62*(U72-D72)+V72</f>
        <v/>
      </c>
    </row>
    <row r="73">
      <c r="A73" s="42">
        <f>CashFlow!A73</f>
        <v/>
      </c>
      <c r="B73" s="43">
        <f>CashFlow!B73</f>
        <v/>
      </c>
      <c r="C73" s="31">
        <f>CashFlow!AC73</f>
        <v/>
      </c>
      <c r="D73" s="21">
        <f>MAX(0,-C73)</f>
        <v/>
      </c>
      <c r="E73" s="21">
        <f>MAX(0,C73)</f>
        <v/>
      </c>
      <c r="F73" s="21">
        <f>J72</f>
        <v/>
      </c>
      <c r="G73" s="21">
        <f>F73*Assumptions!$B$63/12</f>
        <v/>
      </c>
      <c r="H73" s="21">
        <f>F73+G73+D73</f>
        <v/>
      </c>
      <c r="I73" s="21">
        <f>MIN(E73,H73)</f>
        <v/>
      </c>
      <c r="J73" s="21">
        <f>H73-I73</f>
        <v/>
      </c>
      <c r="K73" s="21">
        <f>Q72</f>
        <v/>
      </c>
      <c r="L73" s="21">
        <f>K73*Assumptions!$B$66/12</f>
        <v/>
      </c>
      <c r="M73" s="21">
        <f>K73+L73+D73</f>
        <v/>
      </c>
      <c r="N73" s="21">
        <f>MIN(MAX(0,E73-I73),MAX(0,M73-I73)/(1-Assumptions!$B$64))</f>
        <v/>
      </c>
      <c r="O73" s="21">
        <f>N73*(1-Assumptions!$B$64)</f>
        <v/>
      </c>
      <c r="P73" s="21">
        <f>N73*Assumptions!$B$64</f>
        <v/>
      </c>
      <c r="Q73" s="21">
        <f>MAX(0,M73-I73-O73)</f>
        <v/>
      </c>
      <c r="R73" s="21">
        <f>MAX(0,E73-I73-N73)</f>
        <v/>
      </c>
      <c r="S73" s="21">
        <f>R73*(1-Assumptions!$B$65)</f>
        <v/>
      </c>
      <c r="T73" s="21">
        <f>R73*Assumptions!$B$65</f>
        <v/>
      </c>
      <c r="U73" s="21">
        <f>I73+O73+S73</f>
        <v/>
      </c>
      <c r="V73" s="21">
        <f>P73+T73</f>
        <v/>
      </c>
      <c r="W73" s="21">
        <f>(1-Assumptions!$B$62)*(U73-D73)</f>
        <v/>
      </c>
      <c r="X73" s="21">
        <f>Assumptions!$B$62*(U73-D73)+V73</f>
        <v/>
      </c>
    </row>
    <row r="74">
      <c r="A74" s="42">
        <f>CashFlow!A74</f>
        <v/>
      </c>
      <c r="B74" s="43">
        <f>CashFlow!B74</f>
        <v/>
      </c>
      <c r="C74" s="31">
        <f>CashFlow!AC74</f>
        <v/>
      </c>
      <c r="D74" s="21">
        <f>MAX(0,-C74)</f>
        <v/>
      </c>
      <c r="E74" s="21">
        <f>MAX(0,C74)</f>
        <v/>
      </c>
      <c r="F74" s="21">
        <f>J73</f>
        <v/>
      </c>
      <c r="G74" s="21">
        <f>F74*Assumptions!$B$63/12</f>
        <v/>
      </c>
      <c r="H74" s="21">
        <f>F74+G74+D74</f>
        <v/>
      </c>
      <c r="I74" s="21">
        <f>MIN(E74,H74)</f>
        <v/>
      </c>
      <c r="J74" s="21">
        <f>H74-I74</f>
        <v/>
      </c>
      <c r="K74" s="21">
        <f>Q73</f>
        <v/>
      </c>
      <c r="L74" s="21">
        <f>K74*Assumptions!$B$66/12</f>
        <v/>
      </c>
      <c r="M74" s="21">
        <f>K74+L74+D74</f>
        <v/>
      </c>
      <c r="N74" s="21">
        <f>MIN(MAX(0,E74-I74),MAX(0,M74-I74)/(1-Assumptions!$B$64))</f>
        <v/>
      </c>
      <c r="O74" s="21">
        <f>N74*(1-Assumptions!$B$64)</f>
        <v/>
      </c>
      <c r="P74" s="21">
        <f>N74*Assumptions!$B$64</f>
        <v/>
      </c>
      <c r="Q74" s="21">
        <f>MAX(0,M74-I74-O74)</f>
        <v/>
      </c>
      <c r="R74" s="21">
        <f>MAX(0,E74-I74-N74)</f>
        <v/>
      </c>
      <c r="S74" s="21">
        <f>R74*(1-Assumptions!$B$65)</f>
        <v/>
      </c>
      <c r="T74" s="21">
        <f>R74*Assumptions!$B$65</f>
        <v/>
      </c>
      <c r="U74" s="21">
        <f>I74+O74+S74</f>
        <v/>
      </c>
      <c r="V74" s="21">
        <f>P74+T74</f>
        <v/>
      </c>
      <c r="W74" s="21">
        <f>(1-Assumptions!$B$62)*(U74-D74)</f>
        <v/>
      </c>
      <c r="X74" s="21">
        <f>Assumptions!$B$62*(U74-D74)+V74</f>
        <v/>
      </c>
    </row>
    <row r="75">
      <c r="A75" s="42">
        <f>CashFlow!A75</f>
        <v/>
      </c>
      <c r="B75" s="43">
        <f>CashFlow!B75</f>
        <v/>
      </c>
      <c r="C75" s="31">
        <f>CashFlow!AC75</f>
        <v/>
      </c>
      <c r="D75" s="21">
        <f>MAX(0,-C75)</f>
        <v/>
      </c>
      <c r="E75" s="21">
        <f>MAX(0,C75)</f>
        <v/>
      </c>
      <c r="F75" s="21">
        <f>J74</f>
        <v/>
      </c>
      <c r="G75" s="21">
        <f>F75*Assumptions!$B$63/12</f>
        <v/>
      </c>
      <c r="H75" s="21">
        <f>F75+G75+D75</f>
        <v/>
      </c>
      <c r="I75" s="21">
        <f>MIN(E75,H75)</f>
        <v/>
      </c>
      <c r="J75" s="21">
        <f>H75-I75</f>
        <v/>
      </c>
      <c r="K75" s="21">
        <f>Q74</f>
        <v/>
      </c>
      <c r="L75" s="21">
        <f>K75*Assumptions!$B$66/12</f>
        <v/>
      </c>
      <c r="M75" s="21">
        <f>K75+L75+D75</f>
        <v/>
      </c>
      <c r="N75" s="21">
        <f>MIN(MAX(0,E75-I75),MAX(0,M75-I75)/(1-Assumptions!$B$64))</f>
        <v/>
      </c>
      <c r="O75" s="21">
        <f>N75*(1-Assumptions!$B$64)</f>
        <v/>
      </c>
      <c r="P75" s="21">
        <f>N75*Assumptions!$B$64</f>
        <v/>
      </c>
      <c r="Q75" s="21">
        <f>MAX(0,M75-I75-O75)</f>
        <v/>
      </c>
      <c r="R75" s="21">
        <f>MAX(0,E75-I75-N75)</f>
        <v/>
      </c>
      <c r="S75" s="21">
        <f>R75*(1-Assumptions!$B$65)</f>
        <v/>
      </c>
      <c r="T75" s="21">
        <f>R75*Assumptions!$B$65</f>
        <v/>
      </c>
      <c r="U75" s="21">
        <f>I75+O75+S75</f>
        <v/>
      </c>
      <c r="V75" s="21">
        <f>P75+T75</f>
        <v/>
      </c>
      <c r="W75" s="21">
        <f>(1-Assumptions!$B$62)*(U75-D75)</f>
        <v/>
      </c>
      <c r="X75" s="21">
        <f>Assumptions!$B$62*(U75-D75)+V75</f>
        <v/>
      </c>
    </row>
    <row r="76">
      <c r="A76" s="42">
        <f>CashFlow!A76</f>
        <v/>
      </c>
      <c r="B76" s="43">
        <f>CashFlow!B76</f>
        <v/>
      </c>
      <c r="C76" s="31">
        <f>CashFlow!AC76</f>
        <v/>
      </c>
      <c r="D76" s="21">
        <f>MAX(0,-C76)</f>
        <v/>
      </c>
      <c r="E76" s="21">
        <f>MAX(0,C76)</f>
        <v/>
      </c>
      <c r="F76" s="21">
        <f>J75</f>
        <v/>
      </c>
      <c r="G76" s="21">
        <f>F76*Assumptions!$B$63/12</f>
        <v/>
      </c>
      <c r="H76" s="21">
        <f>F76+G76+D76</f>
        <v/>
      </c>
      <c r="I76" s="21">
        <f>MIN(E76,H76)</f>
        <v/>
      </c>
      <c r="J76" s="21">
        <f>H76-I76</f>
        <v/>
      </c>
      <c r="K76" s="21">
        <f>Q75</f>
        <v/>
      </c>
      <c r="L76" s="21">
        <f>K76*Assumptions!$B$66/12</f>
        <v/>
      </c>
      <c r="M76" s="21">
        <f>K76+L76+D76</f>
        <v/>
      </c>
      <c r="N76" s="21">
        <f>MIN(MAX(0,E76-I76),MAX(0,M76-I76)/(1-Assumptions!$B$64))</f>
        <v/>
      </c>
      <c r="O76" s="21">
        <f>N76*(1-Assumptions!$B$64)</f>
        <v/>
      </c>
      <c r="P76" s="21">
        <f>N76*Assumptions!$B$64</f>
        <v/>
      </c>
      <c r="Q76" s="21">
        <f>MAX(0,M76-I76-O76)</f>
        <v/>
      </c>
      <c r="R76" s="21">
        <f>MAX(0,E76-I76-N76)</f>
        <v/>
      </c>
      <c r="S76" s="21">
        <f>R76*(1-Assumptions!$B$65)</f>
        <v/>
      </c>
      <c r="T76" s="21">
        <f>R76*Assumptions!$B$65</f>
        <v/>
      </c>
      <c r="U76" s="21">
        <f>I76+O76+S76</f>
        <v/>
      </c>
      <c r="V76" s="21">
        <f>P76+T76</f>
        <v/>
      </c>
      <c r="W76" s="21">
        <f>(1-Assumptions!$B$62)*(U76-D76)</f>
        <v/>
      </c>
      <c r="X76" s="21">
        <f>Assumptions!$B$62*(U76-D76)+V76</f>
        <v/>
      </c>
    </row>
    <row r="77">
      <c r="A77" s="42">
        <f>CashFlow!A77</f>
        <v/>
      </c>
      <c r="B77" s="43">
        <f>CashFlow!B77</f>
        <v/>
      </c>
      <c r="C77" s="31">
        <f>CashFlow!AC77</f>
        <v/>
      </c>
      <c r="D77" s="21">
        <f>MAX(0,-C77)</f>
        <v/>
      </c>
      <c r="E77" s="21">
        <f>MAX(0,C77)</f>
        <v/>
      </c>
      <c r="F77" s="21">
        <f>J76</f>
        <v/>
      </c>
      <c r="G77" s="21">
        <f>F77*Assumptions!$B$63/12</f>
        <v/>
      </c>
      <c r="H77" s="21">
        <f>F77+G77+D77</f>
        <v/>
      </c>
      <c r="I77" s="21">
        <f>MIN(E77,H77)</f>
        <v/>
      </c>
      <c r="J77" s="21">
        <f>H77-I77</f>
        <v/>
      </c>
      <c r="K77" s="21">
        <f>Q76</f>
        <v/>
      </c>
      <c r="L77" s="21">
        <f>K77*Assumptions!$B$66/12</f>
        <v/>
      </c>
      <c r="M77" s="21">
        <f>K77+L77+D77</f>
        <v/>
      </c>
      <c r="N77" s="21">
        <f>MIN(MAX(0,E77-I77),MAX(0,M77-I77)/(1-Assumptions!$B$64))</f>
        <v/>
      </c>
      <c r="O77" s="21">
        <f>N77*(1-Assumptions!$B$64)</f>
        <v/>
      </c>
      <c r="P77" s="21">
        <f>N77*Assumptions!$B$64</f>
        <v/>
      </c>
      <c r="Q77" s="21">
        <f>MAX(0,M77-I77-O77)</f>
        <v/>
      </c>
      <c r="R77" s="21">
        <f>MAX(0,E77-I77-N77)</f>
        <v/>
      </c>
      <c r="S77" s="21">
        <f>R77*(1-Assumptions!$B$65)</f>
        <v/>
      </c>
      <c r="T77" s="21">
        <f>R77*Assumptions!$B$65</f>
        <v/>
      </c>
      <c r="U77" s="21">
        <f>I77+O77+S77</f>
        <v/>
      </c>
      <c r="V77" s="21">
        <f>P77+T77</f>
        <v/>
      </c>
      <c r="W77" s="21">
        <f>(1-Assumptions!$B$62)*(U77-D77)</f>
        <v/>
      </c>
      <c r="X77" s="21">
        <f>Assumptions!$B$62*(U77-D77)+V77</f>
        <v/>
      </c>
    </row>
    <row r="78">
      <c r="A78" s="42">
        <f>CashFlow!A78</f>
        <v/>
      </c>
      <c r="B78" s="43">
        <f>CashFlow!B78</f>
        <v/>
      </c>
      <c r="C78" s="31">
        <f>CashFlow!AC78</f>
        <v/>
      </c>
      <c r="D78" s="21">
        <f>MAX(0,-C78)</f>
        <v/>
      </c>
      <c r="E78" s="21">
        <f>MAX(0,C78)</f>
        <v/>
      </c>
      <c r="F78" s="21">
        <f>J77</f>
        <v/>
      </c>
      <c r="G78" s="21">
        <f>F78*Assumptions!$B$63/12</f>
        <v/>
      </c>
      <c r="H78" s="21">
        <f>F78+G78+D78</f>
        <v/>
      </c>
      <c r="I78" s="21">
        <f>MIN(E78,H78)</f>
        <v/>
      </c>
      <c r="J78" s="21">
        <f>H78-I78</f>
        <v/>
      </c>
      <c r="K78" s="21">
        <f>Q77</f>
        <v/>
      </c>
      <c r="L78" s="21">
        <f>K78*Assumptions!$B$66/12</f>
        <v/>
      </c>
      <c r="M78" s="21">
        <f>K78+L78+D78</f>
        <v/>
      </c>
      <c r="N78" s="21">
        <f>MIN(MAX(0,E78-I78),MAX(0,M78-I78)/(1-Assumptions!$B$64))</f>
        <v/>
      </c>
      <c r="O78" s="21">
        <f>N78*(1-Assumptions!$B$64)</f>
        <v/>
      </c>
      <c r="P78" s="21">
        <f>N78*Assumptions!$B$64</f>
        <v/>
      </c>
      <c r="Q78" s="21">
        <f>MAX(0,M78-I78-O78)</f>
        <v/>
      </c>
      <c r="R78" s="21">
        <f>MAX(0,E78-I78-N78)</f>
        <v/>
      </c>
      <c r="S78" s="21">
        <f>R78*(1-Assumptions!$B$65)</f>
        <v/>
      </c>
      <c r="T78" s="21">
        <f>R78*Assumptions!$B$65</f>
        <v/>
      </c>
      <c r="U78" s="21">
        <f>I78+O78+S78</f>
        <v/>
      </c>
      <c r="V78" s="21">
        <f>P78+T78</f>
        <v/>
      </c>
      <c r="W78" s="21">
        <f>(1-Assumptions!$B$62)*(U78-D78)</f>
        <v/>
      </c>
      <c r="X78" s="21">
        <f>Assumptions!$B$62*(U78-D78)+V78</f>
        <v/>
      </c>
    </row>
    <row r="79">
      <c r="A79" s="42">
        <f>CashFlow!A79</f>
        <v/>
      </c>
      <c r="B79" s="43">
        <f>CashFlow!B79</f>
        <v/>
      </c>
      <c r="C79" s="31">
        <f>CashFlow!AC79</f>
        <v/>
      </c>
      <c r="D79" s="21">
        <f>MAX(0,-C79)</f>
        <v/>
      </c>
      <c r="E79" s="21">
        <f>MAX(0,C79)</f>
        <v/>
      </c>
      <c r="F79" s="21">
        <f>J78</f>
        <v/>
      </c>
      <c r="G79" s="21">
        <f>F79*Assumptions!$B$63/12</f>
        <v/>
      </c>
      <c r="H79" s="21">
        <f>F79+G79+D79</f>
        <v/>
      </c>
      <c r="I79" s="21">
        <f>MIN(E79,H79)</f>
        <v/>
      </c>
      <c r="J79" s="21">
        <f>H79-I79</f>
        <v/>
      </c>
      <c r="K79" s="21">
        <f>Q78</f>
        <v/>
      </c>
      <c r="L79" s="21">
        <f>K79*Assumptions!$B$66/12</f>
        <v/>
      </c>
      <c r="M79" s="21">
        <f>K79+L79+D79</f>
        <v/>
      </c>
      <c r="N79" s="21">
        <f>MIN(MAX(0,E79-I79),MAX(0,M79-I79)/(1-Assumptions!$B$64))</f>
        <v/>
      </c>
      <c r="O79" s="21">
        <f>N79*(1-Assumptions!$B$64)</f>
        <v/>
      </c>
      <c r="P79" s="21">
        <f>N79*Assumptions!$B$64</f>
        <v/>
      </c>
      <c r="Q79" s="21">
        <f>MAX(0,M79-I79-O79)</f>
        <v/>
      </c>
      <c r="R79" s="21">
        <f>MAX(0,E79-I79-N79)</f>
        <v/>
      </c>
      <c r="S79" s="21">
        <f>R79*(1-Assumptions!$B$65)</f>
        <v/>
      </c>
      <c r="T79" s="21">
        <f>R79*Assumptions!$B$65</f>
        <v/>
      </c>
      <c r="U79" s="21">
        <f>I79+O79+S79</f>
        <v/>
      </c>
      <c r="V79" s="21">
        <f>P79+T79</f>
        <v/>
      </c>
      <c r="W79" s="21">
        <f>(1-Assumptions!$B$62)*(U79-D79)</f>
        <v/>
      </c>
      <c r="X79" s="21">
        <f>Assumptions!$B$62*(U79-D79)+V79</f>
        <v/>
      </c>
    </row>
    <row r="80">
      <c r="A80" s="42">
        <f>CashFlow!A80</f>
        <v/>
      </c>
      <c r="B80" s="43">
        <f>CashFlow!B80</f>
        <v/>
      </c>
      <c r="C80" s="31">
        <f>CashFlow!AC80</f>
        <v/>
      </c>
      <c r="D80" s="21">
        <f>MAX(0,-C80)</f>
        <v/>
      </c>
      <c r="E80" s="21">
        <f>MAX(0,C80)</f>
        <v/>
      </c>
      <c r="F80" s="21">
        <f>J79</f>
        <v/>
      </c>
      <c r="G80" s="21">
        <f>F80*Assumptions!$B$63/12</f>
        <v/>
      </c>
      <c r="H80" s="21">
        <f>F80+G80+D80</f>
        <v/>
      </c>
      <c r="I80" s="21">
        <f>MIN(E80,H80)</f>
        <v/>
      </c>
      <c r="J80" s="21">
        <f>H80-I80</f>
        <v/>
      </c>
      <c r="K80" s="21">
        <f>Q79</f>
        <v/>
      </c>
      <c r="L80" s="21">
        <f>K80*Assumptions!$B$66/12</f>
        <v/>
      </c>
      <c r="M80" s="21">
        <f>K80+L80+D80</f>
        <v/>
      </c>
      <c r="N80" s="21">
        <f>MIN(MAX(0,E80-I80),MAX(0,M80-I80)/(1-Assumptions!$B$64))</f>
        <v/>
      </c>
      <c r="O80" s="21">
        <f>N80*(1-Assumptions!$B$64)</f>
        <v/>
      </c>
      <c r="P80" s="21">
        <f>N80*Assumptions!$B$64</f>
        <v/>
      </c>
      <c r="Q80" s="21">
        <f>MAX(0,M80-I80-O80)</f>
        <v/>
      </c>
      <c r="R80" s="21">
        <f>MAX(0,E80-I80-N80)</f>
        <v/>
      </c>
      <c r="S80" s="21">
        <f>R80*(1-Assumptions!$B$65)</f>
        <v/>
      </c>
      <c r="T80" s="21">
        <f>R80*Assumptions!$B$65</f>
        <v/>
      </c>
      <c r="U80" s="21">
        <f>I80+O80+S80</f>
        <v/>
      </c>
      <c r="V80" s="21">
        <f>P80+T80</f>
        <v/>
      </c>
      <c r="W80" s="21">
        <f>(1-Assumptions!$B$62)*(U80-D80)</f>
        <v/>
      </c>
      <c r="X80" s="21">
        <f>Assumptions!$B$62*(U80-D80)+V80</f>
        <v/>
      </c>
    </row>
    <row r="81">
      <c r="A81" s="42">
        <f>CashFlow!A81</f>
        <v/>
      </c>
      <c r="B81" s="43">
        <f>CashFlow!B81</f>
        <v/>
      </c>
      <c r="C81" s="31">
        <f>CashFlow!AC81</f>
        <v/>
      </c>
      <c r="D81" s="21">
        <f>MAX(0,-C81)</f>
        <v/>
      </c>
      <c r="E81" s="21">
        <f>MAX(0,C81)</f>
        <v/>
      </c>
      <c r="F81" s="21">
        <f>J80</f>
        <v/>
      </c>
      <c r="G81" s="21">
        <f>F81*Assumptions!$B$63/12</f>
        <v/>
      </c>
      <c r="H81" s="21">
        <f>F81+G81+D81</f>
        <v/>
      </c>
      <c r="I81" s="21">
        <f>MIN(E81,H81)</f>
        <v/>
      </c>
      <c r="J81" s="21">
        <f>H81-I81</f>
        <v/>
      </c>
      <c r="K81" s="21">
        <f>Q80</f>
        <v/>
      </c>
      <c r="L81" s="21">
        <f>K81*Assumptions!$B$66/12</f>
        <v/>
      </c>
      <c r="M81" s="21">
        <f>K81+L81+D81</f>
        <v/>
      </c>
      <c r="N81" s="21">
        <f>MIN(MAX(0,E81-I81),MAX(0,M81-I81)/(1-Assumptions!$B$64))</f>
        <v/>
      </c>
      <c r="O81" s="21">
        <f>N81*(1-Assumptions!$B$64)</f>
        <v/>
      </c>
      <c r="P81" s="21">
        <f>N81*Assumptions!$B$64</f>
        <v/>
      </c>
      <c r="Q81" s="21">
        <f>MAX(0,M81-I81-O81)</f>
        <v/>
      </c>
      <c r="R81" s="21">
        <f>MAX(0,E81-I81-N81)</f>
        <v/>
      </c>
      <c r="S81" s="21">
        <f>R81*(1-Assumptions!$B$65)</f>
        <v/>
      </c>
      <c r="T81" s="21">
        <f>R81*Assumptions!$B$65</f>
        <v/>
      </c>
      <c r="U81" s="21">
        <f>I81+O81+S81</f>
        <v/>
      </c>
      <c r="V81" s="21">
        <f>P81+T81</f>
        <v/>
      </c>
      <c r="W81" s="21">
        <f>(1-Assumptions!$B$62)*(U81-D81)</f>
        <v/>
      </c>
      <c r="X81" s="21">
        <f>Assumptions!$B$62*(U81-D81)+V81</f>
        <v/>
      </c>
    </row>
    <row r="82">
      <c r="A82" s="42">
        <f>CashFlow!A82</f>
        <v/>
      </c>
      <c r="B82" s="43">
        <f>CashFlow!B82</f>
        <v/>
      </c>
      <c r="C82" s="31">
        <f>CashFlow!AC82</f>
        <v/>
      </c>
      <c r="D82" s="21">
        <f>MAX(0,-C82)</f>
        <v/>
      </c>
      <c r="E82" s="21">
        <f>MAX(0,C82)</f>
        <v/>
      </c>
      <c r="F82" s="21">
        <f>J81</f>
        <v/>
      </c>
      <c r="G82" s="21">
        <f>F82*Assumptions!$B$63/12</f>
        <v/>
      </c>
      <c r="H82" s="21">
        <f>F82+G82+D82</f>
        <v/>
      </c>
      <c r="I82" s="21">
        <f>MIN(E82,H82)</f>
        <v/>
      </c>
      <c r="J82" s="21">
        <f>H82-I82</f>
        <v/>
      </c>
      <c r="K82" s="21">
        <f>Q81</f>
        <v/>
      </c>
      <c r="L82" s="21">
        <f>K82*Assumptions!$B$66/12</f>
        <v/>
      </c>
      <c r="M82" s="21">
        <f>K82+L82+D82</f>
        <v/>
      </c>
      <c r="N82" s="21">
        <f>MIN(MAX(0,E82-I82),MAX(0,M82-I82)/(1-Assumptions!$B$64))</f>
        <v/>
      </c>
      <c r="O82" s="21">
        <f>N82*(1-Assumptions!$B$64)</f>
        <v/>
      </c>
      <c r="P82" s="21">
        <f>N82*Assumptions!$B$64</f>
        <v/>
      </c>
      <c r="Q82" s="21">
        <f>MAX(0,M82-I82-O82)</f>
        <v/>
      </c>
      <c r="R82" s="21">
        <f>MAX(0,E82-I82-N82)</f>
        <v/>
      </c>
      <c r="S82" s="21">
        <f>R82*(1-Assumptions!$B$65)</f>
        <v/>
      </c>
      <c r="T82" s="21">
        <f>R82*Assumptions!$B$65</f>
        <v/>
      </c>
      <c r="U82" s="21">
        <f>I82+O82+S82</f>
        <v/>
      </c>
      <c r="V82" s="21">
        <f>P82+T82</f>
        <v/>
      </c>
      <c r="W82" s="21">
        <f>(1-Assumptions!$B$62)*(U82-D82)</f>
        <v/>
      </c>
      <c r="X82" s="21">
        <f>Assumptions!$B$62*(U82-D82)+V82</f>
        <v/>
      </c>
    </row>
    <row r="83">
      <c r="A83" s="42">
        <f>CashFlow!A83</f>
        <v/>
      </c>
      <c r="B83" s="43">
        <f>CashFlow!B83</f>
        <v/>
      </c>
      <c r="C83" s="31">
        <f>CashFlow!AC83</f>
        <v/>
      </c>
      <c r="D83" s="21">
        <f>MAX(0,-C83)</f>
        <v/>
      </c>
      <c r="E83" s="21">
        <f>MAX(0,C83)</f>
        <v/>
      </c>
      <c r="F83" s="21">
        <f>J82</f>
        <v/>
      </c>
      <c r="G83" s="21">
        <f>F83*Assumptions!$B$63/12</f>
        <v/>
      </c>
      <c r="H83" s="21">
        <f>F83+G83+D83</f>
        <v/>
      </c>
      <c r="I83" s="21">
        <f>MIN(E83,H83)</f>
        <v/>
      </c>
      <c r="J83" s="21">
        <f>H83-I83</f>
        <v/>
      </c>
      <c r="K83" s="21">
        <f>Q82</f>
        <v/>
      </c>
      <c r="L83" s="21">
        <f>K83*Assumptions!$B$66/12</f>
        <v/>
      </c>
      <c r="M83" s="21">
        <f>K83+L83+D83</f>
        <v/>
      </c>
      <c r="N83" s="21">
        <f>MIN(MAX(0,E83-I83),MAX(0,M83-I83)/(1-Assumptions!$B$64))</f>
        <v/>
      </c>
      <c r="O83" s="21">
        <f>N83*(1-Assumptions!$B$64)</f>
        <v/>
      </c>
      <c r="P83" s="21">
        <f>N83*Assumptions!$B$64</f>
        <v/>
      </c>
      <c r="Q83" s="21">
        <f>MAX(0,M83-I83-O83)</f>
        <v/>
      </c>
      <c r="R83" s="21">
        <f>MAX(0,E83-I83-N83)</f>
        <v/>
      </c>
      <c r="S83" s="21">
        <f>R83*(1-Assumptions!$B$65)</f>
        <v/>
      </c>
      <c r="T83" s="21">
        <f>R83*Assumptions!$B$65</f>
        <v/>
      </c>
      <c r="U83" s="21">
        <f>I83+O83+S83</f>
        <v/>
      </c>
      <c r="V83" s="21">
        <f>P83+T83</f>
        <v/>
      </c>
      <c r="W83" s="21">
        <f>(1-Assumptions!$B$62)*(U83-D83)</f>
        <v/>
      </c>
      <c r="X83" s="21">
        <f>Assumptions!$B$62*(U83-D83)+V83</f>
        <v/>
      </c>
    </row>
    <row r="84">
      <c r="A84" s="42">
        <f>CashFlow!A84</f>
        <v/>
      </c>
      <c r="B84" s="43">
        <f>CashFlow!B84</f>
        <v/>
      </c>
      <c r="C84" s="31">
        <f>CashFlow!AC84</f>
        <v/>
      </c>
      <c r="D84" s="21">
        <f>MAX(0,-C84)</f>
        <v/>
      </c>
      <c r="E84" s="21">
        <f>MAX(0,C84)</f>
        <v/>
      </c>
      <c r="F84" s="21">
        <f>J83</f>
        <v/>
      </c>
      <c r="G84" s="21">
        <f>F84*Assumptions!$B$63/12</f>
        <v/>
      </c>
      <c r="H84" s="21">
        <f>F84+G84+D84</f>
        <v/>
      </c>
      <c r="I84" s="21">
        <f>MIN(E84,H84)</f>
        <v/>
      </c>
      <c r="J84" s="21">
        <f>H84-I84</f>
        <v/>
      </c>
      <c r="K84" s="21">
        <f>Q83</f>
        <v/>
      </c>
      <c r="L84" s="21">
        <f>K84*Assumptions!$B$66/12</f>
        <v/>
      </c>
      <c r="M84" s="21">
        <f>K84+L84+D84</f>
        <v/>
      </c>
      <c r="N84" s="21">
        <f>MIN(MAX(0,E84-I84),MAX(0,M84-I84)/(1-Assumptions!$B$64))</f>
        <v/>
      </c>
      <c r="O84" s="21">
        <f>N84*(1-Assumptions!$B$64)</f>
        <v/>
      </c>
      <c r="P84" s="21">
        <f>N84*Assumptions!$B$64</f>
        <v/>
      </c>
      <c r="Q84" s="21">
        <f>MAX(0,M84-I84-O84)</f>
        <v/>
      </c>
      <c r="R84" s="21">
        <f>MAX(0,E84-I84-N84)</f>
        <v/>
      </c>
      <c r="S84" s="21">
        <f>R84*(1-Assumptions!$B$65)</f>
        <v/>
      </c>
      <c r="T84" s="21">
        <f>R84*Assumptions!$B$65</f>
        <v/>
      </c>
      <c r="U84" s="21">
        <f>I84+O84+S84</f>
        <v/>
      </c>
      <c r="V84" s="21">
        <f>P84+T84</f>
        <v/>
      </c>
      <c r="W84" s="21">
        <f>(1-Assumptions!$B$62)*(U84-D84)</f>
        <v/>
      </c>
      <c r="X84" s="21">
        <f>Assumptions!$B$62*(U84-D84)+V84</f>
        <v/>
      </c>
    </row>
    <row r="85">
      <c r="A85" s="42">
        <f>CashFlow!A85</f>
        <v/>
      </c>
      <c r="B85" s="43">
        <f>CashFlow!B85</f>
        <v/>
      </c>
      <c r="C85" s="31">
        <f>CashFlow!AC85</f>
        <v/>
      </c>
      <c r="D85" s="21">
        <f>MAX(0,-C85)</f>
        <v/>
      </c>
      <c r="E85" s="21">
        <f>MAX(0,C85)</f>
        <v/>
      </c>
      <c r="F85" s="21">
        <f>J84</f>
        <v/>
      </c>
      <c r="G85" s="21">
        <f>F85*Assumptions!$B$63/12</f>
        <v/>
      </c>
      <c r="H85" s="21">
        <f>F85+G85+D85</f>
        <v/>
      </c>
      <c r="I85" s="21">
        <f>MIN(E85,H85)</f>
        <v/>
      </c>
      <c r="J85" s="21">
        <f>H85-I85</f>
        <v/>
      </c>
      <c r="K85" s="21">
        <f>Q84</f>
        <v/>
      </c>
      <c r="L85" s="21">
        <f>K85*Assumptions!$B$66/12</f>
        <v/>
      </c>
      <c r="M85" s="21">
        <f>K85+L85+D85</f>
        <v/>
      </c>
      <c r="N85" s="21">
        <f>MIN(MAX(0,E85-I85),MAX(0,M85-I85)/(1-Assumptions!$B$64))</f>
        <v/>
      </c>
      <c r="O85" s="21">
        <f>N85*(1-Assumptions!$B$64)</f>
        <v/>
      </c>
      <c r="P85" s="21">
        <f>N85*Assumptions!$B$64</f>
        <v/>
      </c>
      <c r="Q85" s="21">
        <f>MAX(0,M85-I85-O85)</f>
        <v/>
      </c>
      <c r="R85" s="21">
        <f>MAX(0,E85-I85-N85)</f>
        <v/>
      </c>
      <c r="S85" s="21">
        <f>R85*(1-Assumptions!$B$65)</f>
        <v/>
      </c>
      <c r="T85" s="21">
        <f>R85*Assumptions!$B$65</f>
        <v/>
      </c>
      <c r="U85" s="21">
        <f>I85+O85+S85</f>
        <v/>
      </c>
      <c r="V85" s="21">
        <f>P85+T85</f>
        <v/>
      </c>
      <c r="W85" s="21">
        <f>(1-Assumptions!$B$62)*(U85-D85)</f>
        <v/>
      </c>
      <c r="X85" s="21">
        <f>Assumptions!$B$62*(U85-D85)+V85</f>
        <v/>
      </c>
    </row>
    <row r="86">
      <c r="A86" s="42">
        <f>CashFlow!A86</f>
        <v/>
      </c>
      <c r="B86" s="43">
        <f>CashFlow!B86</f>
        <v/>
      </c>
      <c r="C86" s="31">
        <f>CashFlow!AC86</f>
        <v/>
      </c>
      <c r="D86" s="21">
        <f>MAX(0,-C86)</f>
        <v/>
      </c>
      <c r="E86" s="21">
        <f>MAX(0,C86)</f>
        <v/>
      </c>
      <c r="F86" s="21">
        <f>J85</f>
        <v/>
      </c>
      <c r="G86" s="21">
        <f>F86*Assumptions!$B$63/12</f>
        <v/>
      </c>
      <c r="H86" s="21">
        <f>F86+G86+D86</f>
        <v/>
      </c>
      <c r="I86" s="21">
        <f>MIN(E86,H86)</f>
        <v/>
      </c>
      <c r="J86" s="21">
        <f>H86-I86</f>
        <v/>
      </c>
      <c r="K86" s="21">
        <f>Q85</f>
        <v/>
      </c>
      <c r="L86" s="21">
        <f>K86*Assumptions!$B$66/12</f>
        <v/>
      </c>
      <c r="M86" s="21">
        <f>K86+L86+D86</f>
        <v/>
      </c>
      <c r="N86" s="21">
        <f>MIN(MAX(0,E86-I86),MAX(0,M86-I86)/(1-Assumptions!$B$64))</f>
        <v/>
      </c>
      <c r="O86" s="21">
        <f>N86*(1-Assumptions!$B$64)</f>
        <v/>
      </c>
      <c r="P86" s="21">
        <f>N86*Assumptions!$B$64</f>
        <v/>
      </c>
      <c r="Q86" s="21">
        <f>MAX(0,M86-I86-O86)</f>
        <v/>
      </c>
      <c r="R86" s="21">
        <f>MAX(0,E86-I86-N86)</f>
        <v/>
      </c>
      <c r="S86" s="21">
        <f>R86*(1-Assumptions!$B$65)</f>
        <v/>
      </c>
      <c r="T86" s="21">
        <f>R86*Assumptions!$B$65</f>
        <v/>
      </c>
      <c r="U86" s="21">
        <f>I86+O86+S86</f>
        <v/>
      </c>
      <c r="V86" s="21">
        <f>P86+T86</f>
        <v/>
      </c>
      <c r="W86" s="21">
        <f>(1-Assumptions!$B$62)*(U86-D86)</f>
        <v/>
      </c>
      <c r="X86" s="21">
        <f>Assumptions!$B$62*(U86-D86)+V86</f>
        <v/>
      </c>
    </row>
    <row r="87">
      <c r="A87" s="42">
        <f>CashFlow!A87</f>
        <v/>
      </c>
      <c r="B87" s="43">
        <f>CashFlow!B87</f>
        <v/>
      </c>
      <c r="C87" s="31">
        <f>CashFlow!AC87</f>
        <v/>
      </c>
      <c r="D87" s="21">
        <f>MAX(0,-C87)</f>
        <v/>
      </c>
      <c r="E87" s="21">
        <f>MAX(0,C87)</f>
        <v/>
      </c>
      <c r="F87" s="21">
        <f>J86</f>
        <v/>
      </c>
      <c r="G87" s="21">
        <f>F87*Assumptions!$B$63/12</f>
        <v/>
      </c>
      <c r="H87" s="21">
        <f>F87+G87+D87</f>
        <v/>
      </c>
      <c r="I87" s="21">
        <f>MIN(E87,H87)</f>
        <v/>
      </c>
      <c r="J87" s="21">
        <f>H87-I87</f>
        <v/>
      </c>
      <c r="K87" s="21">
        <f>Q86</f>
        <v/>
      </c>
      <c r="L87" s="21">
        <f>K87*Assumptions!$B$66/12</f>
        <v/>
      </c>
      <c r="M87" s="21">
        <f>K87+L87+D87</f>
        <v/>
      </c>
      <c r="N87" s="21">
        <f>MIN(MAX(0,E87-I87),MAX(0,M87-I87)/(1-Assumptions!$B$64))</f>
        <v/>
      </c>
      <c r="O87" s="21">
        <f>N87*(1-Assumptions!$B$64)</f>
        <v/>
      </c>
      <c r="P87" s="21">
        <f>N87*Assumptions!$B$64</f>
        <v/>
      </c>
      <c r="Q87" s="21">
        <f>MAX(0,M87-I87-O87)</f>
        <v/>
      </c>
      <c r="R87" s="21">
        <f>MAX(0,E87-I87-N87)</f>
        <v/>
      </c>
      <c r="S87" s="21">
        <f>R87*(1-Assumptions!$B$65)</f>
        <v/>
      </c>
      <c r="T87" s="21">
        <f>R87*Assumptions!$B$65</f>
        <v/>
      </c>
      <c r="U87" s="21">
        <f>I87+O87+S87</f>
        <v/>
      </c>
      <c r="V87" s="21">
        <f>P87+T87</f>
        <v/>
      </c>
      <c r="W87" s="21">
        <f>(1-Assumptions!$B$62)*(U87-D87)</f>
        <v/>
      </c>
      <c r="X87" s="21">
        <f>Assumptions!$B$62*(U87-D87)+V87</f>
        <v/>
      </c>
    </row>
    <row r="88">
      <c r="A88" s="42">
        <f>CashFlow!A88</f>
        <v/>
      </c>
      <c r="B88" s="43">
        <f>CashFlow!B88</f>
        <v/>
      </c>
      <c r="C88" s="31">
        <f>CashFlow!AC88</f>
        <v/>
      </c>
      <c r="D88" s="21">
        <f>MAX(0,-C88)</f>
        <v/>
      </c>
      <c r="E88" s="21">
        <f>MAX(0,C88)</f>
        <v/>
      </c>
      <c r="F88" s="21">
        <f>J87</f>
        <v/>
      </c>
      <c r="G88" s="21">
        <f>F88*Assumptions!$B$63/12</f>
        <v/>
      </c>
      <c r="H88" s="21">
        <f>F88+G88+D88</f>
        <v/>
      </c>
      <c r="I88" s="21">
        <f>MIN(E88,H88)</f>
        <v/>
      </c>
      <c r="J88" s="21">
        <f>H88-I88</f>
        <v/>
      </c>
      <c r="K88" s="21">
        <f>Q87</f>
        <v/>
      </c>
      <c r="L88" s="21">
        <f>K88*Assumptions!$B$66/12</f>
        <v/>
      </c>
      <c r="M88" s="21">
        <f>K88+L88+D88</f>
        <v/>
      </c>
      <c r="N88" s="21">
        <f>MIN(MAX(0,E88-I88),MAX(0,M88-I88)/(1-Assumptions!$B$64))</f>
        <v/>
      </c>
      <c r="O88" s="21">
        <f>N88*(1-Assumptions!$B$64)</f>
        <v/>
      </c>
      <c r="P88" s="21">
        <f>N88*Assumptions!$B$64</f>
        <v/>
      </c>
      <c r="Q88" s="21">
        <f>MAX(0,M88-I88-O88)</f>
        <v/>
      </c>
      <c r="R88" s="21">
        <f>MAX(0,E88-I88-N88)</f>
        <v/>
      </c>
      <c r="S88" s="21">
        <f>R88*(1-Assumptions!$B$65)</f>
        <v/>
      </c>
      <c r="T88" s="21">
        <f>R88*Assumptions!$B$65</f>
        <v/>
      </c>
      <c r="U88" s="21">
        <f>I88+O88+S88</f>
        <v/>
      </c>
      <c r="V88" s="21">
        <f>P88+T88</f>
        <v/>
      </c>
      <c r="W88" s="21">
        <f>(1-Assumptions!$B$62)*(U88-D88)</f>
        <v/>
      </c>
      <c r="X88" s="21">
        <f>Assumptions!$B$62*(U88-D88)+V88</f>
        <v/>
      </c>
    </row>
    <row r="89">
      <c r="A89" s="42">
        <f>CashFlow!A89</f>
        <v/>
      </c>
      <c r="B89" s="43">
        <f>CashFlow!B89</f>
        <v/>
      </c>
      <c r="C89" s="31">
        <f>CashFlow!AC89</f>
        <v/>
      </c>
      <c r="D89" s="21">
        <f>MAX(0,-C89)</f>
        <v/>
      </c>
      <c r="E89" s="21">
        <f>MAX(0,C89)</f>
        <v/>
      </c>
      <c r="F89" s="21">
        <f>J88</f>
        <v/>
      </c>
      <c r="G89" s="21">
        <f>F89*Assumptions!$B$63/12</f>
        <v/>
      </c>
      <c r="H89" s="21">
        <f>F89+G89+D89</f>
        <v/>
      </c>
      <c r="I89" s="21">
        <f>MIN(E89,H89)</f>
        <v/>
      </c>
      <c r="J89" s="21">
        <f>H89-I89</f>
        <v/>
      </c>
      <c r="K89" s="21">
        <f>Q88</f>
        <v/>
      </c>
      <c r="L89" s="21">
        <f>K89*Assumptions!$B$66/12</f>
        <v/>
      </c>
      <c r="M89" s="21">
        <f>K89+L89+D89</f>
        <v/>
      </c>
      <c r="N89" s="21">
        <f>MIN(MAX(0,E89-I89),MAX(0,M89-I89)/(1-Assumptions!$B$64))</f>
        <v/>
      </c>
      <c r="O89" s="21">
        <f>N89*(1-Assumptions!$B$64)</f>
        <v/>
      </c>
      <c r="P89" s="21">
        <f>N89*Assumptions!$B$64</f>
        <v/>
      </c>
      <c r="Q89" s="21">
        <f>MAX(0,M89-I89-O89)</f>
        <v/>
      </c>
      <c r="R89" s="21">
        <f>MAX(0,E89-I89-N89)</f>
        <v/>
      </c>
      <c r="S89" s="21">
        <f>R89*(1-Assumptions!$B$65)</f>
        <v/>
      </c>
      <c r="T89" s="21">
        <f>R89*Assumptions!$B$65</f>
        <v/>
      </c>
      <c r="U89" s="21">
        <f>I89+O89+S89</f>
        <v/>
      </c>
      <c r="V89" s="21">
        <f>P89+T89</f>
        <v/>
      </c>
      <c r="W89" s="21">
        <f>(1-Assumptions!$B$62)*(U89-D89)</f>
        <v/>
      </c>
      <c r="X89" s="21">
        <f>Assumptions!$B$62*(U89-D89)+V89</f>
        <v/>
      </c>
    </row>
    <row r="90">
      <c r="A90" s="42">
        <f>CashFlow!A90</f>
        <v/>
      </c>
      <c r="B90" s="43">
        <f>CashFlow!B90</f>
        <v/>
      </c>
      <c r="C90" s="31">
        <f>CashFlow!AC90</f>
        <v/>
      </c>
      <c r="D90" s="21">
        <f>MAX(0,-C90)</f>
        <v/>
      </c>
      <c r="E90" s="21">
        <f>MAX(0,C90)</f>
        <v/>
      </c>
      <c r="F90" s="21">
        <f>J89</f>
        <v/>
      </c>
      <c r="G90" s="21">
        <f>F90*Assumptions!$B$63/12</f>
        <v/>
      </c>
      <c r="H90" s="21">
        <f>F90+G90+D90</f>
        <v/>
      </c>
      <c r="I90" s="21">
        <f>MIN(E90,H90)</f>
        <v/>
      </c>
      <c r="J90" s="21">
        <f>H90-I90</f>
        <v/>
      </c>
      <c r="K90" s="21">
        <f>Q89</f>
        <v/>
      </c>
      <c r="L90" s="21">
        <f>K90*Assumptions!$B$66/12</f>
        <v/>
      </c>
      <c r="M90" s="21">
        <f>K90+L90+D90</f>
        <v/>
      </c>
      <c r="N90" s="21">
        <f>MIN(MAX(0,E90-I90),MAX(0,M90-I90)/(1-Assumptions!$B$64))</f>
        <v/>
      </c>
      <c r="O90" s="21">
        <f>N90*(1-Assumptions!$B$64)</f>
        <v/>
      </c>
      <c r="P90" s="21">
        <f>N90*Assumptions!$B$64</f>
        <v/>
      </c>
      <c r="Q90" s="21">
        <f>MAX(0,M90-I90-O90)</f>
        <v/>
      </c>
      <c r="R90" s="21">
        <f>MAX(0,E90-I90-N90)</f>
        <v/>
      </c>
      <c r="S90" s="21">
        <f>R90*(1-Assumptions!$B$65)</f>
        <v/>
      </c>
      <c r="T90" s="21">
        <f>R90*Assumptions!$B$65</f>
        <v/>
      </c>
      <c r="U90" s="21">
        <f>I90+O90+S90</f>
        <v/>
      </c>
      <c r="V90" s="21">
        <f>P90+T90</f>
        <v/>
      </c>
      <c r="W90" s="21">
        <f>(1-Assumptions!$B$62)*(U90-D90)</f>
        <v/>
      </c>
      <c r="X90" s="21">
        <f>Assumptions!$B$62*(U90-D90)+V90</f>
        <v/>
      </c>
    </row>
    <row r="91">
      <c r="A91" s="42">
        <f>CashFlow!A91</f>
        <v/>
      </c>
      <c r="B91" s="43">
        <f>CashFlow!B91</f>
        <v/>
      </c>
      <c r="C91" s="31">
        <f>CashFlow!AC91</f>
        <v/>
      </c>
      <c r="D91" s="21">
        <f>MAX(0,-C91)</f>
        <v/>
      </c>
      <c r="E91" s="21">
        <f>MAX(0,C91)</f>
        <v/>
      </c>
      <c r="F91" s="21">
        <f>J90</f>
        <v/>
      </c>
      <c r="G91" s="21">
        <f>F91*Assumptions!$B$63/12</f>
        <v/>
      </c>
      <c r="H91" s="21">
        <f>F91+G91+D91</f>
        <v/>
      </c>
      <c r="I91" s="21">
        <f>MIN(E91,H91)</f>
        <v/>
      </c>
      <c r="J91" s="21">
        <f>H91-I91</f>
        <v/>
      </c>
      <c r="K91" s="21">
        <f>Q90</f>
        <v/>
      </c>
      <c r="L91" s="21">
        <f>K91*Assumptions!$B$66/12</f>
        <v/>
      </c>
      <c r="M91" s="21">
        <f>K91+L91+D91</f>
        <v/>
      </c>
      <c r="N91" s="21">
        <f>MIN(MAX(0,E91-I91),MAX(0,M91-I91)/(1-Assumptions!$B$64))</f>
        <v/>
      </c>
      <c r="O91" s="21">
        <f>N91*(1-Assumptions!$B$64)</f>
        <v/>
      </c>
      <c r="P91" s="21">
        <f>N91*Assumptions!$B$64</f>
        <v/>
      </c>
      <c r="Q91" s="21">
        <f>MAX(0,M91-I91-O91)</f>
        <v/>
      </c>
      <c r="R91" s="21">
        <f>MAX(0,E91-I91-N91)</f>
        <v/>
      </c>
      <c r="S91" s="21">
        <f>R91*(1-Assumptions!$B$65)</f>
        <v/>
      </c>
      <c r="T91" s="21">
        <f>R91*Assumptions!$B$65</f>
        <v/>
      </c>
      <c r="U91" s="21">
        <f>I91+O91+S91</f>
        <v/>
      </c>
      <c r="V91" s="21">
        <f>P91+T91</f>
        <v/>
      </c>
      <c r="W91" s="21">
        <f>(1-Assumptions!$B$62)*(U91-D91)</f>
        <v/>
      </c>
      <c r="X91" s="21">
        <f>Assumptions!$B$62*(U91-D91)+V91</f>
        <v/>
      </c>
    </row>
    <row r="92">
      <c r="A92" s="42">
        <f>CashFlow!A92</f>
        <v/>
      </c>
      <c r="B92" s="43">
        <f>CashFlow!B92</f>
        <v/>
      </c>
      <c r="C92" s="31">
        <f>CashFlow!AC92</f>
        <v/>
      </c>
      <c r="D92" s="21">
        <f>MAX(0,-C92)</f>
        <v/>
      </c>
      <c r="E92" s="21">
        <f>MAX(0,C92)</f>
        <v/>
      </c>
      <c r="F92" s="21">
        <f>J91</f>
        <v/>
      </c>
      <c r="G92" s="21">
        <f>F92*Assumptions!$B$63/12</f>
        <v/>
      </c>
      <c r="H92" s="21">
        <f>F92+G92+D92</f>
        <v/>
      </c>
      <c r="I92" s="21">
        <f>MIN(E92,H92)</f>
        <v/>
      </c>
      <c r="J92" s="21">
        <f>H92-I92</f>
        <v/>
      </c>
      <c r="K92" s="21">
        <f>Q91</f>
        <v/>
      </c>
      <c r="L92" s="21">
        <f>K92*Assumptions!$B$66/12</f>
        <v/>
      </c>
      <c r="M92" s="21">
        <f>K92+L92+D92</f>
        <v/>
      </c>
      <c r="N92" s="21">
        <f>MIN(MAX(0,E92-I92),MAX(0,M92-I92)/(1-Assumptions!$B$64))</f>
        <v/>
      </c>
      <c r="O92" s="21">
        <f>N92*(1-Assumptions!$B$64)</f>
        <v/>
      </c>
      <c r="P92" s="21">
        <f>N92*Assumptions!$B$64</f>
        <v/>
      </c>
      <c r="Q92" s="21">
        <f>MAX(0,M92-I92-O92)</f>
        <v/>
      </c>
      <c r="R92" s="21">
        <f>MAX(0,E92-I92-N92)</f>
        <v/>
      </c>
      <c r="S92" s="21">
        <f>R92*(1-Assumptions!$B$65)</f>
        <v/>
      </c>
      <c r="T92" s="21">
        <f>R92*Assumptions!$B$65</f>
        <v/>
      </c>
      <c r="U92" s="21">
        <f>I92+O92+S92</f>
        <v/>
      </c>
      <c r="V92" s="21">
        <f>P92+T92</f>
        <v/>
      </c>
      <c r="W92" s="21">
        <f>(1-Assumptions!$B$62)*(U92-D92)</f>
        <v/>
      </c>
      <c r="X92" s="21">
        <f>Assumptions!$B$62*(U92-D92)+V92</f>
        <v/>
      </c>
    </row>
    <row r="93">
      <c r="A93" s="42">
        <f>CashFlow!A93</f>
        <v/>
      </c>
      <c r="B93" s="43">
        <f>CashFlow!B93</f>
        <v/>
      </c>
      <c r="C93" s="31">
        <f>CashFlow!AC93</f>
        <v/>
      </c>
      <c r="D93" s="21">
        <f>MAX(0,-C93)</f>
        <v/>
      </c>
      <c r="E93" s="21">
        <f>MAX(0,C93)</f>
        <v/>
      </c>
      <c r="F93" s="21">
        <f>J92</f>
        <v/>
      </c>
      <c r="G93" s="21">
        <f>F93*Assumptions!$B$63/12</f>
        <v/>
      </c>
      <c r="H93" s="21">
        <f>F93+G93+D93</f>
        <v/>
      </c>
      <c r="I93" s="21">
        <f>MIN(E93,H93)</f>
        <v/>
      </c>
      <c r="J93" s="21">
        <f>H93-I93</f>
        <v/>
      </c>
      <c r="K93" s="21">
        <f>Q92</f>
        <v/>
      </c>
      <c r="L93" s="21">
        <f>K93*Assumptions!$B$66/12</f>
        <v/>
      </c>
      <c r="M93" s="21">
        <f>K93+L93+D93</f>
        <v/>
      </c>
      <c r="N93" s="21">
        <f>MIN(MAX(0,E93-I93),MAX(0,M93-I93)/(1-Assumptions!$B$64))</f>
        <v/>
      </c>
      <c r="O93" s="21">
        <f>N93*(1-Assumptions!$B$64)</f>
        <v/>
      </c>
      <c r="P93" s="21">
        <f>N93*Assumptions!$B$64</f>
        <v/>
      </c>
      <c r="Q93" s="21">
        <f>MAX(0,M93-I93-O93)</f>
        <v/>
      </c>
      <c r="R93" s="21">
        <f>MAX(0,E93-I93-N93)</f>
        <v/>
      </c>
      <c r="S93" s="21">
        <f>R93*(1-Assumptions!$B$65)</f>
        <v/>
      </c>
      <c r="T93" s="21">
        <f>R93*Assumptions!$B$65</f>
        <v/>
      </c>
      <c r="U93" s="21">
        <f>I93+O93+S93</f>
        <v/>
      </c>
      <c r="V93" s="21">
        <f>P93+T93</f>
        <v/>
      </c>
      <c r="W93" s="21">
        <f>(1-Assumptions!$B$62)*(U93-D93)</f>
        <v/>
      </c>
      <c r="X93" s="21">
        <f>Assumptions!$B$62*(U93-D93)+V93</f>
        <v/>
      </c>
    </row>
    <row r="94">
      <c r="A94" s="42">
        <f>CashFlow!A94</f>
        <v/>
      </c>
      <c r="B94" s="43">
        <f>CashFlow!B94</f>
        <v/>
      </c>
      <c r="C94" s="31">
        <f>CashFlow!AC94</f>
        <v/>
      </c>
      <c r="D94" s="21">
        <f>MAX(0,-C94)</f>
        <v/>
      </c>
      <c r="E94" s="21">
        <f>MAX(0,C94)</f>
        <v/>
      </c>
      <c r="F94" s="21">
        <f>J93</f>
        <v/>
      </c>
      <c r="G94" s="21">
        <f>F94*Assumptions!$B$63/12</f>
        <v/>
      </c>
      <c r="H94" s="21">
        <f>F94+G94+D94</f>
        <v/>
      </c>
      <c r="I94" s="21">
        <f>MIN(E94,H94)</f>
        <v/>
      </c>
      <c r="J94" s="21">
        <f>H94-I94</f>
        <v/>
      </c>
      <c r="K94" s="21">
        <f>Q93</f>
        <v/>
      </c>
      <c r="L94" s="21">
        <f>K94*Assumptions!$B$66/12</f>
        <v/>
      </c>
      <c r="M94" s="21">
        <f>K94+L94+D94</f>
        <v/>
      </c>
      <c r="N94" s="21">
        <f>MIN(MAX(0,E94-I94),MAX(0,M94-I94)/(1-Assumptions!$B$64))</f>
        <v/>
      </c>
      <c r="O94" s="21">
        <f>N94*(1-Assumptions!$B$64)</f>
        <v/>
      </c>
      <c r="P94" s="21">
        <f>N94*Assumptions!$B$64</f>
        <v/>
      </c>
      <c r="Q94" s="21">
        <f>MAX(0,M94-I94-O94)</f>
        <v/>
      </c>
      <c r="R94" s="21">
        <f>MAX(0,E94-I94-N94)</f>
        <v/>
      </c>
      <c r="S94" s="21">
        <f>R94*(1-Assumptions!$B$65)</f>
        <v/>
      </c>
      <c r="T94" s="21">
        <f>R94*Assumptions!$B$65</f>
        <v/>
      </c>
      <c r="U94" s="21">
        <f>I94+O94+S94</f>
        <v/>
      </c>
      <c r="V94" s="21">
        <f>P94+T94</f>
        <v/>
      </c>
      <c r="W94" s="21">
        <f>(1-Assumptions!$B$62)*(U94-D94)</f>
        <v/>
      </c>
      <c r="X94" s="21">
        <f>Assumptions!$B$62*(U94-D94)+V94</f>
        <v/>
      </c>
    </row>
    <row r="95">
      <c r="A95" s="42">
        <f>CashFlow!A95</f>
        <v/>
      </c>
      <c r="B95" s="43">
        <f>CashFlow!B95</f>
        <v/>
      </c>
      <c r="C95" s="31">
        <f>CashFlow!AC95</f>
        <v/>
      </c>
      <c r="D95" s="21">
        <f>MAX(0,-C95)</f>
        <v/>
      </c>
      <c r="E95" s="21">
        <f>MAX(0,C95)</f>
        <v/>
      </c>
      <c r="F95" s="21">
        <f>J94</f>
        <v/>
      </c>
      <c r="G95" s="21">
        <f>F95*Assumptions!$B$63/12</f>
        <v/>
      </c>
      <c r="H95" s="21">
        <f>F95+G95+D95</f>
        <v/>
      </c>
      <c r="I95" s="21">
        <f>MIN(E95,H95)</f>
        <v/>
      </c>
      <c r="J95" s="21">
        <f>H95-I95</f>
        <v/>
      </c>
      <c r="K95" s="21">
        <f>Q94</f>
        <v/>
      </c>
      <c r="L95" s="21">
        <f>K95*Assumptions!$B$66/12</f>
        <v/>
      </c>
      <c r="M95" s="21">
        <f>K95+L95+D95</f>
        <v/>
      </c>
      <c r="N95" s="21">
        <f>MIN(MAX(0,E95-I95),MAX(0,M95-I95)/(1-Assumptions!$B$64))</f>
        <v/>
      </c>
      <c r="O95" s="21">
        <f>N95*(1-Assumptions!$B$64)</f>
        <v/>
      </c>
      <c r="P95" s="21">
        <f>N95*Assumptions!$B$64</f>
        <v/>
      </c>
      <c r="Q95" s="21">
        <f>MAX(0,M95-I95-O95)</f>
        <v/>
      </c>
      <c r="R95" s="21">
        <f>MAX(0,E95-I95-N95)</f>
        <v/>
      </c>
      <c r="S95" s="21">
        <f>R95*(1-Assumptions!$B$65)</f>
        <v/>
      </c>
      <c r="T95" s="21">
        <f>R95*Assumptions!$B$65</f>
        <v/>
      </c>
      <c r="U95" s="21">
        <f>I95+O95+S95</f>
        <v/>
      </c>
      <c r="V95" s="21">
        <f>P95+T95</f>
        <v/>
      </c>
      <c r="W95" s="21">
        <f>(1-Assumptions!$B$62)*(U95-D95)</f>
        <v/>
      </c>
      <c r="X95" s="21">
        <f>Assumptions!$B$62*(U95-D95)+V95</f>
        <v/>
      </c>
    </row>
    <row r="96">
      <c r="A96" s="42">
        <f>CashFlow!A96</f>
        <v/>
      </c>
      <c r="B96" s="43">
        <f>CashFlow!B96</f>
        <v/>
      </c>
      <c r="C96" s="31">
        <f>CashFlow!AC96</f>
        <v/>
      </c>
      <c r="D96" s="21">
        <f>MAX(0,-C96)</f>
        <v/>
      </c>
      <c r="E96" s="21">
        <f>MAX(0,C96)</f>
        <v/>
      </c>
      <c r="F96" s="21">
        <f>J95</f>
        <v/>
      </c>
      <c r="G96" s="21">
        <f>F96*Assumptions!$B$63/12</f>
        <v/>
      </c>
      <c r="H96" s="21">
        <f>F96+G96+D96</f>
        <v/>
      </c>
      <c r="I96" s="21">
        <f>MIN(E96,H96)</f>
        <v/>
      </c>
      <c r="J96" s="21">
        <f>H96-I96</f>
        <v/>
      </c>
      <c r="K96" s="21">
        <f>Q95</f>
        <v/>
      </c>
      <c r="L96" s="21">
        <f>K96*Assumptions!$B$66/12</f>
        <v/>
      </c>
      <c r="M96" s="21">
        <f>K96+L96+D96</f>
        <v/>
      </c>
      <c r="N96" s="21">
        <f>MIN(MAX(0,E96-I96),MAX(0,M96-I96)/(1-Assumptions!$B$64))</f>
        <v/>
      </c>
      <c r="O96" s="21">
        <f>N96*(1-Assumptions!$B$64)</f>
        <v/>
      </c>
      <c r="P96" s="21">
        <f>N96*Assumptions!$B$64</f>
        <v/>
      </c>
      <c r="Q96" s="21">
        <f>MAX(0,M96-I96-O96)</f>
        <v/>
      </c>
      <c r="R96" s="21">
        <f>MAX(0,E96-I96-N96)</f>
        <v/>
      </c>
      <c r="S96" s="21">
        <f>R96*(1-Assumptions!$B$65)</f>
        <v/>
      </c>
      <c r="T96" s="21">
        <f>R96*Assumptions!$B$65</f>
        <v/>
      </c>
      <c r="U96" s="21">
        <f>I96+O96+S96</f>
        <v/>
      </c>
      <c r="V96" s="21">
        <f>P96+T96</f>
        <v/>
      </c>
      <c r="W96" s="21">
        <f>(1-Assumptions!$B$62)*(U96-D96)</f>
        <v/>
      </c>
      <c r="X96" s="21">
        <f>Assumptions!$B$62*(U96-D96)+V96</f>
        <v/>
      </c>
    </row>
    <row r="97">
      <c r="A97" s="42">
        <f>CashFlow!A97</f>
        <v/>
      </c>
      <c r="B97" s="43">
        <f>CashFlow!B97</f>
        <v/>
      </c>
      <c r="C97" s="31">
        <f>CashFlow!AC97</f>
        <v/>
      </c>
      <c r="D97" s="21">
        <f>MAX(0,-C97)</f>
        <v/>
      </c>
      <c r="E97" s="21">
        <f>MAX(0,C97)</f>
        <v/>
      </c>
      <c r="F97" s="21">
        <f>J96</f>
        <v/>
      </c>
      <c r="G97" s="21">
        <f>F97*Assumptions!$B$63/12</f>
        <v/>
      </c>
      <c r="H97" s="21">
        <f>F97+G97+D97</f>
        <v/>
      </c>
      <c r="I97" s="21">
        <f>MIN(E97,H97)</f>
        <v/>
      </c>
      <c r="J97" s="21">
        <f>H97-I97</f>
        <v/>
      </c>
      <c r="K97" s="21">
        <f>Q96</f>
        <v/>
      </c>
      <c r="L97" s="21">
        <f>K97*Assumptions!$B$66/12</f>
        <v/>
      </c>
      <c r="M97" s="21">
        <f>K97+L97+D97</f>
        <v/>
      </c>
      <c r="N97" s="21">
        <f>MIN(MAX(0,E97-I97),MAX(0,M97-I97)/(1-Assumptions!$B$64))</f>
        <v/>
      </c>
      <c r="O97" s="21">
        <f>N97*(1-Assumptions!$B$64)</f>
        <v/>
      </c>
      <c r="P97" s="21">
        <f>N97*Assumptions!$B$64</f>
        <v/>
      </c>
      <c r="Q97" s="21">
        <f>MAX(0,M97-I97-O97)</f>
        <v/>
      </c>
      <c r="R97" s="21">
        <f>MAX(0,E97-I97-N97)</f>
        <v/>
      </c>
      <c r="S97" s="21">
        <f>R97*(1-Assumptions!$B$65)</f>
        <v/>
      </c>
      <c r="T97" s="21">
        <f>R97*Assumptions!$B$65</f>
        <v/>
      </c>
      <c r="U97" s="21">
        <f>I97+O97+S97</f>
        <v/>
      </c>
      <c r="V97" s="21">
        <f>P97+T97</f>
        <v/>
      </c>
      <c r="W97" s="21">
        <f>(1-Assumptions!$B$62)*(U97-D97)</f>
        <v/>
      </c>
      <c r="X97" s="21">
        <f>Assumptions!$B$62*(U97-D97)+V97</f>
        <v/>
      </c>
    </row>
    <row r="98">
      <c r="A98" s="42">
        <f>CashFlow!A98</f>
        <v/>
      </c>
      <c r="B98" s="43">
        <f>CashFlow!B98</f>
        <v/>
      </c>
      <c r="C98" s="31">
        <f>CashFlow!AC98</f>
        <v/>
      </c>
      <c r="D98" s="21">
        <f>MAX(0,-C98)</f>
        <v/>
      </c>
      <c r="E98" s="21">
        <f>MAX(0,C98)</f>
        <v/>
      </c>
      <c r="F98" s="21">
        <f>J97</f>
        <v/>
      </c>
      <c r="G98" s="21">
        <f>F98*Assumptions!$B$63/12</f>
        <v/>
      </c>
      <c r="H98" s="21">
        <f>F98+G98+D98</f>
        <v/>
      </c>
      <c r="I98" s="21">
        <f>MIN(E98,H98)</f>
        <v/>
      </c>
      <c r="J98" s="21">
        <f>H98-I98</f>
        <v/>
      </c>
      <c r="K98" s="21">
        <f>Q97</f>
        <v/>
      </c>
      <c r="L98" s="21">
        <f>K98*Assumptions!$B$66/12</f>
        <v/>
      </c>
      <c r="M98" s="21">
        <f>K98+L98+D98</f>
        <v/>
      </c>
      <c r="N98" s="21">
        <f>MIN(MAX(0,E98-I98),MAX(0,M98-I98)/(1-Assumptions!$B$64))</f>
        <v/>
      </c>
      <c r="O98" s="21">
        <f>N98*(1-Assumptions!$B$64)</f>
        <v/>
      </c>
      <c r="P98" s="21">
        <f>N98*Assumptions!$B$64</f>
        <v/>
      </c>
      <c r="Q98" s="21">
        <f>MAX(0,M98-I98-O98)</f>
        <v/>
      </c>
      <c r="R98" s="21">
        <f>MAX(0,E98-I98-N98)</f>
        <v/>
      </c>
      <c r="S98" s="21">
        <f>R98*(1-Assumptions!$B$65)</f>
        <v/>
      </c>
      <c r="T98" s="21">
        <f>R98*Assumptions!$B$65</f>
        <v/>
      </c>
      <c r="U98" s="21">
        <f>I98+O98+S98</f>
        <v/>
      </c>
      <c r="V98" s="21">
        <f>P98+T98</f>
        <v/>
      </c>
      <c r="W98" s="21">
        <f>(1-Assumptions!$B$62)*(U98-D98)</f>
        <v/>
      </c>
      <c r="X98" s="21">
        <f>Assumptions!$B$62*(U98-D98)+V98</f>
        <v/>
      </c>
    </row>
    <row r="99">
      <c r="A99" s="42">
        <f>CashFlow!A99</f>
        <v/>
      </c>
      <c r="B99" s="43">
        <f>CashFlow!B99</f>
        <v/>
      </c>
      <c r="C99" s="31">
        <f>CashFlow!AC99</f>
        <v/>
      </c>
      <c r="D99" s="21">
        <f>MAX(0,-C99)</f>
        <v/>
      </c>
      <c r="E99" s="21">
        <f>MAX(0,C99)</f>
        <v/>
      </c>
      <c r="F99" s="21">
        <f>J98</f>
        <v/>
      </c>
      <c r="G99" s="21">
        <f>F99*Assumptions!$B$63/12</f>
        <v/>
      </c>
      <c r="H99" s="21">
        <f>F99+G99+D99</f>
        <v/>
      </c>
      <c r="I99" s="21">
        <f>MIN(E99,H99)</f>
        <v/>
      </c>
      <c r="J99" s="21">
        <f>H99-I99</f>
        <v/>
      </c>
      <c r="K99" s="21">
        <f>Q98</f>
        <v/>
      </c>
      <c r="L99" s="21">
        <f>K99*Assumptions!$B$66/12</f>
        <v/>
      </c>
      <c r="M99" s="21">
        <f>K99+L99+D99</f>
        <v/>
      </c>
      <c r="N99" s="21">
        <f>MIN(MAX(0,E99-I99),MAX(0,M99-I99)/(1-Assumptions!$B$64))</f>
        <v/>
      </c>
      <c r="O99" s="21">
        <f>N99*(1-Assumptions!$B$64)</f>
        <v/>
      </c>
      <c r="P99" s="21">
        <f>N99*Assumptions!$B$64</f>
        <v/>
      </c>
      <c r="Q99" s="21">
        <f>MAX(0,M99-I99-O99)</f>
        <v/>
      </c>
      <c r="R99" s="21">
        <f>MAX(0,E99-I99-N99)</f>
        <v/>
      </c>
      <c r="S99" s="21">
        <f>R99*(1-Assumptions!$B$65)</f>
        <v/>
      </c>
      <c r="T99" s="21">
        <f>R99*Assumptions!$B$65</f>
        <v/>
      </c>
      <c r="U99" s="21">
        <f>I99+O99+S99</f>
        <v/>
      </c>
      <c r="V99" s="21">
        <f>P99+T99</f>
        <v/>
      </c>
      <c r="W99" s="21">
        <f>(1-Assumptions!$B$62)*(U99-D99)</f>
        <v/>
      </c>
      <c r="X99" s="21">
        <f>Assumptions!$B$62*(U99-D99)+V99</f>
        <v/>
      </c>
    </row>
    <row r="100">
      <c r="A100" s="42">
        <f>CashFlow!A100</f>
        <v/>
      </c>
      <c r="B100" s="43">
        <f>CashFlow!B100</f>
        <v/>
      </c>
      <c r="C100" s="31">
        <f>CashFlow!AC100</f>
        <v/>
      </c>
      <c r="D100" s="21">
        <f>MAX(0,-C100)</f>
        <v/>
      </c>
      <c r="E100" s="21">
        <f>MAX(0,C100)</f>
        <v/>
      </c>
      <c r="F100" s="21">
        <f>J99</f>
        <v/>
      </c>
      <c r="G100" s="21">
        <f>F100*Assumptions!$B$63/12</f>
        <v/>
      </c>
      <c r="H100" s="21">
        <f>F100+G100+D100</f>
        <v/>
      </c>
      <c r="I100" s="21">
        <f>MIN(E100,H100)</f>
        <v/>
      </c>
      <c r="J100" s="21">
        <f>H100-I100</f>
        <v/>
      </c>
      <c r="K100" s="21">
        <f>Q99</f>
        <v/>
      </c>
      <c r="L100" s="21">
        <f>K100*Assumptions!$B$66/12</f>
        <v/>
      </c>
      <c r="M100" s="21">
        <f>K100+L100+D100</f>
        <v/>
      </c>
      <c r="N100" s="21">
        <f>MIN(MAX(0,E100-I100),MAX(0,M100-I100)/(1-Assumptions!$B$64))</f>
        <v/>
      </c>
      <c r="O100" s="21">
        <f>N100*(1-Assumptions!$B$64)</f>
        <v/>
      </c>
      <c r="P100" s="21">
        <f>N100*Assumptions!$B$64</f>
        <v/>
      </c>
      <c r="Q100" s="21">
        <f>MAX(0,M100-I100-O100)</f>
        <v/>
      </c>
      <c r="R100" s="21">
        <f>MAX(0,E100-I100-N100)</f>
        <v/>
      </c>
      <c r="S100" s="21">
        <f>R100*(1-Assumptions!$B$65)</f>
        <v/>
      </c>
      <c r="T100" s="21">
        <f>R100*Assumptions!$B$65</f>
        <v/>
      </c>
      <c r="U100" s="21">
        <f>I100+O100+S100</f>
        <v/>
      </c>
      <c r="V100" s="21">
        <f>P100+T100</f>
        <v/>
      </c>
      <c r="W100" s="21">
        <f>(1-Assumptions!$B$62)*(U100-D100)</f>
        <v/>
      </c>
      <c r="X100" s="21">
        <f>Assumptions!$B$62*(U100-D100)+V100</f>
        <v/>
      </c>
    </row>
    <row r="101">
      <c r="A101" s="42">
        <f>CashFlow!A101</f>
        <v/>
      </c>
      <c r="B101" s="43">
        <f>CashFlow!B101</f>
        <v/>
      </c>
      <c r="C101" s="31">
        <f>CashFlow!AC101</f>
        <v/>
      </c>
      <c r="D101" s="21">
        <f>MAX(0,-C101)</f>
        <v/>
      </c>
      <c r="E101" s="21">
        <f>MAX(0,C101)</f>
        <v/>
      </c>
      <c r="F101" s="21">
        <f>J100</f>
        <v/>
      </c>
      <c r="G101" s="21">
        <f>F101*Assumptions!$B$63/12</f>
        <v/>
      </c>
      <c r="H101" s="21">
        <f>F101+G101+D101</f>
        <v/>
      </c>
      <c r="I101" s="21">
        <f>MIN(E101,H101)</f>
        <v/>
      </c>
      <c r="J101" s="21">
        <f>H101-I101</f>
        <v/>
      </c>
      <c r="K101" s="21">
        <f>Q100</f>
        <v/>
      </c>
      <c r="L101" s="21">
        <f>K101*Assumptions!$B$66/12</f>
        <v/>
      </c>
      <c r="M101" s="21">
        <f>K101+L101+D101</f>
        <v/>
      </c>
      <c r="N101" s="21">
        <f>MIN(MAX(0,E101-I101),MAX(0,M101-I101)/(1-Assumptions!$B$64))</f>
        <v/>
      </c>
      <c r="O101" s="21">
        <f>N101*(1-Assumptions!$B$64)</f>
        <v/>
      </c>
      <c r="P101" s="21">
        <f>N101*Assumptions!$B$64</f>
        <v/>
      </c>
      <c r="Q101" s="21">
        <f>MAX(0,M101-I101-O101)</f>
        <v/>
      </c>
      <c r="R101" s="21">
        <f>MAX(0,E101-I101-N101)</f>
        <v/>
      </c>
      <c r="S101" s="21">
        <f>R101*(1-Assumptions!$B$65)</f>
        <v/>
      </c>
      <c r="T101" s="21">
        <f>R101*Assumptions!$B$65</f>
        <v/>
      </c>
      <c r="U101" s="21">
        <f>I101+O101+S101</f>
        <v/>
      </c>
      <c r="V101" s="21">
        <f>P101+T101</f>
        <v/>
      </c>
      <c r="W101" s="21">
        <f>(1-Assumptions!$B$62)*(U101-D101)</f>
        <v/>
      </c>
      <c r="X101" s="21">
        <f>Assumptions!$B$62*(U101-D101)+V101</f>
        <v/>
      </c>
    </row>
    <row r="102">
      <c r="A102" s="42">
        <f>CashFlow!A102</f>
        <v/>
      </c>
      <c r="B102" s="43">
        <f>CashFlow!B102</f>
        <v/>
      </c>
      <c r="C102" s="31">
        <f>CashFlow!AC102</f>
        <v/>
      </c>
      <c r="D102" s="21">
        <f>MAX(0,-C102)</f>
        <v/>
      </c>
      <c r="E102" s="21">
        <f>MAX(0,C102)</f>
        <v/>
      </c>
      <c r="F102" s="21">
        <f>J101</f>
        <v/>
      </c>
      <c r="G102" s="21">
        <f>F102*Assumptions!$B$63/12</f>
        <v/>
      </c>
      <c r="H102" s="21">
        <f>F102+G102+D102</f>
        <v/>
      </c>
      <c r="I102" s="21">
        <f>MIN(E102,H102)</f>
        <v/>
      </c>
      <c r="J102" s="21">
        <f>H102-I102</f>
        <v/>
      </c>
      <c r="K102" s="21">
        <f>Q101</f>
        <v/>
      </c>
      <c r="L102" s="21">
        <f>K102*Assumptions!$B$66/12</f>
        <v/>
      </c>
      <c r="M102" s="21">
        <f>K102+L102+D102</f>
        <v/>
      </c>
      <c r="N102" s="21">
        <f>MIN(MAX(0,E102-I102),MAX(0,M102-I102)/(1-Assumptions!$B$64))</f>
        <v/>
      </c>
      <c r="O102" s="21">
        <f>N102*(1-Assumptions!$B$64)</f>
        <v/>
      </c>
      <c r="P102" s="21">
        <f>N102*Assumptions!$B$64</f>
        <v/>
      </c>
      <c r="Q102" s="21">
        <f>MAX(0,M102-I102-O102)</f>
        <v/>
      </c>
      <c r="R102" s="21">
        <f>MAX(0,E102-I102-N102)</f>
        <v/>
      </c>
      <c r="S102" s="21">
        <f>R102*(1-Assumptions!$B$65)</f>
        <v/>
      </c>
      <c r="T102" s="21">
        <f>R102*Assumptions!$B$65</f>
        <v/>
      </c>
      <c r="U102" s="21">
        <f>I102+O102+S102</f>
        <v/>
      </c>
      <c r="V102" s="21">
        <f>P102+T102</f>
        <v/>
      </c>
      <c r="W102" s="21">
        <f>(1-Assumptions!$B$62)*(U102-D102)</f>
        <v/>
      </c>
      <c r="X102" s="21">
        <f>Assumptions!$B$62*(U102-D102)+V102</f>
        <v/>
      </c>
    </row>
    <row r="103">
      <c r="A103" s="42">
        <f>CashFlow!A103</f>
        <v/>
      </c>
      <c r="B103" s="43">
        <f>CashFlow!B103</f>
        <v/>
      </c>
      <c r="C103" s="31">
        <f>CashFlow!AC103</f>
        <v/>
      </c>
      <c r="D103" s="21">
        <f>MAX(0,-C103)</f>
        <v/>
      </c>
      <c r="E103" s="21">
        <f>MAX(0,C103)</f>
        <v/>
      </c>
      <c r="F103" s="21">
        <f>J102</f>
        <v/>
      </c>
      <c r="G103" s="21">
        <f>F103*Assumptions!$B$63/12</f>
        <v/>
      </c>
      <c r="H103" s="21">
        <f>F103+G103+D103</f>
        <v/>
      </c>
      <c r="I103" s="21">
        <f>MIN(E103,H103)</f>
        <v/>
      </c>
      <c r="J103" s="21">
        <f>H103-I103</f>
        <v/>
      </c>
      <c r="K103" s="21">
        <f>Q102</f>
        <v/>
      </c>
      <c r="L103" s="21">
        <f>K103*Assumptions!$B$66/12</f>
        <v/>
      </c>
      <c r="M103" s="21">
        <f>K103+L103+D103</f>
        <v/>
      </c>
      <c r="N103" s="21">
        <f>MIN(MAX(0,E103-I103),MAX(0,M103-I103)/(1-Assumptions!$B$64))</f>
        <v/>
      </c>
      <c r="O103" s="21">
        <f>N103*(1-Assumptions!$B$64)</f>
        <v/>
      </c>
      <c r="P103" s="21">
        <f>N103*Assumptions!$B$64</f>
        <v/>
      </c>
      <c r="Q103" s="21">
        <f>MAX(0,M103-I103-O103)</f>
        <v/>
      </c>
      <c r="R103" s="21">
        <f>MAX(0,E103-I103-N103)</f>
        <v/>
      </c>
      <c r="S103" s="21">
        <f>R103*(1-Assumptions!$B$65)</f>
        <v/>
      </c>
      <c r="T103" s="21">
        <f>R103*Assumptions!$B$65</f>
        <v/>
      </c>
      <c r="U103" s="21">
        <f>I103+O103+S103</f>
        <v/>
      </c>
      <c r="V103" s="21">
        <f>P103+T103</f>
        <v/>
      </c>
      <c r="W103" s="21">
        <f>(1-Assumptions!$B$62)*(U103-D103)</f>
        <v/>
      </c>
      <c r="X103" s="21">
        <f>Assumptions!$B$62*(U103-D103)+V103</f>
        <v/>
      </c>
    </row>
    <row r="104">
      <c r="A104" s="42">
        <f>CashFlow!A104</f>
        <v/>
      </c>
      <c r="B104" s="43">
        <f>CashFlow!B104</f>
        <v/>
      </c>
      <c r="C104" s="31">
        <f>CashFlow!AC104</f>
        <v/>
      </c>
      <c r="D104" s="21">
        <f>MAX(0,-C104)</f>
        <v/>
      </c>
      <c r="E104" s="21">
        <f>MAX(0,C104)</f>
        <v/>
      </c>
      <c r="F104" s="21">
        <f>J103</f>
        <v/>
      </c>
      <c r="G104" s="21">
        <f>F104*Assumptions!$B$63/12</f>
        <v/>
      </c>
      <c r="H104" s="21">
        <f>F104+G104+D104</f>
        <v/>
      </c>
      <c r="I104" s="21">
        <f>MIN(E104,H104)</f>
        <v/>
      </c>
      <c r="J104" s="21">
        <f>H104-I104</f>
        <v/>
      </c>
      <c r="K104" s="21">
        <f>Q103</f>
        <v/>
      </c>
      <c r="L104" s="21">
        <f>K104*Assumptions!$B$66/12</f>
        <v/>
      </c>
      <c r="M104" s="21">
        <f>K104+L104+D104</f>
        <v/>
      </c>
      <c r="N104" s="21">
        <f>MIN(MAX(0,E104-I104),MAX(0,M104-I104)/(1-Assumptions!$B$64))</f>
        <v/>
      </c>
      <c r="O104" s="21">
        <f>N104*(1-Assumptions!$B$64)</f>
        <v/>
      </c>
      <c r="P104" s="21">
        <f>N104*Assumptions!$B$64</f>
        <v/>
      </c>
      <c r="Q104" s="21">
        <f>MAX(0,M104-I104-O104)</f>
        <v/>
      </c>
      <c r="R104" s="21">
        <f>MAX(0,E104-I104-N104)</f>
        <v/>
      </c>
      <c r="S104" s="21">
        <f>R104*(1-Assumptions!$B$65)</f>
        <v/>
      </c>
      <c r="T104" s="21">
        <f>R104*Assumptions!$B$65</f>
        <v/>
      </c>
      <c r="U104" s="21">
        <f>I104+O104+S104</f>
        <v/>
      </c>
      <c r="V104" s="21">
        <f>P104+T104</f>
        <v/>
      </c>
      <c r="W104" s="21">
        <f>(1-Assumptions!$B$62)*(U104-D104)</f>
        <v/>
      </c>
      <c r="X104" s="21">
        <f>Assumptions!$B$62*(U104-D104)+V104</f>
        <v/>
      </c>
    </row>
    <row r="105">
      <c r="A105" s="42">
        <f>CashFlow!A105</f>
        <v/>
      </c>
      <c r="B105" s="43">
        <f>CashFlow!B105</f>
        <v/>
      </c>
      <c r="C105" s="31">
        <f>CashFlow!AC105</f>
        <v/>
      </c>
      <c r="D105" s="21">
        <f>MAX(0,-C105)</f>
        <v/>
      </c>
      <c r="E105" s="21">
        <f>MAX(0,C105)</f>
        <v/>
      </c>
      <c r="F105" s="21">
        <f>J104</f>
        <v/>
      </c>
      <c r="G105" s="21">
        <f>F105*Assumptions!$B$63/12</f>
        <v/>
      </c>
      <c r="H105" s="21">
        <f>F105+G105+D105</f>
        <v/>
      </c>
      <c r="I105" s="21">
        <f>MIN(E105,H105)</f>
        <v/>
      </c>
      <c r="J105" s="21">
        <f>H105-I105</f>
        <v/>
      </c>
      <c r="K105" s="21">
        <f>Q104</f>
        <v/>
      </c>
      <c r="L105" s="21">
        <f>K105*Assumptions!$B$66/12</f>
        <v/>
      </c>
      <c r="M105" s="21">
        <f>K105+L105+D105</f>
        <v/>
      </c>
      <c r="N105" s="21">
        <f>MIN(MAX(0,E105-I105),MAX(0,M105-I105)/(1-Assumptions!$B$64))</f>
        <v/>
      </c>
      <c r="O105" s="21">
        <f>N105*(1-Assumptions!$B$64)</f>
        <v/>
      </c>
      <c r="P105" s="21">
        <f>N105*Assumptions!$B$64</f>
        <v/>
      </c>
      <c r="Q105" s="21">
        <f>MAX(0,M105-I105-O105)</f>
        <v/>
      </c>
      <c r="R105" s="21">
        <f>MAX(0,E105-I105-N105)</f>
        <v/>
      </c>
      <c r="S105" s="21">
        <f>R105*(1-Assumptions!$B$65)</f>
        <v/>
      </c>
      <c r="T105" s="21">
        <f>R105*Assumptions!$B$65</f>
        <v/>
      </c>
      <c r="U105" s="21">
        <f>I105+O105+S105</f>
        <v/>
      </c>
      <c r="V105" s="21">
        <f>P105+T105</f>
        <v/>
      </c>
      <c r="W105" s="21">
        <f>(1-Assumptions!$B$62)*(U105-D105)</f>
        <v/>
      </c>
      <c r="X105" s="21">
        <f>Assumptions!$B$62*(U105-D105)+V105</f>
        <v/>
      </c>
    </row>
    <row r="106">
      <c r="A106" s="42">
        <f>CashFlow!A106</f>
        <v/>
      </c>
      <c r="B106" s="43">
        <f>CashFlow!B106</f>
        <v/>
      </c>
      <c r="C106" s="31">
        <f>CashFlow!AC106</f>
        <v/>
      </c>
      <c r="D106" s="21">
        <f>MAX(0,-C106)</f>
        <v/>
      </c>
      <c r="E106" s="21">
        <f>MAX(0,C106)</f>
        <v/>
      </c>
      <c r="F106" s="21">
        <f>J105</f>
        <v/>
      </c>
      <c r="G106" s="21">
        <f>F106*Assumptions!$B$63/12</f>
        <v/>
      </c>
      <c r="H106" s="21">
        <f>F106+G106+D106</f>
        <v/>
      </c>
      <c r="I106" s="21">
        <f>MIN(E106,H106)</f>
        <v/>
      </c>
      <c r="J106" s="21">
        <f>H106-I106</f>
        <v/>
      </c>
      <c r="K106" s="21">
        <f>Q105</f>
        <v/>
      </c>
      <c r="L106" s="21">
        <f>K106*Assumptions!$B$66/12</f>
        <v/>
      </c>
      <c r="M106" s="21">
        <f>K106+L106+D106</f>
        <v/>
      </c>
      <c r="N106" s="21">
        <f>MIN(MAX(0,E106-I106),MAX(0,M106-I106)/(1-Assumptions!$B$64))</f>
        <v/>
      </c>
      <c r="O106" s="21">
        <f>N106*(1-Assumptions!$B$64)</f>
        <v/>
      </c>
      <c r="P106" s="21">
        <f>N106*Assumptions!$B$64</f>
        <v/>
      </c>
      <c r="Q106" s="21">
        <f>MAX(0,M106-I106-O106)</f>
        <v/>
      </c>
      <c r="R106" s="21">
        <f>MAX(0,E106-I106-N106)</f>
        <v/>
      </c>
      <c r="S106" s="21">
        <f>R106*(1-Assumptions!$B$65)</f>
        <v/>
      </c>
      <c r="T106" s="21">
        <f>R106*Assumptions!$B$65</f>
        <v/>
      </c>
      <c r="U106" s="21">
        <f>I106+O106+S106</f>
        <v/>
      </c>
      <c r="V106" s="21">
        <f>P106+T106</f>
        <v/>
      </c>
      <c r="W106" s="21">
        <f>(1-Assumptions!$B$62)*(U106-D106)</f>
        <v/>
      </c>
      <c r="X106" s="21">
        <f>Assumptions!$B$62*(U106-D106)+V106</f>
        <v/>
      </c>
    </row>
    <row r="107">
      <c r="A107" s="42">
        <f>CashFlow!A107</f>
        <v/>
      </c>
      <c r="B107" s="43">
        <f>CashFlow!B107</f>
        <v/>
      </c>
      <c r="C107" s="31">
        <f>CashFlow!AC107</f>
        <v/>
      </c>
      <c r="D107" s="21">
        <f>MAX(0,-C107)</f>
        <v/>
      </c>
      <c r="E107" s="21">
        <f>MAX(0,C107)</f>
        <v/>
      </c>
      <c r="F107" s="21">
        <f>J106</f>
        <v/>
      </c>
      <c r="G107" s="21">
        <f>F107*Assumptions!$B$63/12</f>
        <v/>
      </c>
      <c r="H107" s="21">
        <f>F107+G107+D107</f>
        <v/>
      </c>
      <c r="I107" s="21">
        <f>MIN(E107,H107)</f>
        <v/>
      </c>
      <c r="J107" s="21">
        <f>H107-I107</f>
        <v/>
      </c>
      <c r="K107" s="21">
        <f>Q106</f>
        <v/>
      </c>
      <c r="L107" s="21">
        <f>K107*Assumptions!$B$66/12</f>
        <v/>
      </c>
      <c r="M107" s="21">
        <f>K107+L107+D107</f>
        <v/>
      </c>
      <c r="N107" s="21">
        <f>MIN(MAX(0,E107-I107),MAX(0,M107-I107)/(1-Assumptions!$B$64))</f>
        <v/>
      </c>
      <c r="O107" s="21">
        <f>N107*(1-Assumptions!$B$64)</f>
        <v/>
      </c>
      <c r="P107" s="21">
        <f>N107*Assumptions!$B$64</f>
        <v/>
      </c>
      <c r="Q107" s="21">
        <f>MAX(0,M107-I107-O107)</f>
        <v/>
      </c>
      <c r="R107" s="21">
        <f>MAX(0,E107-I107-N107)</f>
        <v/>
      </c>
      <c r="S107" s="21">
        <f>R107*(1-Assumptions!$B$65)</f>
        <v/>
      </c>
      <c r="T107" s="21">
        <f>R107*Assumptions!$B$65</f>
        <v/>
      </c>
      <c r="U107" s="21">
        <f>I107+O107+S107</f>
        <v/>
      </c>
      <c r="V107" s="21">
        <f>P107+T107</f>
        <v/>
      </c>
      <c r="W107" s="21">
        <f>(1-Assumptions!$B$62)*(U107-D107)</f>
        <v/>
      </c>
      <c r="X107" s="21">
        <f>Assumptions!$B$62*(U107-D107)+V107</f>
        <v/>
      </c>
    </row>
    <row r="108">
      <c r="A108" s="42">
        <f>CashFlow!A108</f>
        <v/>
      </c>
      <c r="B108" s="43">
        <f>CashFlow!B108</f>
        <v/>
      </c>
      <c r="C108" s="31">
        <f>CashFlow!AC108</f>
        <v/>
      </c>
      <c r="D108" s="21">
        <f>MAX(0,-C108)</f>
        <v/>
      </c>
      <c r="E108" s="21">
        <f>MAX(0,C108)</f>
        <v/>
      </c>
      <c r="F108" s="21">
        <f>J107</f>
        <v/>
      </c>
      <c r="G108" s="21">
        <f>F108*Assumptions!$B$63/12</f>
        <v/>
      </c>
      <c r="H108" s="21">
        <f>F108+G108+D108</f>
        <v/>
      </c>
      <c r="I108" s="21">
        <f>MIN(E108,H108)</f>
        <v/>
      </c>
      <c r="J108" s="21">
        <f>H108-I108</f>
        <v/>
      </c>
      <c r="K108" s="21">
        <f>Q107</f>
        <v/>
      </c>
      <c r="L108" s="21">
        <f>K108*Assumptions!$B$66/12</f>
        <v/>
      </c>
      <c r="M108" s="21">
        <f>K108+L108+D108</f>
        <v/>
      </c>
      <c r="N108" s="21">
        <f>MIN(MAX(0,E108-I108),MAX(0,M108-I108)/(1-Assumptions!$B$64))</f>
        <v/>
      </c>
      <c r="O108" s="21">
        <f>N108*(1-Assumptions!$B$64)</f>
        <v/>
      </c>
      <c r="P108" s="21">
        <f>N108*Assumptions!$B$64</f>
        <v/>
      </c>
      <c r="Q108" s="21">
        <f>MAX(0,M108-I108-O108)</f>
        <v/>
      </c>
      <c r="R108" s="21">
        <f>MAX(0,E108-I108-N108)</f>
        <v/>
      </c>
      <c r="S108" s="21">
        <f>R108*(1-Assumptions!$B$65)</f>
        <v/>
      </c>
      <c r="T108" s="21">
        <f>R108*Assumptions!$B$65</f>
        <v/>
      </c>
      <c r="U108" s="21">
        <f>I108+O108+S108</f>
        <v/>
      </c>
      <c r="V108" s="21">
        <f>P108+T108</f>
        <v/>
      </c>
      <c r="W108" s="21">
        <f>(1-Assumptions!$B$62)*(U108-D108)</f>
        <v/>
      </c>
      <c r="X108" s="21">
        <f>Assumptions!$B$62*(U108-D108)+V108</f>
        <v/>
      </c>
    </row>
    <row r="109">
      <c r="A109" s="42">
        <f>CashFlow!A109</f>
        <v/>
      </c>
      <c r="B109" s="43">
        <f>CashFlow!B109</f>
        <v/>
      </c>
      <c r="C109" s="31">
        <f>CashFlow!AC109</f>
        <v/>
      </c>
      <c r="D109" s="21">
        <f>MAX(0,-C109)</f>
        <v/>
      </c>
      <c r="E109" s="21">
        <f>MAX(0,C109)</f>
        <v/>
      </c>
      <c r="F109" s="21">
        <f>J108</f>
        <v/>
      </c>
      <c r="G109" s="21">
        <f>F109*Assumptions!$B$63/12</f>
        <v/>
      </c>
      <c r="H109" s="21">
        <f>F109+G109+D109</f>
        <v/>
      </c>
      <c r="I109" s="21">
        <f>MIN(E109,H109)</f>
        <v/>
      </c>
      <c r="J109" s="21">
        <f>H109-I109</f>
        <v/>
      </c>
      <c r="K109" s="21">
        <f>Q108</f>
        <v/>
      </c>
      <c r="L109" s="21">
        <f>K109*Assumptions!$B$66/12</f>
        <v/>
      </c>
      <c r="M109" s="21">
        <f>K109+L109+D109</f>
        <v/>
      </c>
      <c r="N109" s="21">
        <f>MIN(MAX(0,E109-I109),MAX(0,M109-I109)/(1-Assumptions!$B$64))</f>
        <v/>
      </c>
      <c r="O109" s="21">
        <f>N109*(1-Assumptions!$B$64)</f>
        <v/>
      </c>
      <c r="P109" s="21">
        <f>N109*Assumptions!$B$64</f>
        <v/>
      </c>
      <c r="Q109" s="21">
        <f>MAX(0,M109-I109-O109)</f>
        <v/>
      </c>
      <c r="R109" s="21">
        <f>MAX(0,E109-I109-N109)</f>
        <v/>
      </c>
      <c r="S109" s="21">
        <f>R109*(1-Assumptions!$B$65)</f>
        <v/>
      </c>
      <c r="T109" s="21">
        <f>R109*Assumptions!$B$65</f>
        <v/>
      </c>
      <c r="U109" s="21">
        <f>I109+O109+S109</f>
        <v/>
      </c>
      <c r="V109" s="21">
        <f>P109+T109</f>
        <v/>
      </c>
      <c r="W109" s="21">
        <f>(1-Assumptions!$B$62)*(U109-D109)</f>
        <v/>
      </c>
      <c r="X109" s="21">
        <f>Assumptions!$B$62*(U109-D109)+V109</f>
        <v/>
      </c>
    </row>
    <row r="110">
      <c r="A110" s="42">
        <f>CashFlow!A110</f>
        <v/>
      </c>
      <c r="B110" s="43">
        <f>CashFlow!B110</f>
        <v/>
      </c>
      <c r="C110" s="31">
        <f>CashFlow!AC110</f>
        <v/>
      </c>
      <c r="D110" s="21">
        <f>MAX(0,-C110)</f>
        <v/>
      </c>
      <c r="E110" s="21">
        <f>MAX(0,C110)</f>
        <v/>
      </c>
      <c r="F110" s="21">
        <f>J109</f>
        <v/>
      </c>
      <c r="G110" s="21">
        <f>F110*Assumptions!$B$63/12</f>
        <v/>
      </c>
      <c r="H110" s="21">
        <f>F110+G110+D110</f>
        <v/>
      </c>
      <c r="I110" s="21">
        <f>MIN(E110,H110)</f>
        <v/>
      </c>
      <c r="J110" s="21">
        <f>H110-I110</f>
        <v/>
      </c>
      <c r="K110" s="21">
        <f>Q109</f>
        <v/>
      </c>
      <c r="L110" s="21">
        <f>K110*Assumptions!$B$66/12</f>
        <v/>
      </c>
      <c r="M110" s="21">
        <f>K110+L110+D110</f>
        <v/>
      </c>
      <c r="N110" s="21">
        <f>MIN(MAX(0,E110-I110),MAX(0,M110-I110)/(1-Assumptions!$B$64))</f>
        <v/>
      </c>
      <c r="O110" s="21">
        <f>N110*(1-Assumptions!$B$64)</f>
        <v/>
      </c>
      <c r="P110" s="21">
        <f>N110*Assumptions!$B$64</f>
        <v/>
      </c>
      <c r="Q110" s="21">
        <f>MAX(0,M110-I110-O110)</f>
        <v/>
      </c>
      <c r="R110" s="21">
        <f>MAX(0,E110-I110-N110)</f>
        <v/>
      </c>
      <c r="S110" s="21">
        <f>R110*(1-Assumptions!$B$65)</f>
        <v/>
      </c>
      <c r="T110" s="21">
        <f>R110*Assumptions!$B$65</f>
        <v/>
      </c>
      <c r="U110" s="21">
        <f>I110+O110+S110</f>
        <v/>
      </c>
      <c r="V110" s="21">
        <f>P110+T110</f>
        <v/>
      </c>
      <c r="W110" s="21">
        <f>(1-Assumptions!$B$62)*(U110-D110)</f>
        <v/>
      </c>
      <c r="X110" s="21">
        <f>Assumptions!$B$62*(U110-D110)+V110</f>
        <v/>
      </c>
    </row>
    <row r="111">
      <c r="A111" s="42">
        <f>CashFlow!A111</f>
        <v/>
      </c>
      <c r="B111" s="43">
        <f>CashFlow!B111</f>
        <v/>
      </c>
      <c r="C111" s="31">
        <f>CashFlow!AC111</f>
        <v/>
      </c>
      <c r="D111" s="21">
        <f>MAX(0,-C111)</f>
        <v/>
      </c>
      <c r="E111" s="21">
        <f>MAX(0,C111)</f>
        <v/>
      </c>
      <c r="F111" s="21">
        <f>J110</f>
        <v/>
      </c>
      <c r="G111" s="21">
        <f>F111*Assumptions!$B$63/12</f>
        <v/>
      </c>
      <c r="H111" s="21">
        <f>F111+G111+D111</f>
        <v/>
      </c>
      <c r="I111" s="21">
        <f>MIN(E111,H111)</f>
        <v/>
      </c>
      <c r="J111" s="21">
        <f>H111-I111</f>
        <v/>
      </c>
      <c r="K111" s="21">
        <f>Q110</f>
        <v/>
      </c>
      <c r="L111" s="21">
        <f>K111*Assumptions!$B$66/12</f>
        <v/>
      </c>
      <c r="M111" s="21">
        <f>K111+L111+D111</f>
        <v/>
      </c>
      <c r="N111" s="21">
        <f>MIN(MAX(0,E111-I111),MAX(0,M111-I111)/(1-Assumptions!$B$64))</f>
        <v/>
      </c>
      <c r="O111" s="21">
        <f>N111*(1-Assumptions!$B$64)</f>
        <v/>
      </c>
      <c r="P111" s="21">
        <f>N111*Assumptions!$B$64</f>
        <v/>
      </c>
      <c r="Q111" s="21">
        <f>MAX(0,M111-I111-O111)</f>
        <v/>
      </c>
      <c r="R111" s="21">
        <f>MAX(0,E111-I111-N111)</f>
        <v/>
      </c>
      <c r="S111" s="21">
        <f>R111*(1-Assumptions!$B$65)</f>
        <v/>
      </c>
      <c r="T111" s="21">
        <f>R111*Assumptions!$B$65</f>
        <v/>
      </c>
      <c r="U111" s="21">
        <f>I111+O111+S111</f>
        <v/>
      </c>
      <c r="V111" s="21">
        <f>P111+T111</f>
        <v/>
      </c>
      <c r="W111" s="21">
        <f>(1-Assumptions!$B$62)*(U111-D111)</f>
        <v/>
      </c>
      <c r="X111" s="21">
        <f>Assumptions!$B$62*(U111-D111)+V111</f>
        <v/>
      </c>
    </row>
    <row r="112">
      <c r="A112" s="42">
        <f>CashFlow!A112</f>
        <v/>
      </c>
      <c r="B112" s="43">
        <f>CashFlow!B112</f>
        <v/>
      </c>
      <c r="C112" s="31">
        <f>CashFlow!AC112</f>
        <v/>
      </c>
      <c r="D112" s="21">
        <f>MAX(0,-C112)</f>
        <v/>
      </c>
      <c r="E112" s="21">
        <f>MAX(0,C112)</f>
        <v/>
      </c>
      <c r="F112" s="21">
        <f>J111</f>
        <v/>
      </c>
      <c r="G112" s="21">
        <f>F112*Assumptions!$B$63/12</f>
        <v/>
      </c>
      <c r="H112" s="21">
        <f>F112+G112+D112</f>
        <v/>
      </c>
      <c r="I112" s="21">
        <f>MIN(E112,H112)</f>
        <v/>
      </c>
      <c r="J112" s="21">
        <f>H112-I112</f>
        <v/>
      </c>
      <c r="K112" s="21">
        <f>Q111</f>
        <v/>
      </c>
      <c r="L112" s="21">
        <f>K112*Assumptions!$B$66/12</f>
        <v/>
      </c>
      <c r="M112" s="21">
        <f>K112+L112+D112</f>
        <v/>
      </c>
      <c r="N112" s="21">
        <f>MIN(MAX(0,E112-I112),MAX(0,M112-I112)/(1-Assumptions!$B$64))</f>
        <v/>
      </c>
      <c r="O112" s="21">
        <f>N112*(1-Assumptions!$B$64)</f>
        <v/>
      </c>
      <c r="P112" s="21">
        <f>N112*Assumptions!$B$64</f>
        <v/>
      </c>
      <c r="Q112" s="21">
        <f>MAX(0,M112-I112-O112)</f>
        <v/>
      </c>
      <c r="R112" s="21">
        <f>MAX(0,E112-I112-N112)</f>
        <v/>
      </c>
      <c r="S112" s="21">
        <f>R112*(1-Assumptions!$B$65)</f>
        <v/>
      </c>
      <c r="T112" s="21">
        <f>R112*Assumptions!$B$65</f>
        <v/>
      </c>
      <c r="U112" s="21">
        <f>I112+O112+S112</f>
        <v/>
      </c>
      <c r="V112" s="21">
        <f>P112+T112</f>
        <v/>
      </c>
      <c r="W112" s="21">
        <f>(1-Assumptions!$B$62)*(U112-D112)</f>
        <v/>
      </c>
      <c r="X112" s="21">
        <f>Assumptions!$B$62*(U112-D112)+V112</f>
        <v/>
      </c>
    </row>
    <row r="113">
      <c r="A113" s="42">
        <f>CashFlow!A113</f>
        <v/>
      </c>
      <c r="B113" s="43">
        <f>CashFlow!B113</f>
        <v/>
      </c>
      <c r="C113" s="31">
        <f>CashFlow!AC113</f>
        <v/>
      </c>
      <c r="D113" s="21">
        <f>MAX(0,-C113)</f>
        <v/>
      </c>
      <c r="E113" s="21">
        <f>MAX(0,C113)</f>
        <v/>
      </c>
      <c r="F113" s="21">
        <f>J112</f>
        <v/>
      </c>
      <c r="G113" s="21">
        <f>F113*Assumptions!$B$63/12</f>
        <v/>
      </c>
      <c r="H113" s="21">
        <f>F113+G113+D113</f>
        <v/>
      </c>
      <c r="I113" s="21">
        <f>MIN(E113,H113)</f>
        <v/>
      </c>
      <c r="J113" s="21">
        <f>H113-I113</f>
        <v/>
      </c>
      <c r="K113" s="21">
        <f>Q112</f>
        <v/>
      </c>
      <c r="L113" s="21">
        <f>K113*Assumptions!$B$66/12</f>
        <v/>
      </c>
      <c r="M113" s="21">
        <f>K113+L113+D113</f>
        <v/>
      </c>
      <c r="N113" s="21">
        <f>MIN(MAX(0,E113-I113),MAX(0,M113-I113)/(1-Assumptions!$B$64))</f>
        <v/>
      </c>
      <c r="O113" s="21">
        <f>N113*(1-Assumptions!$B$64)</f>
        <v/>
      </c>
      <c r="P113" s="21">
        <f>N113*Assumptions!$B$64</f>
        <v/>
      </c>
      <c r="Q113" s="21">
        <f>MAX(0,M113-I113-O113)</f>
        <v/>
      </c>
      <c r="R113" s="21">
        <f>MAX(0,E113-I113-N113)</f>
        <v/>
      </c>
      <c r="S113" s="21">
        <f>R113*(1-Assumptions!$B$65)</f>
        <v/>
      </c>
      <c r="T113" s="21">
        <f>R113*Assumptions!$B$65</f>
        <v/>
      </c>
      <c r="U113" s="21">
        <f>I113+O113+S113</f>
        <v/>
      </c>
      <c r="V113" s="21">
        <f>P113+T113</f>
        <v/>
      </c>
      <c r="W113" s="21">
        <f>(1-Assumptions!$B$62)*(U113-D113)</f>
        <v/>
      </c>
      <c r="X113" s="21">
        <f>Assumptions!$B$62*(U113-D113)+V113</f>
        <v/>
      </c>
    </row>
    <row r="114">
      <c r="A114" s="42">
        <f>CashFlow!A114</f>
        <v/>
      </c>
      <c r="B114" s="43">
        <f>CashFlow!B114</f>
        <v/>
      </c>
      <c r="C114" s="31">
        <f>CashFlow!AC114</f>
        <v/>
      </c>
      <c r="D114" s="21">
        <f>MAX(0,-C114)</f>
        <v/>
      </c>
      <c r="E114" s="21">
        <f>MAX(0,C114)</f>
        <v/>
      </c>
      <c r="F114" s="21">
        <f>J113</f>
        <v/>
      </c>
      <c r="G114" s="21">
        <f>F114*Assumptions!$B$63/12</f>
        <v/>
      </c>
      <c r="H114" s="21">
        <f>F114+G114+D114</f>
        <v/>
      </c>
      <c r="I114" s="21">
        <f>MIN(E114,H114)</f>
        <v/>
      </c>
      <c r="J114" s="21">
        <f>H114-I114</f>
        <v/>
      </c>
      <c r="K114" s="21">
        <f>Q113</f>
        <v/>
      </c>
      <c r="L114" s="21">
        <f>K114*Assumptions!$B$66/12</f>
        <v/>
      </c>
      <c r="M114" s="21">
        <f>K114+L114+D114</f>
        <v/>
      </c>
      <c r="N114" s="21">
        <f>MIN(MAX(0,E114-I114),MAX(0,M114-I114)/(1-Assumptions!$B$64))</f>
        <v/>
      </c>
      <c r="O114" s="21">
        <f>N114*(1-Assumptions!$B$64)</f>
        <v/>
      </c>
      <c r="P114" s="21">
        <f>N114*Assumptions!$B$64</f>
        <v/>
      </c>
      <c r="Q114" s="21">
        <f>MAX(0,M114-I114-O114)</f>
        <v/>
      </c>
      <c r="R114" s="21">
        <f>MAX(0,E114-I114-N114)</f>
        <v/>
      </c>
      <c r="S114" s="21">
        <f>R114*(1-Assumptions!$B$65)</f>
        <v/>
      </c>
      <c r="T114" s="21">
        <f>R114*Assumptions!$B$65</f>
        <v/>
      </c>
      <c r="U114" s="21">
        <f>I114+O114+S114</f>
        <v/>
      </c>
      <c r="V114" s="21">
        <f>P114+T114</f>
        <v/>
      </c>
      <c r="W114" s="21">
        <f>(1-Assumptions!$B$62)*(U114-D114)</f>
        <v/>
      </c>
      <c r="X114" s="21">
        <f>Assumptions!$B$62*(U114-D114)+V114</f>
        <v/>
      </c>
    </row>
    <row r="115">
      <c r="A115" s="42">
        <f>CashFlow!A115</f>
        <v/>
      </c>
      <c r="B115" s="43">
        <f>CashFlow!B115</f>
        <v/>
      </c>
      <c r="C115" s="31">
        <f>CashFlow!AC115</f>
        <v/>
      </c>
      <c r="D115" s="21">
        <f>MAX(0,-C115)</f>
        <v/>
      </c>
      <c r="E115" s="21">
        <f>MAX(0,C115)</f>
        <v/>
      </c>
      <c r="F115" s="21">
        <f>J114</f>
        <v/>
      </c>
      <c r="G115" s="21">
        <f>F115*Assumptions!$B$63/12</f>
        <v/>
      </c>
      <c r="H115" s="21">
        <f>F115+G115+D115</f>
        <v/>
      </c>
      <c r="I115" s="21">
        <f>MIN(E115,H115)</f>
        <v/>
      </c>
      <c r="J115" s="21">
        <f>H115-I115</f>
        <v/>
      </c>
      <c r="K115" s="21">
        <f>Q114</f>
        <v/>
      </c>
      <c r="L115" s="21">
        <f>K115*Assumptions!$B$66/12</f>
        <v/>
      </c>
      <c r="M115" s="21">
        <f>K115+L115+D115</f>
        <v/>
      </c>
      <c r="N115" s="21">
        <f>MIN(MAX(0,E115-I115),MAX(0,M115-I115)/(1-Assumptions!$B$64))</f>
        <v/>
      </c>
      <c r="O115" s="21">
        <f>N115*(1-Assumptions!$B$64)</f>
        <v/>
      </c>
      <c r="P115" s="21">
        <f>N115*Assumptions!$B$64</f>
        <v/>
      </c>
      <c r="Q115" s="21">
        <f>MAX(0,M115-I115-O115)</f>
        <v/>
      </c>
      <c r="R115" s="21">
        <f>MAX(0,E115-I115-N115)</f>
        <v/>
      </c>
      <c r="S115" s="21">
        <f>R115*(1-Assumptions!$B$65)</f>
        <v/>
      </c>
      <c r="T115" s="21">
        <f>R115*Assumptions!$B$65</f>
        <v/>
      </c>
      <c r="U115" s="21">
        <f>I115+O115+S115</f>
        <v/>
      </c>
      <c r="V115" s="21">
        <f>P115+T115</f>
        <v/>
      </c>
      <c r="W115" s="21">
        <f>(1-Assumptions!$B$62)*(U115-D115)</f>
        <v/>
      </c>
      <c r="X115" s="21">
        <f>Assumptions!$B$62*(U115-D115)+V115</f>
        <v/>
      </c>
    </row>
    <row r="116">
      <c r="A116" s="42">
        <f>CashFlow!A116</f>
        <v/>
      </c>
      <c r="B116" s="43">
        <f>CashFlow!B116</f>
        <v/>
      </c>
      <c r="C116" s="31">
        <f>CashFlow!AC116</f>
        <v/>
      </c>
      <c r="D116" s="21">
        <f>MAX(0,-C116)</f>
        <v/>
      </c>
      <c r="E116" s="21">
        <f>MAX(0,C116)</f>
        <v/>
      </c>
      <c r="F116" s="21">
        <f>J115</f>
        <v/>
      </c>
      <c r="G116" s="21">
        <f>F116*Assumptions!$B$63/12</f>
        <v/>
      </c>
      <c r="H116" s="21">
        <f>F116+G116+D116</f>
        <v/>
      </c>
      <c r="I116" s="21">
        <f>MIN(E116,H116)</f>
        <v/>
      </c>
      <c r="J116" s="21">
        <f>H116-I116</f>
        <v/>
      </c>
      <c r="K116" s="21">
        <f>Q115</f>
        <v/>
      </c>
      <c r="L116" s="21">
        <f>K116*Assumptions!$B$66/12</f>
        <v/>
      </c>
      <c r="M116" s="21">
        <f>K116+L116+D116</f>
        <v/>
      </c>
      <c r="N116" s="21">
        <f>MIN(MAX(0,E116-I116),MAX(0,M116-I116)/(1-Assumptions!$B$64))</f>
        <v/>
      </c>
      <c r="O116" s="21">
        <f>N116*(1-Assumptions!$B$64)</f>
        <v/>
      </c>
      <c r="P116" s="21">
        <f>N116*Assumptions!$B$64</f>
        <v/>
      </c>
      <c r="Q116" s="21">
        <f>MAX(0,M116-I116-O116)</f>
        <v/>
      </c>
      <c r="R116" s="21">
        <f>MAX(0,E116-I116-N116)</f>
        <v/>
      </c>
      <c r="S116" s="21">
        <f>R116*(1-Assumptions!$B$65)</f>
        <v/>
      </c>
      <c r="T116" s="21">
        <f>R116*Assumptions!$B$65</f>
        <v/>
      </c>
      <c r="U116" s="21">
        <f>I116+O116+S116</f>
        <v/>
      </c>
      <c r="V116" s="21">
        <f>P116+T116</f>
        <v/>
      </c>
      <c r="W116" s="21">
        <f>(1-Assumptions!$B$62)*(U116-D116)</f>
        <v/>
      </c>
      <c r="X116" s="21">
        <f>Assumptions!$B$62*(U116-D116)+V116</f>
        <v/>
      </c>
    </row>
    <row r="117">
      <c r="A117" s="42">
        <f>CashFlow!A117</f>
        <v/>
      </c>
      <c r="B117" s="43">
        <f>CashFlow!B117</f>
        <v/>
      </c>
      <c r="C117" s="31">
        <f>CashFlow!AC117</f>
        <v/>
      </c>
      <c r="D117" s="21">
        <f>MAX(0,-C117)</f>
        <v/>
      </c>
      <c r="E117" s="21">
        <f>MAX(0,C117)</f>
        <v/>
      </c>
      <c r="F117" s="21">
        <f>J116</f>
        <v/>
      </c>
      <c r="G117" s="21">
        <f>F117*Assumptions!$B$63/12</f>
        <v/>
      </c>
      <c r="H117" s="21">
        <f>F117+G117+D117</f>
        <v/>
      </c>
      <c r="I117" s="21">
        <f>MIN(E117,H117)</f>
        <v/>
      </c>
      <c r="J117" s="21">
        <f>H117-I117</f>
        <v/>
      </c>
      <c r="K117" s="21">
        <f>Q116</f>
        <v/>
      </c>
      <c r="L117" s="21">
        <f>K117*Assumptions!$B$66/12</f>
        <v/>
      </c>
      <c r="M117" s="21">
        <f>K117+L117+D117</f>
        <v/>
      </c>
      <c r="N117" s="21">
        <f>MIN(MAX(0,E117-I117),MAX(0,M117-I117)/(1-Assumptions!$B$64))</f>
        <v/>
      </c>
      <c r="O117" s="21">
        <f>N117*(1-Assumptions!$B$64)</f>
        <v/>
      </c>
      <c r="P117" s="21">
        <f>N117*Assumptions!$B$64</f>
        <v/>
      </c>
      <c r="Q117" s="21">
        <f>MAX(0,M117-I117-O117)</f>
        <v/>
      </c>
      <c r="R117" s="21">
        <f>MAX(0,E117-I117-N117)</f>
        <v/>
      </c>
      <c r="S117" s="21">
        <f>R117*(1-Assumptions!$B$65)</f>
        <v/>
      </c>
      <c r="T117" s="21">
        <f>R117*Assumptions!$B$65</f>
        <v/>
      </c>
      <c r="U117" s="21">
        <f>I117+O117+S117</f>
        <v/>
      </c>
      <c r="V117" s="21">
        <f>P117+T117</f>
        <v/>
      </c>
      <c r="W117" s="21">
        <f>(1-Assumptions!$B$62)*(U117-D117)</f>
        <v/>
      </c>
      <c r="X117" s="21">
        <f>Assumptions!$B$62*(U117-D117)+V117</f>
        <v/>
      </c>
    </row>
    <row r="118">
      <c r="A118" s="42">
        <f>CashFlow!A118</f>
        <v/>
      </c>
      <c r="B118" s="43">
        <f>CashFlow!B118</f>
        <v/>
      </c>
      <c r="C118" s="31">
        <f>CashFlow!AC118</f>
        <v/>
      </c>
      <c r="D118" s="21">
        <f>MAX(0,-C118)</f>
        <v/>
      </c>
      <c r="E118" s="21">
        <f>MAX(0,C118)</f>
        <v/>
      </c>
      <c r="F118" s="21">
        <f>J117</f>
        <v/>
      </c>
      <c r="G118" s="21">
        <f>F118*Assumptions!$B$63/12</f>
        <v/>
      </c>
      <c r="H118" s="21">
        <f>F118+G118+D118</f>
        <v/>
      </c>
      <c r="I118" s="21">
        <f>MIN(E118,H118)</f>
        <v/>
      </c>
      <c r="J118" s="21">
        <f>H118-I118</f>
        <v/>
      </c>
      <c r="K118" s="21">
        <f>Q117</f>
        <v/>
      </c>
      <c r="L118" s="21">
        <f>K118*Assumptions!$B$66/12</f>
        <v/>
      </c>
      <c r="M118" s="21">
        <f>K118+L118+D118</f>
        <v/>
      </c>
      <c r="N118" s="21">
        <f>MIN(MAX(0,E118-I118),MAX(0,M118-I118)/(1-Assumptions!$B$64))</f>
        <v/>
      </c>
      <c r="O118" s="21">
        <f>N118*(1-Assumptions!$B$64)</f>
        <v/>
      </c>
      <c r="P118" s="21">
        <f>N118*Assumptions!$B$64</f>
        <v/>
      </c>
      <c r="Q118" s="21">
        <f>MAX(0,M118-I118-O118)</f>
        <v/>
      </c>
      <c r="R118" s="21">
        <f>MAX(0,E118-I118-N118)</f>
        <v/>
      </c>
      <c r="S118" s="21">
        <f>R118*(1-Assumptions!$B$65)</f>
        <v/>
      </c>
      <c r="T118" s="21">
        <f>R118*Assumptions!$B$65</f>
        <v/>
      </c>
      <c r="U118" s="21">
        <f>I118+O118+S118</f>
        <v/>
      </c>
      <c r="V118" s="21">
        <f>P118+T118</f>
        <v/>
      </c>
      <c r="W118" s="21">
        <f>(1-Assumptions!$B$62)*(U118-D118)</f>
        <v/>
      </c>
      <c r="X118" s="21">
        <f>Assumptions!$B$62*(U118-D118)+V118</f>
        <v/>
      </c>
    </row>
    <row r="119">
      <c r="A119" s="42">
        <f>CashFlow!A119</f>
        <v/>
      </c>
      <c r="B119" s="43">
        <f>CashFlow!B119</f>
        <v/>
      </c>
      <c r="C119" s="31">
        <f>CashFlow!AC119</f>
        <v/>
      </c>
      <c r="D119" s="21">
        <f>MAX(0,-C119)</f>
        <v/>
      </c>
      <c r="E119" s="21">
        <f>MAX(0,C119)</f>
        <v/>
      </c>
      <c r="F119" s="21">
        <f>J118</f>
        <v/>
      </c>
      <c r="G119" s="21">
        <f>F119*Assumptions!$B$63/12</f>
        <v/>
      </c>
      <c r="H119" s="21">
        <f>F119+G119+D119</f>
        <v/>
      </c>
      <c r="I119" s="21">
        <f>MIN(E119,H119)</f>
        <v/>
      </c>
      <c r="J119" s="21">
        <f>H119-I119</f>
        <v/>
      </c>
      <c r="K119" s="21">
        <f>Q118</f>
        <v/>
      </c>
      <c r="L119" s="21">
        <f>K119*Assumptions!$B$66/12</f>
        <v/>
      </c>
      <c r="M119" s="21">
        <f>K119+L119+D119</f>
        <v/>
      </c>
      <c r="N119" s="21">
        <f>MIN(MAX(0,E119-I119),MAX(0,M119-I119)/(1-Assumptions!$B$64))</f>
        <v/>
      </c>
      <c r="O119" s="21">
        <f>N119*(1-Assumptions!$B$64)</f>
        <v/>
      </c>
      <c r="P119" s="21">
        <f>N119*Assumptions!$B$64</f>
        <v/>
      </c>
      <c r="Q119" s="21">
        <f>MAX(0,M119-I119-O119)</f>
        <v/>
      </c>
      <c r="R119" s="21">
        <f>MAX(0,E119-I119-N119)</f>
        <v/>
      </c>
      <c r="S119" s="21">
        <f>R119*(1-Assumptions!$B$65)</f>
        <v/>
      </c>
      <c r="T119" s="21">
        <f>R119*Assumptions!$B$65</f>
        <v/>
      </c>
      <c r="U119" s="21">
        <f>I119+O119+S119</f>
        <v/>
      </c>
      <c r="V119" s="21">
        <f>P119+T119</f>
        <v/>
      </c>
      <c r="W119" s="21">
        <f>(1-Assumptions!$B$62)*(U119-D119)</f>
        <v/>
      </c>
      <c r="X119" s="21">
        <f>Assumptions!$B$62*(U119-D119)+V119</f>
        <v/>
      </c>
    </row>
    <row r="120">
      <c r="A120" s="42">
        <f>CashFlow!A120</f>
        <v/>
      </c>
      <c r="B120" s="43">
        <f>CashFlow!B120</f>
        <v/>
      </c>
      <c r="C120" s="31">
        <f>CashFlow!AC120</f>
        <v/>
      </c>
      <c r="D120" s="21">
        <f>MAX(0,-C120)</f>
        <v/>
      </c>
      <c r="E120" s="21">
        <f>MAX(0,C120)</f>
        <v/>
      </c>
      <c r="F120" s="21">
        <f>J119</f>
        <v/>
      </c>
      <c r="G120" s="21">
        <f>F120*Assumptions!$B$63/12</f>
        <v/>
      </c>
      <c r="H120" s="21">
        <f>F120+G120+D120</f>
        <v/>
      </c>
      <c r="I120" s="21">
        <f>MIN(E120,H120)</f>
        <v/>
      </c>
      <c r="J120" s="21">
        <f>H120-I120</f>
        <v/>
      </c>
      <c r="K120" s="21">
        <f>Q119</f>
        <v/>
      </c>
      <c r="L120" s="21">
        <f>K120*Assumptions!$B$66/12</f>
        <v/>
      </c>
      <c r="M120" s="21">
        <f>K120+L120+D120</f>
        <v/>
      </c>
      <c r="N120" s="21">
        <f>MIN(MAX(0,E120-I120),MAX(0,M120-I120)/(1-Assumptions!$B$64))</f>
        <v/>
      </c>
      <c r="O120" s="21">
        <f>N120*(1-Assumptions!$B$64)</f>
        <v/>
      </c>
      <c r="P120" s="21">
        <f>N120*Assumptions!$B$64</f>
        <v/>
      </c>
      <c r="Q120" s="21">
        <f>MAX(0,M120-I120-O120)</f>
        <v/>
      </c>
      <c r="R120" s="21">
        <f>MAX(0,E120-I120-N120)</f>
        <v/>
      </c>
      <c r="S120" s="21">
        <f>R120*(1-Assumptions!$B$65)</f>
        <v/>
      </c>
      <c r="T120" s="21">
        <f>R120*Assumptions!$B$65</f>
        <v/>
      </c>
      <c r="U120" s="21">
        <f>I120+O120+S120</f>
        <v/>
      </c>
      <c r="V120" s="21">
        <f>P120+T120</f>
        <v/>
      </c>
      <c r="W120" s="21">
        <f>(1-Assumptions!$B$62)*(U120-D120)</f>
        <v/>
      </c>
      <c r="X120" s="21">
        <f>Assumptions!$B$62*(U120-D120)+V120</f>
        <v/>
      </c>
    </row>
    <row r="121">
      <c r="A121" s="42">
        <f>CashFlow!A121</f>
        <v/>
      </c>
      <c r="B121" s="43">
        <f>CashFlow!B121</f>
        <v/>
      </c>
      <c r="C121" s="31">
        <f>CashFlow!AC121</f>
        <v/>
      </c>
      <c r="D121" s="21">
        <f>MAX(0,-C121)</f>
        <v/>
      </c>
      <c r="E121" s="21">
        <f>MAX(0,C121)</f>
        <v/>
      </c>
      <c r="F121" s="21">
        <f>J120</f>
        <v/>
      </c>
      <c r="G121" s="21">
        <f>F121*Assumptions!$B$63/12</f>
        <v/>
      </c>
      <c r="H121" s="21">
        <f>F121+G121+D121</f>
        <v/>
      </c>
      <c r="I121" s="21">
        <f>MIN(E121,H121)</f>
        <v/>
      </c>
      <c r="J121" s="21">
        <f>H121-I121</f>
        <v/>
      </c>
      <c r="K121" s="21">
        <f>Q120</f>
        <v/>
      </c>
      <c r="L121" s="21">
        <f>K121*Assumptions!$B$66/12</f>
        <v/>
      </c>
      <c r="M121" s="21">
        <f>K121+L121+D121</f>
        <v/>
      </c>
      <c r="N121" s="21">
        <f>MIN(MAX(0,E121-I121),MAX(0,M121-I121)/(1-Assumptions!$B$64))</f>
        <v/>
      </c>
      <c r="O121" s="21">
        <f>N121*(1-Assumptions!$B$64)</f>
        <v/>
      </c>
      <c r="P121" s="21">
        <f>N121*Assumptions!$B$64</f>
        <v/>
      </c>
      <c r="Q121" s="21">
        <f>MAX(0,M121-I121-O121)</f>
        <v/>
      </c>
      <c r="R121" s="21">
        <f>MAX(0,E121-I121-N121)</f>
        <v/>
      </c>
      <c r="S121" s="21">
        <f>R121*(1-Assumptions!$B$65)</f>
        <v/>
      </c>
      <c r="T121" s="21">
        <f>R121*Assumptions!$B$65</f>
        <v/>
      </c>
      <c r="U121" s="21">
        <f>I121+O121+S121</f>
        <v/>
      </c>
      <c r="V121" s="21">
        <f>P121+T121</f>
        <v/>
      </c>
      <c r="W121" s="21">
        <f>(1-Assumptions!$B$62)*(U121-D121)</f>
        <v/>
      </c>
      <c r="X121" s="21">
        <f>Assumptions!$B$62*(U121-D121)+V121</f>
        <v/>
      </c>
    </row>
    <row r="122">
      <c r="A122" s="42">
        <f>CashFlow!A122</f>
        <v/>
      </c>
      <c r="B122" s="43">
        <f>CashFlow!B122</f>
        <v/>
      </c>
      <c r="C122" s="31">
        <f>CashFlow!AC122</f>
        <v/>
      </c>
      <c r="D122" s="21">
        <f>MAX(0,-C122)</f>
        <v/>
      </c>
      <c r="E122" s="21">
        <f>MAX(0,C122)</f>
        <v/>
      </c>
      <c r="F122" s="21">
        <f>J121</f>
        <v/>
      </c>
      <c r="G122" s="21">
        <f>F122*Assumptions!$B$63/12</f>
        <v/>
      </c>
      <c r="H122" s="21">
        <f>F122+G122+D122</f>
        <v/>
      </c>
      <c r="I122" s="21">
        <f>MIN(E122,H122)</f>
        <v/>
      </c>
      <c r="J122" s="21">
        <f>H122-I122</f>
        <v/>
      </c>
      <c r="K122" s="21">
        <f>Q121</f>
        <v/>
      </c>
      <c r="L122" s="21">
        <f>K122*Assumptions!$B$66/12</f>
        <v/>
      </c>
      <c r="M122" s="21">
        <f>K122+L122+D122</f>
        <v/>
      </c>
      <c r="N122" s="21">
        <f>MIN(MAX(0,E122-I122),MAX(0,M122-I122)/(1-Assumptions!$B$64))</f>
        <v/>
      </c>
      <c r="O122" s="21">
        <f>N122*(1-Assumptions!$B$64)</f>
        <v/>
      </c>
      <c r="P122" s="21">
        <f>N122*Assumptions!$B$64</f>
        <v/>
      </c>
      <c r="Q122" s="21">
        <f>MAX(0,M122-I122-O122)</f>
        <v/>
      </c>
      <c r="R122" s="21">
        <f>MAX(0,E122-I122-N122)</f>
        <v/>
      </c>
      <c r="S122" s="21">
        <f>R122*(1-Assumptions!$B$65)</f>
        <v/>
      </c>
      <c r="T122" s="21">
        <f>R122*Assumptions!$B$65</f>
        <v/>
      </c>
      <c r="U122" s="21">
        <f>I122+O122+S122</f>
        <v/>
      </c>
      <c r="V122" s="21">
        <f>P122+T122</f>
        <v/>
      </c>
      <c r="W122" s="21">
        <f>(1-Assumptions!$B$62)*(U122-D122)</f>
        <v/>
      </c>
      <c r="X122" s="21">
        <f>Assumptions!$B$62*(U122-D122)+V122</f>
        <v/>
      </c>
    </row>
    <row r="123">
      <c r="A123" s="42">
        <f>CashFlow!A123</f>
        <v/>
      </c>
      <c r="B123" s="43">
        <f>CashFlow!B123</f>
        <v/>
      </c>
      <c r="C123" s="31">
        <f>CashFlow!AC123</f>
        <v/>
      </c>
      <c r="D123" s="21">
        <f>MAX(0,-C123)</f>
        <v/>
      </c>
      <c r="E123" s="21">
        <f>MAX(0,C123)</f>
        <v/>
      </c>
      <c r="F123" s="21">
        <f>J122</f>
        <v/>
      </c>
      <c r="G123" s="21">
        <f>F123*Assumptions!$B$63/12</f>
        <v/>
      </c>
      <c r="H123" s="21">
        <f>F123+G123+D123</f>
        <v/>
      </c>
      <c r="I123" s="21">
        <f>MIN(E123,H123)</f>
        <v/>
      </c>
      <c r="J123" s="21">
        <f>H123-I123</f>
        <v/>
      </c>
      <c r="K123" s="21">
        <f>Q122</f>
        <v/>
      </c>
      <c r="L123" s="21">
        <f>K123*Assumptions!$B$66/12</f>
        <v/>
      </c>
      <c r="M123" s="21">
        <f>K123+L123+D123</f>
        <v/>
      </c>
      <c r="N123" s="21">
        <f>MIN(MAX(0,E123-I123),MAX(0,M123-I123)/(1-Assumptions!$B$64))</f>
        <v/>
      </c>
      <c r="O123" s="21">
        <f>N123*(1-Assumptions!$B$64)</f>
        <v/>
      </c>
      <c r="P123" s="21">
        <f>N123*Assumptions!$B$64</f>
        <v/>
      </c>
      <c r="Q123" s="21">
        <f>MAX(0,M123-I123-O123)</f>
        <v/>
      </c>
      <c r="R123" s="21">
        <f>MAX(0,E123-I123-N123)</f>
        <v/>
      </c>
      <c r="S123" s="21">
        <f>R123*(1-Assumptions!$B$65)</f>
        <v/>
      </c>
      <c r="T123" s="21">
        <f>R123*Assumptions!$B$65</f>
        <v/>
      </c>
      <c r="U123" s="21">
        <f>I123+O123+S123</f>
        <v/>
      </c>
      <c r="V123" s="21">
        <f>P123+T123</f>
        <v/>
      </c>
      <c r="W123" s="21">
        <f>(1-Assumptions!$B$62)*(U123-D123)</f>
        <v/>
      </c>
      <c r="X123" s="21">
        <f>Assumptions!$B$62*(U123-D123)+V123</f>
        <v/>
      </c>
    </row>
    <row r="124">
      <c r="A124" s="42">
        <f>CashFlow!A124</f>
        <v/>
      </c>
      <c r="B124" s="43">
        <f>CashFlow!B124</f>
        <v/>
      </c>
      <c r="C124" s="31">
        <f>CashFlow!AC124</f>
        <v/>
      </c>
      <c r="D124" s="21">
        <f>MAX(0,-C124)</f>
        <v/>
      </c>
      <c r="E124" s="21">
        <f>MAX(0,C124)</f>
        <v/>
      </c>
      <c r="F124" s="21">
        <f>J123</f>
        <v/>
      </c>
      <c r="G124" s="21">
        <f>F124*Assumptions!$B$63/12</f>
        <v/>
      </c>
      <c r="H124" s="21">
        <f>F124+G124+D124</f>
        <v/>
      </c>
      <c r="I124" s="21">
        <f>MIN(E124,H124)</f>
        <v/>
      </c>
      <c r="J124" s="21">
        <f>H124-I124</f>
        <v/>
      </c>
      <c r="K124" s="21">
        <f>Q123</f>
        <v/>
      </c>
      <c r="L124" s="21">
        <f>K124*Assumptions!$B$66/12</f>
        <v/>
      </c>
      <c r="M124" s="21">
        <f>K124+L124+D124</f>
        <v/>
      </c>
      <c r="N124" s="21">
        <f>MIN(MAX(0,E124-I124),MAX(0,M124-I124)/(1-Assumptions!$B$64))</f>
        <v/>
      </c>
      <c r="O124" s="21">
        <f>N124*(1-Assumptions!$B$64)</f>
        <v/>
      </c>
      <c r="P124" s="21">
        <f>N124*Assumptions!$B$64</f>
        <v/>
      </c>
      <c r="Q124" s="21">
        <f>MAX(0,M124-I124-O124)</f>
        <v/>
      </c>
      <c r="R124" s="21">
        <f>MAX(0,E124-I124-N124)</f>
        <v/>
      </c>
      <c r="S124" s="21">
        <f>R124*(1-Assumptions!$B$65)</f>
        <v/>
      </c>
      <c r="T124" s="21">
        <f>R124*Assumptions!$B$65</f>
        <v/>
      </c>
      <c r="U124" s="21">
        <f>I124+O124+S124</f>
        <v/>
      </c>
      <c r="V124" s="21">
        <f>P124+T124</f>
        <v/>
      </c>
      <c r="W124" s="21">
        <f>(1-Assumptions!$B$62)*(U124-D124)</f>
        <v/>
      </c>
      <c r="X124" s="21">
        <f>Assumptions!$B$62*(U124-D124)+V124</f>
        <v/>
      </c>
    </row>
    <row r="125">
      <c r="A125" s="42">
        <f>CashFlow!A125</f>
        <v/>
      </c>
      <c r="B125" s="43">
        <f>CashFlow!B125</f>
        <v/>
      </c>
      <c r="C125" s="31">
        <f>CashFlow!AC125</f>
        <v/>
      </c>
      <c r="D125" s="21">
        <f>MAX(0,-C125)</f>
        <v/>
      </c>
      <c r="E125" s="21">
        <f>MAX(0,C125)</f>
        <v/>
      </c>
      <c r="F125" s="21">
        <f>J124</f>
        <v/>
      </c>
      <c r="G125" s="21">
        <f>F125*Assumptions!$B$63/12</f>
        <v/>
      </c>
      <c r="H125" s="21">
        <f>F125+G125+D125</f>
        <v/>
      </c>
      <c r="I125" s="21">
        <f>MIN(E125,H125)</f>
        <v/>
      </c>
      <c r="J125" s="21">
        <f>H125-I125</f>
        <v/>
      </c>
      <c r="K125" s="21">
        <f>Q124</f>
        <v/>
      </c>
      <c r="L125" s="21">
        <f>K125*Assumptions!$B$66/12</f>
        <v/>
      </c>
      <c r="M125" s="21">
        <f>K125+L125+D125</f>
        <v/>
      </c>
      <c r="N125" s="21">
        <f>MIN(MAX(0,E125-I125),MAX(0,M125-I125)/(1-Assumptions!$B$64))</f>
        <v/>
      </c>
      <c r="O125" s="21">
        <f>N125*(1-Assumptions!$B$64)</f>
        <v/>
      </c>
      <c r="P125" s="21">
        <f>N125*Assumptions!$B$64</f>
        <v/>
      </c>
      <c r="Q125" s="21">
        <f>MAX(0,M125-I125-O125)</f>
        <v/>
      </c>
      <c r="R125" s="21">
        <f>MAX(0,E125-I125-N125)</f>
        <v/>
      </c>
      <c r="S125" s="21">
        <f>R125*(1-Assumptions!$B$65)</f>
        <v/>
      </c>
      <c r="T125" s="21">
        <f>R125*Assumptions!$B$65</f>
        <v/>
      </c>
      <c r="U125" s="21">
        <f>I125+O125+S125</f>
        <v/>
      </c>
      <c r="V125" s="21">
        <f>P125+T125</f>
        <v/>
      </c>
      <c r="W125" s="21">
        <f>(1-Assumptions!$B$62)*(U125-D125)</f>
        <v/>
      </c>
      <c r="X125" s="21">
        <f>Assumptions!$B$62*(U125-D125)+V125</f>
        <v/>
      </c>
    </row>
    <row r="126">
      <c r="A126" s="42">
        <f>CashFlow!A126</f>
        <v/>
      </c>
      <c r="B126" s="43">
        <f>CashFlow!B126</f>
        <v/>
      </c>
      <c r="C126" s="31">
        <f>CashFlow!AC126</f>
        <v/>
      </c>
      <c r="D126" s="21">
        <f>MAX(0,-C126)</f>
        <v/>
      </c>
      <c r="E126" s="21">
        <f>MAX(0,C126)</f>
        <v/>
      </c>
      <c r="F126" s="21">
        <f>J125</f>
        <v/>
      </c>
      <c r="G126" s="21">
        <f>F126*Assumptions!$B$63/12</f>
        <v/>
      </c>
      <c r="H126" s="21">
        <f>F126+G126+D126</f>
        <v/>
      </c>
      <c r="I126" s="21">
        <f>MIN(E126,H126)</f>
        <v/>
      </c>
      <c r="J126" s="21">
        <f>H126-I126</f>
        <v/>
      </c>
      <c r="K126" s="21">
        <f>Q125</f>
        <v/>
      </c>
      <c r="L126" s="21">
        <f>K126*Assumptions!$B$66/12</f>
        <v/>
      </c>
      <c r="M126" s="21">
        <f>K126+L126+D126</f>
        <v/>
      </c>
      <c r="N126" s="21">
        <f>MIN(MAX(0,E126-I126),MAX(0,M126-I126)/(1-Assumptions!$B$64))</f>
        <v/>
      </c>
      <c r="O126" s="21">
        <f>N126*(1-Assumptions!$B$64)</f>
        <v/>
      </c>
      <c r="P126" s="21">
        <f>N126*Assumptions!$B$64</f>
        <v/>
      </c>
      <c r="Q126" s="21">
        <f>MAX(0,M126-I126-O126)</f>
        <v/>
      </c>
      <c r="R126" s="21">
        <f>MAX(0,E126-I126-N126)</f>
        <v/>
      </c>
      <c r="S126" s="21">
        <f>R126*(1-Assumptions!$B$65)</f>
        <v/>
      </c>
      <c r="T126" s="21">
        <f>R126*Assumptions!$B$65</f>
        <v/>
      </c>
      <c r="U126" s="21">
        <f>I126+O126+S126</f>
        <v/>
      </c>
      <c r="V126" s="21">
        <f>P126+T126</f>
        <v/>
      </c>
      <c r="W126" s="21">
        <f>(1-Assumptions!$B$62)*(U126-D126)</f>
        <v/>
      </c>
      <c r="X126" s="21">
        <f>Assumptions!$B$62*(U126-D126)+V126</f>
        <v/>
      </c>
    </row>
    <row r="127">
      <c r="A127" s="42">
        <f>CashFlow!A127</f>
        <v/>
      </c>
      <c r="B127" s="43">
        <f>CashFlow!B127</f>
        <v/>
      </c>
      <c r="C127" s="31">
        <f>CashFlow!AC127</f>
        <v/>
      </c>
      <c r="D127" s="21">
        <f>MAX(0,-C127)</f>
        <v/>
      </c>
      <c r="E127" s="21">
        <f>MAX(0,C127)</f>
        <v/>
      </c>
      <c r="F127" s="21">
        <f>J126</f>
        <v/>
      </c>
      <c r="G127" s="21">
        <f>F127*Assumptions!$B$63/12</f>
        <v/>
      </c>
      <c r="H127" s="21">
        <f>F127+G127+D127</f>
        <v/>
      </c>
      <c r="I127" s="21">
        <f>MIN(E127,H127)</f>
        <v/>
      </c>
      <c r="J127" s="21">
        <f>H127-I127</f>
        <v/>
      </c>
      <c r="K127" s="21">
        <f>Q126</f>
        <v/>
      </c>
      <c r="L127" s="21">
        <f>K127*Assumptions!$B$66/12</f>
        <v/>
      </c>
      <c r="M127" s="21">
        <f>K127+L127+D127</f>
        <v/>
      </c>
      <c r="N127" s="21">
        <f>MIN(MAX(0,E127-I127),MAX(0,M127-I127)/(1-Assumptions!$B$64))</f>
        <v/>
      </c>
      <c r="O127" s="21">
        <f>N127*(1-Assumptions!$B$64)</f>
        <v/>
      </c>
      <c r="P127" s="21">
        <f>N127*Assumptions!$B$64</f>
        <v/>
      </c>
      <c r="Q127" s="21">
        <f>MAX(0,M127-I127-O127)</f>
        <v/>
      </c>
      <c r="R127" s="21">
        <f>MAX(0,E127-I127-N127)</f>
        <v/>
      </c>
      <c r="S127" s="21">
        <f>R127*(1-Assumptions!$B$65)</f>
        <v/>
      </c>
      <c r="T127" s="21">
        <f>R127*Assumptions!$B$65</f>
        <v/>
      </c>
      <c r="U127" s="21">
        <f>I127+O127+S127</f>
        <v/>
      </c>
      <c r="V127" s="21">
        <f>P127+T127</f>
        <v/>
      </c>
      <c r="W127" s="21">
        <f>(1-Assumptions!$B$62)*(U127-D127)</f>
        <v/>
      </c>
      <c r="X127" s="21">
        <f>Assumptions!$B$62*(U127-D127)+V127</f>
        <v/>
      </c>
    </row>
    <row r="128">
      <c r="A128" s="42">
        <f>CashFlow!A128</f>
        <v/>
      </c>
      <c r="B128" s="43">
        <f>CashFlow!B128</f>
        <v/>
      </c>
      <c r="C128" s="31">
        <f>CashFlow!AC128</f>
        <v/>
      </c>
      <c r="D128" s="21">
        <f>MAX(0,-C128)</f>
        <v/>
      </c>
      <c r="E128" s="21">
        <f>MAX(0,C128)</f>
        <v/>
      </c>
      <c r="F128" s="21">
        <f>J127</f>
        <v/>
      </c>
      <c r="G128" s="21">
        <f>F128*Assumptions!$B$63/12</f>
        <v/>
      </c>
      <c r="H128" s="21">
        <f>F128+G128+D128</f>
        <v/>
      </c>
      <c r="I128" s="21">
        <f>MIN(E128,H128)</f>
        <v/>
      </c>
      <c r="J128" s="21">
        <f>H128-I128</f>
        <v/>
      </c>
      <c r="K128" s="21">
        <f>Q127</f>
        <v/>
      </c>
      <c r="L128" s="21">
        <f>K128*Assumptions!$B$66/12</f>
        <v/>
      </c>
      <c r="M128" s="21">
        <f>K128+L128+D128</f>
        <v/>
      </c>
      <c r="N128" s="21">
        <f>MIN(MAX(0,E128-I128),MAX(0,M128-I128)/(1-Assumptions!$B$64))</f>
        <v/>
      </c>
      <c r="O128" s="21">
        <f>N128*(1-Assumptions!$B$64)</f>
        <v/>
      </c>
      <c r="P128" s="21">
        <f>N128*Assumptions!$B$64</f>
        <v/>
      </c>
      <c r="Q128" s="21">
        <f>MAX(0,M128-I128-O128)</f>
        <v/>
      </c>
      <c r="R128" s="21">
        <f>MAX(0,E128-I128-N128)</f>
        <v/>
      </c>
      <c r="S128" s="21">
        <f>R128*(1-Assumptions!$B$65)</f>
        <v/>
      </c>
      <c r="T128" s="21">
        <f>R128*Assumptions!$B$65</f>
        <v/>
      </c>
      <c r="U128" s="21">
        <f>I128+O128+S128</f>
        <v/>
      </c>
      <c r="V128" s="21">
        <f>P128+T128</f>
        <v/>
      </c>
      <c r="W128" s="21">
        <f>(1-Assumptions!$B$62)*(U128-D128)</f>
        <v/>
      </c>
      <c r="X128" s="21">
        <f>Assumptions!$B$62*(U128-D128)+V128</f>
        <v/>
      </c>
    </row>
    <row r="129">
      <c r="A129" s="42">
        <f>CashFlow!A129</f>
        <v/>
      </c>
      <c r="B129" s="43">
        <f>CashFlow!B129</f>
        <v/>
      </c>
      <c r="C129" s="31">
        <f>CashFlow!AC129</f>
        <v/>
      </c>
      <c r="D129" s="21">
        <f>MAX(0,-C129)</f>
        <v/>
      </c>
      <c r="E129" s="21">
        <f>MAX(0,C129)</f>
        <v/>
      </c>
      <c r="F129" s="21">
        <f>J128</f>
        <v/>
      </c>
      <c r="G129" s="21">
        <f>F129*Assumptions!$B$63/12</f>
        <v/>
      </c>
      <c r="H129" s="21">
        <f>F129+G129+D129</f>
        <v/>
      </c>
      <c r="I129" s="21">
        <f>MIN(E129,H129)</f>
        <v/>
      </c>
      <c r="J129" s="21">
        <f>H129-I129</f>
        <v/>
      </c>
      <c r="K129" s="21">
        <f>Q128</f>
        <v/>
      </c>
      <c r="L129" s="21">
        <f>K129*Assumptions!$B$66/12</f>
        <v/>
      </c>
      <c r="M129" s="21">
        <f>K129+L129+D129</f>
        <v/>
      </c>
      <c r="N129" s="21">
        <f>MIN(MAX(0,E129-I129),MAX(0,M129-I129)/(1-Assumptions!$B$64))</f>
        <v/>
      </c>
      <c r="O129" s="21">
        <f>N129*(1-Assumptions!$B$64)</f>
        <v/>
      </c>
      <c r="P129" s="21">
        <f>N129*Assumptions!$B$64</f>
        <v/>
      </c>
      <c r="Q129" s="21">
        <f>MAX(0,M129-I129-O129)</f>
        <v/>
      </c>
      <c r="R129" s="21">
        <f>MAX(0,E129-I129-N129)</f>
        <v/>
      </c>
      <c r="S129" s="21">
        <f>R129*(1-Assumptions!$B$65)</f>
        <v/>
      </c>
      <c r="T129" s="21">
        <f>R129*Assumptions!$B$65</f>
        <v/>
      </c>
      <c r="U129" s="21">
        <f>I129+O129+S129</f>
        <v/>
      </c>
      <c r="V129" s="21">
        <f>P129+T129</f>
        <v/>
      </c>
      <c r="W129" s="21">
        <f>(1-Assumptions!$B$62)*(U129-D129)</f>
        <v/>
      </c>
      <c r="X129" s="21">
        <f>Assumptions!$B$62*(U129-D129)+V129</f>
        <v/>
      </c>
    </row>
    <row r="130">
      <c r="A130" s="42">
        <f>CashFlow!A130</f>
        <v/>
      </c>
      <c r="B130" s="43">
        <f>CashFlow!B130</f>
        <v/>
      </c>
      <c r="C130" s="31">
        <f>CashFlow!AC130</f>
        <v/>
      </c>
      <c r="D130" s="21">
        <f>MAX(0,-C130)</f>
        <v/>
      </c>
      <c r="E130" s="21">
        <f>MAX(0,C130)</f>
        <v/>
      </c>
      <c r="F130" s="21">
        <f>J129</f>
        <v/>
      </c>
      <c r="G130" s="21">
        <f>F130*Assumptions!$B$63/12</f>
        <v/>
      </c>
      <c r="H130" s="21">
        <f>F130+G130+D130</f>
        <v/>
      </c>
      <c r="I130" s="21">
        <f>MIN(E130,H130)</f>
        <v/>
      </c>
      <c r="J130" s="21">
        <f>H130-I130</f>
        <v/>
      </c>
      <c r="K130" s="21">
        <f>Q129</f>
        <v/>
      </c>
      <c r="L130" s="21">
        <f>K130*Assumptions!$B$66/12</f>
        <v/>
      </c>
      <c r="M130" s="21">
        <f>K130+L130+D130</f>
        <v/>
      </c>
      <c r="N130" s="21">
        <f>MIN(MAX(0,E130-I130),MAX(0,M130-I130)/(1-Assumptions!$B$64))</f>
        <v/>
      </c>
      <c r="O130" s="21">
        <f>N130*(1-Assumptions!$B$64)</f>
        <v/>
      </c>
      <c r="P130" s="21">
        <f>N130*Assumptions!$B$64</f>
        <v/>
      </c>
      <c r="Q130" s="21">
        <f>MAX(0,M130-I130-O130)</f>
        <v/>
      </c>
      <c r="R130" s="21">
        <f>MAX(0,E130-I130-N130)</f>
        <v/>
      </c>
      <c r="S130" s="21">
        <f>R130*(1-Assumptions!$B$65)</f>
        <v/>
      </c>
      <c r="T130" s="21">
        <f>R130*Assumptions!$B$65</f>
        <v/>
      </c>
      <c r="U130" s="21">
        <f>I130+O130+S130</f>
        <v/>
      </c>
      <c r="V130" s="21">
        <f>P130+T130</f>
        <v/>
      </c>
      <c r="W130" s="21">
        <f>(1-Assumptions!$B$62)*(U130-D130)</f>
        <v/>
      </c>
      <c r="X130" s="21">
        <f>Assumptions!$B$62*(U130-D130)+V130</f>
        <v/>
      </c>
    </row>
    <row r="131">
      <c r="A131" s="42">
        <f>CashFlow!A131</f>
        <v/>
      </c>
      <c r="B131" s="43">
        <f>CashFlow!B131</f>
        <v/>
      </c>
      <c r="C131" s="31">
        <f>CashFlow!AC131</f>
        <v/>
      </c>
      <c r="D131" s="21">
        <f>MAX(0,-C131)</f>
        <v/>
      </c>
      <c r="E131" s="21">
        <f>MAX(0,C131)</f>
        <v/>
      </c>
      <c r="F131" s="21">
        <f>J130</f>
        <v/>
      </c>
      <c r="G131" s="21">
        <f>F131*Assumptions!$B$63/12</f>
        <v/>
      </c>
      <c r="H131" s="21">
        <f>F131+G131+D131</f>
        <v/>
      </c>
      <c r="I131" s="21">
        <f>MIN(E131,H131)</f>
        <v/>
      </c>
      <c r="J131" s="21">
        <f>H131-I131</f>
        <v/>
      </c>
      <c r="K131" s="21">
        <f>Q130</f>
        <v/>
      </c>
      <c r="L131" s="21">
        <f>K131*Assumptions!$B$66/12</f>
        <v/>
      </c>
      <c r="M131" s="21">
        <f>K131+L131+D131</f>
        <v/>
      </c>
      <c r="N131" s="21">
        <f>MIN(MAX(0,E131-I131),MAX(0,M131-I131)/(1-Assumptions!$B$64))</f>
        <v/>
      </c>
      <c r="O131" s="21">
        <f>N131*(1-Assumptions!$B$64)</f>
        <v/>
      </c>
      <c r="P131" s="21">
        <f>N131*Assumptions!$B$64</f>
        <v/>
      </c>
      <c r="Q131" s="21">
        <f>MAX(0,M131-I131-O131)</f>
        <v/>
      </c>
      <c r="R131" s="21">
        <f>MAX(0,E131-I131-N131)</f>
        <v/>
      </c>
      <c r="S131" s="21">
        <f>R131*(1-Assumptions!$B$65)</f>
        <v/>
      </c>
      <c r="T131" s="21">
        <f>R131*Assumptions!$B$65</f>
        <v/>
      </c>
      <c r="U131" s="21">
        <f>I131+O131+S131</f>
        <v/>
      </c>
      <c r="V131" s="21">
        <f>P131+T131</f>
        <v/>
      </c>
      <c r="W131" s="21">
        <f>(1-Assumptions!$B$62)*(U131-D131)</f>
        <v/>
      </c>
      <c r="X131" s="21">
        <f>Assumptions!$B$62*(U131-D131)+V131</f>
        <v/>
      </c>
    </row>
    <row r="132">
      <c r="A132" s="42">
        <f>CashFlow!A132</f>
        <v/>
      </c>
      <c r="B132" s="43">
        <f>CashFlow!B132</f>
        <v/>
      </c>
      <c r="C132" s="31">
        <f>CashFlow!AC132</f>
        <v/>
      </c>
      <c r="D132" s="21">
        <f>MAX(0,-C132)</f>
        <v/>
      </c>
      <c r="E132" s="21">
        <f>MAX(0,C132)</f>
        <v/>
      </c>
      <c r="F132" s="21">
        <f>J131</f>
        <v/>
      </c>
      <c r="G132" s="21">
        <f>F132*Assumptions!$B$63/12</f>
        <v/>
      </c>
      <c r="H132" s="21">
        <f>F132+G132+D132</f>
        <v/>
      </c>
      <c r="I132" s="21">
        <f>MIN(E132,H132)</f>
        <v/>
      </c>
      <c r="J132" s="21">
        <f>H132-I132</f>
        <v/>
      </c>
      <c r="K132" s="21">
        <f>Q131</f>
        <v/>
      </c>
      <c r="L132" s="21">
        <f>K132*Assumptions!$B$66/12</f>
        <v/>
      </c>
      <c r="M132" s="21">
        <f>K132+L132+D132</f>
        <v/>
      </c>
      <c r="N132" s="21">
        <f>MIN(MAX(0,E132-I132),MAX(0,M132-I132)/(1-Assumptions!$B$64))</f>
        <v/>
      </c>
      <c r="O132" s="21">
        <f>N132*(1-Assumptions!$B$64)</f>
        <v/>
      </c>
      <c r="P132" s="21">
        <f>N132*Assumptions!$B$64</f>
        <v/>
      </c>
      <c r="Q132" s="21">
        <f>MAX(0,M132-I132-O132)</f>
        <v/>
      </c>
      <c r="R132" s="21">
        <f>MAX(0,E132-I132-N132)</f>
        <v/>
      </c>
      <c r="S132" s="21">
        <f>R132*(1-Assumptions!$B$65)</f>
        <v/>
      </c>
      <c r="T132" s="21">
        <f>R132*Assumptions!$B$65</f>
        <v/>
      </c>
      <c r="U132" s="21">
        <f>I132+O132+S132</f>
        <v/>
      </c>
      <c r="V132" s="21">
        <f>P132+T132</f>
        <v/>
      </c>
      <c r="W132" s="21">
        <f>(1-Assumptions!$B$62)*(U132-D132)</f>
        <v/>
      </c>
      <c r="X132" s="21">
        <f>Assumptions!$B$62*(U132-D132)+V132</f>
        <v/>
      </c>
    </row>
    <row r="133">
      <c r="A133" s="42">
        <f>CashFlow!A133</f>
        <v/>
      </c>
      <c r="B133" s="43">
        <f>CashFlow!B133</f>
        <v/>
      </c>
      <c r="C133" s="31">
        <f>CashFlow!AC133</f>
        <v/>
      </c>
      <c r="D133" s="21">
        <f>MAX(0,-C133)</f>
        <v/>
      </c>
      <c r="E133" s="21">
        <f>MAX(0,C133)</f>
        <v/>
      </c>
      <c r="F133" s="21">
        <f>J132</f>
        <v/>
      </c>
      <c r="G133" s="21">
        <f>F133*Assumptions!$B$63/12</f>
        <v/>
      </c>
      <c r="H133" s="21">
        <f>F133+G133+D133</f>
        <v/>
      </c>
      <c r="I133" s="21">
        <f>MIN(E133,H133)</f>
        <v/>
      </c>
      <c r="J133" s="21">
        <f>H133-I133</f>
        <v/>
      </c>
      <c r="K133" s="21">
        <f>Q132</f>
        <v/>
      </c>
      <c r="L133" s="21">
        <f>K133*Assumptions!$B$66/12</f>
        <v/>
      </c>
      <c r="M133" s="21">
        <f>K133+L133+D133</f>
        <v/>
      </c>
      <c r="N133" s="21">
        <f>MIN(MAX(0,E133-I133),MAX(0,M133-I133)/(1-Assumptions!$B$64))</f>
        <v/>
      </c>
      <c r="O133" s="21">
        <f>N133*(1-Assumptions!$B$64)</f>
        <v/>
      </c>
      <c r="P133" s="21">
        <f>N133*Assumptions!$B$64</f>
        <v/>
      </c>
      <c r="Q133" s="21">
        <f>MAX(0,M133-I133-O133)</f>
        <v/>
      </c>
      <c r="R133" s="21">
        <f>MAX(0,E133-I133-N133)</f>
        <v/>
      </c>
      <c r="S133" s="21">
        <f>R133*(1-Assumptions!$B$65)</f>
        <v/>
      </c>
      <c r="T133" s="21">
        <f>R133*Assumptions!$B$65</f>
        <v/>
      </c>
      <c r="U133" s="21">
        <f>I133+O133+S133</f>
        <v/>
      </c>
      <c r="V133" s="21">
        <f>P133+T133</f>
        <v/>
      </c>
      <c r="W133" s="21">
        <f>(1-Assumptions!$B$62)*(U133-D133)</f>
        <v/>
      </c>
      <c r="X133" s="21">
        <f>Assumptions!$B$62*(U133-D133)+V133</f>
        <v/>
      </c>
    </row>
    <row r="134">
      <c r="A134" s="42">
        <f>CashFlow!A134</f>
        <v/>
      </c>
      <c r="B134" s="43">
        <f>CashFlow!B134</f>
        <v/>
      </c>
      <c r="C134" s="31">
        <f>CashFlow!AC134</f>
        <v/>
      </c>
      <c r="D134" s="21">
        <f>MAX(0,-C134)</f>
        <v/>
      </c>
      <c r="E134" s="21">
        <f>MAX(0,C134)</f>
        <v/>
      </c>
      <c r="F134" s="21">
        <f>J133</f>
        <v/>
      </c>
      <c r="G134" s="21">
        <f>F134*Assumptions!$B$63/12</f>
        <v/>
      </c>
      <c r="H134" s="21">
        <f>F134+G134+D134</f>
        <v/>
      </c>
      <c r="I134" s="21">
        <f>MIN(E134,H134)</f>
        <v/>
      </c>
      <c r="J134" s="21">
        <f>H134-I134</f>
        <v/>
      </c>
      <c r="K134" s="21">
        <f>Q133</f>
        <v/>
      </c>
      <c r="L134" s="21">
        <f>K134*Assumptions!$B$66/12</f>
        <v/>
      </c>
      <c r="M134" s="21">
        <f>K134+L134+D134</f>
        <v/>
      </c>
      <c r="N134" s="21">
        <f>MIN(MAX(0,E134-I134),MAX(0,M134-I134)/(1-Assumptions!$B$64))</f>
        <v/>
      </c>
      <c r="O134" s="21">
        <f>N134*(1-Assumptions!$B$64)</f>
        <v/>
      </c>
      <c r="P134" s="21">
        <f>N134*Assumptions!$B$64</f>
        <v/>
      </c>
      <c r="Q134" s="21">
        <f>MAX(0,M134-I134-O134)</f>
        <v/>
      </c>
      <c r="R134" s="21">
        <f>MAX(0,E134-I134-N134)</f>
        <v/>
      </c>
      <c r="S134" s="21">
        <f>R134*(1-Assumptions!$B$65)</f>
        <v/>
      </c>
      <c r="T134" s="21">
        <f>R134*Assumptions!$B$65</f>
        <v/>
      </c>
      <c r="U134" s="21">
        <f>I134+O134+S134</f>
        <v/>
      </c>
      <c r="V134" s="21">
        <f>P134+T134</f>
        <v/>
      </c>
      <c r="W134" s="21">
        <f>(1-Assumptions!$B$62)*(U134-D134)</f>
        <v/>
      </c>
      <c r="X134" s="21">
        <f>Assumptions!$B$62*(U134-D134)+V134</f>
        <v/>
      </c>
    </row>
    <row r="135">
      <c r="A135" s="42">
        <f>CashFlow!A135</f>
        <v/>
      </c>
      <c r="B135" s="43">
        <f>CashFlow!B135</f>
        <v/>
      </c>
      <c r="C135" s="31">
        <f>CashFlow!AC135</f>
        <v/>
      </c>
      <c r="D135" s="21">
        <f>MAX(0,-C135)</f>
        <v/>
      </c>
      <c r="E135" s="21">
        <f>MAX(0,C135)</f>
        <v/>
      </c>
      <c r="F135" s="21">
        <f>J134</f>
        <v/>
      </c>
      <c r="G135" s="21">
        <f>F135*Assumptions!$B$63/12</f>
        <v/>
      </c>
      <c r="H135" s="21">
        <f>F135+G135+D135</f>
        <v/>
      </c>
      <c r="I135" s="21">
        <f>MIN(E135,H135)</f>
        <v/>
      </c>
      <c r="J135" s="21">
        <f>H135-I135</f>
        <v/>
      </c>
      <c r="K135" s="21">
        <f>Q134</f>
        <v/>
      </c>
      <c r="L135" s="21">
        <f>K135*Assumptions!$B$66/12</f>
        <v/>
      </c>
      <c r="M135" s="21">
        <f>K135+L135+D135</f>
        <v/>
      </c>
      <c r="N135" s="21">
        <f>MIN(MAX(0,E135-I135),MAX(0,M135-I135)/(1-Assumptions!$B$64))</f>
        <v/>
      </c>
      <c r="O135" s="21">
        <f>N135*(1-Assumptions!$B$64)</f>
        <v/>
      </c>
      <c r="P135" s="21">
        <f>N135*Assumptions!$B$64</f>
        <v/>
      </c>
      <c r="Q135" s="21">
        <f>MAX(0,M135-I135-O135)</f>
        <v/>
      </c>
      <c r="R135" s="21">
        <f>MAX(0,E135-I135-N135)</f>
        <v/>
      </c>
      <c r="S135" s="21">
        <f>R135*(1-Assumptions!$B$65)</f>
        <v/>
      </c>
      <c r="T135" s="21">
        <f>R135*Assumptions!$B$65</f>
        <v/>
      </c>
      <c r="U135" s="21">
        <f>I135+O135+S135</f>
        <v/>
      </c>
      <c r="V135" s="21">
        <f>P135+T135</f>
        <v/>
      </c>
      <c r="W135" s="21">
        <f>(1-Assumptions!$B$62)*(U135-D135)</f>
        <v/>
      </c>
      <c r="X135" s="21">
        <f>Assumptions!$B$62*(U135-D135)+V135</f>
        <v/>
      </c>
    </row>
    <row r="136">
      <c r="A136" s="42">
        <f>CashFlow!A136</f>
        <v/>
      </c>
      <c r="B136" s="43">
        <f>CashFlow!B136</f>
        <v/>
      </c>
      <c r="C136" s="31">
        <f>CashFlow!AC136</f>
        <v/>
      </c>
      <c r="D136" s="21">
        <f>MAX(0,-C136)</f>
        <v/>
      </c>
      <c r="E136" s="21">
        <f>MAX(0,C136)</f>
        <v/>
      </c>
      <c r="F136" s="21">
        <f>J135</f>
        <v/>
      </c>
      <c r="G136" s="21">
        <f>F136*Assumptions!$B$63/12</f>
        <v/>
      </c>
      <c r="H136" s="21">
        <f>F136+G136+D136</f>
        <v/>
      </c>
      <c r="I136" s="21">
        <f>MIN(E136,H136)</f>
        <v/>
      </c>
      <c r="J136" s="21">
        <f>H136-I136</f>
        <v/>
      </c>
      <c r="K136" s="21">
        <f>Q135</f>
        <v/>
      </c>
      <c r="L136" s="21">
        <f>K136*Assumptions!$B$66/12</f>
        <v/>
      </c>
      <c r="M136" s="21">
        <f>K136+L136+D136</f>
        <v/>
      </c>
      <c r="N136" s="21">
        <f>MIN(MAX(0,E136-I136),MAX(0,M136-I136)/(1-Assumptions!$B$64))</f>
        <v/>
      </c>
      <c r="O136" s="21">
        <f>N136*(1-Assumptions!$B$64)</f>
        <v/>
      </c>
      <c r="P136" s="21">
        <f>N136*Assumptions!$B$64</f>
        <v/>
      </c>
      <c r="Q136" s="21">
        <f>MAX(0,M136-I136-O136)</f>
        <v/>
      </c>
      <c r="R136" s="21">
        <f>MAX(0,E136-I136-N136)</f>
        <v/>
      </c>
      <c r="S136" s="21">
        <f>R136*(1-Assumptions!$B$65)</f>
        <v/>
      </c>
      <c r="T136" s="21">
        <f>R136*Assumptions!$B$65</f>
        <v/>
      </c>
      <c r="U136" s="21">
        <f>I136+O136+S136</f>
        <v/>
      </c>
      <c r="V136" s="21">
        <f>P136+T136</f>
        <v/>
      </c>
      <c r="W136" s="21">
        <f>(1-Assumptions!$B$62)*(U136-D136)</f>
        <v/>
      </c>
      <c r="X136" s="21">
        <f>Assumptions!$B$62*(U136-D136)+V136</f>
        <v/>
      </c>
    </row>
    <row r="137">
      <c r="A137" s="42">
        <f>CashFlow!A137</f>
        <v/>
      </c>
      <c r="B137" s="43">
        <f>CashFlow!B137</f>
        <v/>
      </c>
      <c r="C137" s="31">
        <f>CashFlow!AC137</f>
        <v/>
      </c>
      <c r="D137" s="21">
        <f>MAX(0,-C137)</f>
        <v/>
      </c>
      <c r="E137" s="21">
        <f>MAX(0,C137)</f>
        <v/>
      </c>
      <c r="F137" s="21">
        <f>J136</f>
        <v/>
      </c>
      <c r="G137" s="21">
        <f>F137*Assumptions!$B$63/12</f>
        <v/>
      </c>
      <c r="H137" s="21">
        <f>F137+G137+D137</f>
        <v/>
      </c>
      <c r="I137" s="21">
        <f>MIN(E137,H137)</f>
        <v/>
      </c>
      <c r="J137" s="21">
        <f>H137-I137</f>
        <v/>
      </c>
      <c r="K137" s="21">
        <f>Q136</f>
        <v/>
      </c>
      <c r="L137" s="21">
        <f>K137*Assumptions!$B$66/12</f>
        <v/>
      </c>
      <c r="M137" s="21">
        <f>K137+L137+D137</f>
        <v/>
      </c>
      <c r="N137" s="21">
        <f>MIN(MAX(0,E137-I137),MAX(0,M137-I137)/(1-Assumptions!$B$64))</f>
        <v/>
      </c>
      <c r="O137" s="21">
        <f>N137*(1-Assumptions!$B$64)</f>
        <v/>
      </c>
      <c r="P137" s="21">
        <f>N137*Assumptions!$B$64</f>
        <v/>
      </c>
      <c r="Q137" s="21">
        <f>MAX(0,M137-I137-O137)</f>
        <v/>
      </c>
      <c r="R137" s="21">
        <f>MAX(0,E137-I137-N137)</f>
        <v/>
      </c>
      <c r="S137" s="21">
        <f>R137*(1-Assumptions!$B$65)</f>
        <v/>
      </c>
      <c r="T137" s="21">
        <f>R137*Assumptions!$B$65</f>
        <v/>
      </c>
      <c r="U137" s="21">
        <f>I137+O137+S137</f>
        <v/>
      </c>
      <c r="V137" s="21">
        <f>P137+T137</f>
        <v/>
      </c>
      <c r="W137" s="21">
        <f>(1-Assumptions!$B$62)*(U137-D137)</f>
        <v/>
      </c>
      <c r="X137" s="21">
        <f>Assumptions!$B$62*(U137-D137)+V137</f>
        <v/>
      </c>
    </row>
    <row r="138">
      <c r="A138" s="42">
        <f>CashFlow!A138</f>
        <v/>
      </c>
      <c r="B138" s="43">
        <f>CashFlow!B138</f>
        <v/>
      </c>
      <c r="C138" s="31">
        <f>CashFlow!AC138</f>
        <v/>
      </c>
      <c r="D138" s="21">
        <f>MAX(0,-C138)</f>
        <v/>
      </c>
      <c r="E138" s="21">
        <f>MAX(0,C138)</f>
        <v/>
      </c>
      <c r="F138" s="21">
        <f>J137</f>
        <v/>
      </c>
      <c r="G138" s="21">
        <f>F138*Assumptions!$B$63/12</f>
        <v/>
      </c>
      <c r="H138" s="21">
        <f>F138+G138+D138</f>
        <v/>
      </c>
      <c r="I138" s="21">
        <f>MIN(E138,H138)</f>
        <v/>
      </c>
      <c r="J138" s="21">
        <f>H138-I138</f>
        <v/>
      </c>
      <c r="K138" s="21">
        <f>Q137</f>
        <v/>
      </c>
      <c r="L138" s="21">
        <f>K138*Assumptions!$B$66/12</f>
        <v/>
      </c>
      <c r="M138" s="21">
        <f>K138+L138+D138</f>
        <v/>
      </c>
      <c r="N138" s="21">
        <f>MIN(MAX(0,E138-I138),MAX(0,M138-I138)/(1-Assumptions!$B$64))</f>
        <v/>
      </c>
      <c r="O138" s="21">
        <f>N138*(1-Assumptions!$B$64)</f>
        <v/>
      </c>
      <c r="P138" s="21">
        <f>N138*Assumptions!$B$64</f>
        <v/>
      </c>
      <c r="Q138" s="21">
        <f>MAX(0,M138-I138-O138)</f>
        <v/>
      </c>
      <c r="R138" s="21">
        <f>MAX(0,E138-I138-N138)</f>
        <v/>
      </c>
      <c r="S138" s="21">
        <f>R138*(1-Assumptions!$B$65)</f>
        <v/>
      </c>
      <c r="T138" s="21">
        <f>R138*Assumptions!$B$65</f>
        <v/>
      </c>
      <c r="U138" s="21">
        <f>I138+O138+S138</f>
        <v/>
      </c>
      <c r="V138" s="21">
        <f>P138+T138</f>
        <v/>
      </c>
      <c r="W138" s="21">
        <f>(1-Assumptions!$B$62)*(U138-D138)</f>
        <v/>
      </c>
      <c r="X138" s="21">
        <f>Assumptions!$B$62*(U138-D138)+V138</f>
        <v/>
      </c>
    </row>
    <row r="139">
      <c r="A139" s="42">
        <f>CashFlow!A139</f>
        <v/>
      </c>
      <c r="B139" s="43">
        <f>CashFlow!B139</f>
        <v/>
      </c>
      <c r="C139" s="31">
        <f>CashFlow!AC139</f>
        <v/>
      </c>
      <c r="D139" s="21">
        <f>MAX(0,-C139)</f>
        <v/>
      </c>
      <c r="E139" s="21">
        <f>MAX(0,C139)</f>
        <v/>
      </c>
      <c r="F139" s="21">
        <f>J138</f>
        <v/>
      </c>
      <c r="G139" s="21">
        <f>F139*Assumptions!$B$63/12</f>
        <v/>
      </c>
      <c r="H139" s="21">
        <f>F139+G139+D139</f>
        <v/>
      </c>
      <c r="I139" s="21">
        <f>MIN(E139,H139)</f>
        <v/>
      </c>
      <c r="J139" s="21">
        <f>H139-I139</f>
        <v/>
      </c>
      <c r="K139" s="21">
        <f>Q138</f>
        <v/>
      </c>
      <c r="L139" s="21">
        <f>K139*Assumptions!$B$66/12</f>
        <v/>
      </c>
      <c r="M139" s="21">
        <f>K139+L139+D139</f>
        <v/>
      </c>
      <c r="N139" s="21">
        <f>MIN(MAX(0,E139-I139),MAX(0,M139-I139)/(1-Assumptions!$B$64))</f>
        <v/>
      </c>
      <c r="O139" s="21">
        <f>N139*(1-Assumptions!$B$64)</f>
        <v/>
      </c>
      <c r="P139" s="21">
        <f>N139*Assumptions!$B$64</f>
        <v/>
      </c>
      <c r="Q139" s="21">
        <f>MAX(0,M139-I139-O139)</f>
        <v/>
      </c>
      <c r="R139" s="21">
        <f>MAX(0,E139-I139-N139)</f>
        <v/>
      </c>
      <c r="S139" s="21">
        <f>R139*(1-Assumptions!$B$65)</f>
        <v/>
      </c>
      <c r="T139" s="21">
        <f>R139*Assumptions!$B$65</f>
        <v/>
      </c>
      <c r="U139" s="21">
        <f>I139+O139+S139</f>
        <v/>
      </c>
      <c r="V139" s="21">
        <f>P139+T139</f>
        <v/>
      </c>
      <c r="W139" s="21">
        <f>(1-Assumptions!$B$62)*(U139-D139)</f>
        <v/>
      </c>
      <c r="X139" s="21">
        <f>Assumptions!$B$62*(U139-D139)+V139</f>
        <v/>
      </c>
    </row>
    <row r="140">
      <c r="A140" s="42">
        <f>CashFlow!A140</f>
        <v/>
      </c>
      <c r="B140" s="43">
        <f>CashFlow!B140</f>
        <v/>
      </c>
      <c r="C140" s="31">
        <f>CashFlow!AC140</f>
        <v/>
      </c>
      <c r="D140" s="21">
        <f>MAX(0,-C140)</f>
        <v/>
      </c>
      <c r="E140" s="21">
        <f>MAX(0,C140)</f>
        <v/>
      </c>
      <c r="F140" s="21">
        <f>J139</f>
        <v/>
      </c>
      <c r="G140" s="21">
        <f>F140*Assumptions!$B$63/12</f>
        <v/>
      </c>
      <c r="H140" s="21">
        <f>F140+G140+D140</f>
        <v/>
      </c>
      <c r="I140" s="21">
        <f>MIN(E140,H140)</f>
        <v/>
      </c>
      <c r="J140" s="21">
        <f>H140-I140</f>
        <v/>
      </c>
      <c r="K140" s="21">
        <f>Q139</f>
        <v/>
      </c>
      <c r="L140" s="21">
        <f>K140*Assumptions!$B$66/12</f>
        <v/>
      </c>
      <c r="M140" s="21">
        <f>K140+L140+D140</f>
        <v/>
      </c>
      <c r="N140" s="21">
        <f>MIN(MAX(0,E140-I140),MAX(0,M140-I140)/(1-Assumptions!$B$64))</f>
        <v/>
      </c>
      <c r="O140" s="21">
        <f>N140*(1-Assumptions!$B$64)</f>
        <v/>
      </c>
      <c r="P140" s="21">
        <f>N140*Assumptions!$B$64</f>
        <v/>
      </c>
      <c r="Q140" s="21">
        <f>MAX(0,M140-I140-O140)</f>
        <v/>
      </c>
      <c r="R140" s="21">
        <f>MAX(0,E140-I140-N140)</f>
        <v/>
      </c>
      <c r="S140" s="21">
        <f>R140*(1-Assumptions!$B$65)</f>
        <v/>
      </c>
      <c r="T140" s="21">
        <f>R140*Assumptions!$B$65</f>
        <v/>
      </c>
      <c r="U140" s="21">
        <f>I140+O140+S140</f>
        <v/>
      </c>
      <c r="V140" s="21">
        <f>P140+T140</f>
        <v/>
      </c>
      <c r="W140" s="21">
        <f>(1-Assumptions!$B$62)*(U140-D140)</f>
        <v/>
      </c>
      <c r="X140" s="21">
        <f>Assumptions!$B$62*(U140-D140)+V140</f>
        <v/>
      </c>
    </row>
    <row r="141">
      <c r="A141" s="42">
        <f>CashFlow!A141</f>
        <v/>
      </c>
      <c r="B141" s="43">
        <f>CashFlow!B141</f>
        <v/>
      </c>
      <c r="C141" s="31">
        <f>CashFlow!AC141</f>
        <v/>
      </c>
      <c r="D141" s="21">
        <f>MAX(0,-C141)</f>
        <v/>
      </c>
      <c r="E141" s="21">
        <f>MAX(0,C141)</f>
        <v/>
      </c>
      <c r="F141" s="21">
        <f>J140</f>
        <v/>
      </c>
      <c r="G141" s="21">
        <f>F141*Assumptions!$B$63/12</f>
        <v/>
      </c>
      <c r="H141" s="21">
        <f>F141+G141+D141</f>
        <v/>
      </c>
      <c r="I141" s="21">
        <f>MIN(E141,H141)</f>
        <v/>
      </c>
      <c r="J141" s="21">
        <f>H141-I141</f>
        <v/>
      </c>
      <c r="K141" s="21">
        <f>Q140</f>
        <v/>
      </c>
      <c r="L141" s="21">
        <f>K141*Assumptions!$B$66/12</f>
        <v/>
      </c>
      <c r="M141" s="21">
        <f>K141+L141+D141</f>
        <v/>
      </c>
      <c r="N141" s="21">
        <f>MIN(MAX(0,E141-I141),MAX(0,M141-I141)/(1-Assumptions!$B$64))</f>
        <v/>
      </c>
      <c r="O141" s="21">
        <f>N141*(1-Assumptions!$B$64)</f>
        <v/>
      </c>
      <c r="P141" s="21">
        <f>N141*Assumptions!$B$64</f>
        <v/>
      </c>
      <c r="Q141" s="21">
        <f>MAX(0,M141-I141-O141)</f>
        <v/>
      </c>
      <c r="R141" s="21">
        <f>MAX(0,E141-I141-N141)</f>
        <v/>
      </c>
      <c r="S141" s="21">
        <f>R141*(1-Assumptions!$B$65)</f>
        <v/>
      </c>
      <c r="T141" s="21">
        <f>R141*Assumptions!$B$65</f>
        <v/>
      </c>
      <c r="U141" s="21">
        <f>I141+O141+S141</f>
        <v/>
      </c>
      <c r="V141" s="21">
        <f>P141+T141</f>
        <v/>
      </c>
      <c r="W141" s="21">
        <f>(1-Assumptions!$B$62)*(U141-D141)</f>
        <v/>
      </c>
      <c r="X141" s="21">
        <f>Assumptions!$B$62*(U141-D141)+V141</f>
        <v/>
      </c>
    </row>
    <row r="142">
      <c r="A142" s="42">
        <f>CashFlow!A142</f>
        <v/>
      </c>
      <c r="B142" s="43">
        <f>CashFlow!B142</f>
        <v/>
      </c>
      <c r="C142" s="31">
        <f>CashFlow!AC142</f>
        <v/>
      </c>
      <c r="D142" s="21">
        <f>MAX(0,-C142)</f>
        <v/>
      </c>
      <c r="E142" s="21">
        <f>MAX(0,C142)</f>
        <v/>
      </c>
      <c r="F142" s="21">
        <f>J141</f>
        <v/>
      </c>
      <c r="G142" s="21">
        <f>F142*Assumptions!$B$63/12</f>
        <v/>
      </c>
      <c r="H142" s="21">
        <f>F142+G142+D142</f>
        <v/>
      </c>
      <c r="I142" s="21">
        <f>MIN(E142,H142)</f>
        <v/>
      </c>
      <c r="J142" s="21">
        <f>H142-I142</f>
        <v/>
      </c>
      <c r="K142" s="21">
        <f>Q141</f>
        <v/>
      </c>
      <c r="L142" s="21">
        <f>K142*Assumptions!$B$66/12</f>
        <v/>
      </c>
      <c r="M142" s="21">
        <f>K142+L142+D142</f>
        <v/>
      </c>
      <c r="N142" s="21">
        <f>MIN(MAX(0,E142-I142),MAX(0,M142-I142)/(1-Assumptions!$B$64))</f>
        <v/>
      </c>
      <c r="O142" s="21">
        <f>N142*(1-Assumptions!$B$64)</f>
        <v/>
      </c>
      <c r="P142" s="21">
        <f>N142*Assumptions!$B$64</f>
        <v/>
      </c>
      <c r="Q142" s="21">
        <f>MAX(0,M142-I142-O142)</f>
        <v/>
      </c>
      <c r="R142" s="21">
        <f>MAX(0,E142-I142-N142)</f>
        <v/>
      </c>
      <c r="S142" s="21">
        <f>R142*(1-Assumptions!$B$65)</f>
        <v/>
      </c>
      <c r="T142" s="21">
        <f>R142*Assumptions!$B$65</f>
        <v/>
      </c>
      <c r="U142" s="21">
        <f>I142+O142+S142</f>
        <v/>
      </c>
      <c r="V142" s="21">
        <f>P142+T142</f>
        <v/>
      </c>
      <c r="W142" s="21">
        <f>(1-Assumptions!$B$62)*(U142-D142)</f>
        <v/>
      </c>
      <c r="X142" s="21">
        <f>Assumptions!$B$62*(U142-D142)+V142</f>
        <v/>
      </c>
    </row>
    <row r="143">
      <c r="A143" s="42">
        <f>CashFlow!A143</f>
        <v/>
      </c>
      <c r="B143" s="43">
        <f>CashFlow!B143</f>
        <v/>
      </c>
      <c r="C143" s="31">
        <f>CashFlow!AC143</f>
        <v/>
      </c>
      <c r="D143" s="21">
        <f>MAX(0,-C143)</f>
        <v/>
      </c>
      <c r="E143" s="21">
        <f>MAX(0,C143)</f>
        <v/>
      </c>
      <c r="F143" s="21">
        <f>J142</f>
        <v/>
      </c>
      <c r="G143" s="21">
        <f>F143*Assumptions!$B$63/12</f>
        <v/>
      </c>
      <c r="H143" s="21">
        <f>F143+G143+D143</f>
        <v/>
      </c>
      <c r="I143" s="21">
        <f>MIN(E143,H143)</f>
        <v/>
      </c>
      <c r="J143" s="21">
        <f>H143-I143</f>
        <v/>
      </c>
      <c r="K143" s="21">
        <f>Q142</f>
        <v/>
      </c>
      <c r="L143" s="21">
        <f>K143*Assumptions!$B$66/12</f>
        <v/>
      </c>
      <c r="M143" s="21">
        <f>K143+L143+D143</f>
        <v/>
      </c>
      <c r="N143" s="21">
        <f>MIN(MAX(0,E143-I143),MAX(0,M143-I143)/(1-Assumptions!$B$64))</f>
        <v/>
      </c>
      <c r="O143" s="21">
        <f>N143*(1-Assumptions!$B$64)</f>
        <v/>
      </c>
      <c r="P143" s="21">
        <f>N143*Assumptions!$B$64</f>
        <v/>
      </c>
      <c r="Q143" s="21">
        <f>MAX(0,M143-I143-O143)</f>
        <v/>
      </c>
      <c r="R143" s="21">
        <f>MAX(0,E143-I143-N143)</f>
        <v/>
      </c>
      <c r="S143" s="21">
        <f>R143*(1-Assumptions!$B$65)</f>
        <v/>
      </c>
      <c r="T143" s="21">
        <f>R143*Assumptions!$B$65</f>
        <v/>
      </c>
      <c r="U143" s="21">
        <f>I143+O143+S143</f>
        <v/>
      </c>
      <c r="V143" s="21">
        <f>P143+T143</f>
        <v/>
      </c>
      <c r="W143" s="21">
        <f>(1-Assumptions!$B$62)*(U143-D143)</f>
        <v/>
      </c>
      <c r="X143" s="21">
        <f>Assumptions!$B$62*(U143-D143)+V143</f>
        <v/>
      </c>
    </row>
    <row r="144">
      <c r="A144" s="42">
        <f>CashFlow!A144</f>
        <v/>
      </c>
      <c r="B144" s="43">
        <f>CashFlow!B144</f>
        <v/>
      </c>
      <c r="C144" s="31">
        <f>CashFlow!AC144</f>
        <v/>
      </c>
      <c r="D144" s="21">
        <f>MAX(0,-C144)</f>
        <v/>
      </c>
      <c r="E144" s="21">
        <f>MAX(0,C144)</f>
        <v/>
      </c>
      <c r="F144" s="21">
        <f>J143</f>
        <v/>
      </c>
      <c r="G144" s="21">
        <f>F144*Assumptions!$B$63/12</f>
        <v/>
      </c>
      <c r="H144" s="21">
        <f>F144+G144+D144</f>
        <v/>
      </c>
      <c r="I144" s="21">
        <f>MIN(E144,H144)</f>
        <v/>
      </c>
      <c r="J144" s="21">
        <f>H144-I144</f>
        <v/>
      </c>
      <c r="K144" s="21">
        <f>Q143</f>
        <v/>
      </c>
      <c r="L144" s="21">
        <f>K144*Assumptions!$B$66/12</f>
        <v/>
      </c>
      <c r="M144" s="21">
        <f>K144+L144+D144</f>
        <v/>
      </c>
      <c r="N144" s="21">
        <f>MIN(MAX(0,E144-I144),MAX(0,M144-I144)/(1-Assumptions!$B$64))</f>
        <v/>
      </c>
      <c r="O144" s="21">
        <f>N144*(1-Assumptions!$B$64)</f>
        <v/>
      </c>
      <c r="P144" s="21">
        <f>N144*Assumptions!$B$64</f>
        <v/>
      </c>
      <c r="Q144" s="21">
        <f>MAX(0,M144-I144-O144)</f>
        <v/>
      </c>
      <c r="R144" s="21">
        <f>MAX(0,E144-I144-N144)</f>
        <v/>
      </c>
      <c r="S144" s="21">
        <f>R144*(1-Assumptions!$B$65)</f>
        <v/>
      </c>
      <c r="T144" s="21">
        <f>R144*Assumptions!$B$65</f>
        <v/>
      </c>
      <c r="U144" s="21">
        <f>I144+O144+S144</f>
        <v/>
      </c>
      <c r="V144" s="21">
        <f>P144+T144</f>
        <v/>
      </c>
      <c r="W144" s="21">
        <f>(1-Assumptions!$B$62)*(U144-D144)</f>
        <v/>
      </c>
      <c r="X144" s="21">
        <f>Assumptions!$B$62*(U144-D144)+V144</f>
        <v/>
      </c>
    </row>
    <row r="145">
      <c r="A145" s="42">
        <f>CashFlow!A145</f>
        <v/>
      </c>
      <c r="B145" s="43">
        <f>CashFlow!B145</f>
        <v/>
      </c>
      <c r="C145" s="31">
        <f>CashFlow!AC145</f>
        <v/>
      </c>
      <c r="D145" s="21">
        <f>MAX(0,-C145)</f>
        <v/>
      </c>
      <c r="E145" s="21">
        <f>MAX(0,C145)</f>
        <v/>
      </c>
      <c r="F145" s="21">
        <f>J144</f>
        <v/>
      </c>
      <c r="G145" s="21">
        <f>F145*Assumptions!$B$63/12</f>
        <v/>
      </c>
      <c r="H145" s="21">
        <f>F145+G145+D145</f>
        <v/>
      </c>
      <c r="I145" s="21">
        <f>MIN(E145,H145)</f>
        <v/>
      </c>
      <c r="J145" s="21">
        <f>H145-I145</f>
        <v/>
      </c>
      <c r="K145" s="21">
        <f>Q144</f>
        <v/>
      </c>
      <c r="L145" s="21">
        <f>K145*Assumptions!$B$66/12</f>
        <v/>
      </c>
      <c r="M145" s="21">
        <f>K145+L145+D145</f>
        <v/>
      </c>
      <c r="N145" s="21">
        <f>MIN(MAX(0,E145-I145),MAX(0,M145-I145)/(1-Assumptions!$B$64))</f>
        <v/>
      </c>
      <c r="O145" s="21">
        <f>N145*(1-Assumptions!$B$64)</f>
        <v/>
      </c>
      <c r="P145" s="21">
        <f>N145*Assumptions!$B$64</f>
        <v/>
      </c>
      <c r="Q145" s="21">
        <f>MAX(0,M145-I145-O145)</f>
        <v/>
      </c>
      <c r="R145" s="21">
        <f>MAX(0,E145-I145-N145)</f>
        <v/>
      </c>
      <c r="S145" s="21">
        <f>R145*(1-Assumptions!$B$65)</f>
        <v/>
      </c>
      <c r="T145" s="21">
        <f>R145*Assumptions!$B$65</f>
        <v/>
      </c>
      <c r="U145" s="21">
        <f>I145+O145+S145</f>
        <v/>
      </c>
      <c r="V145" s="21">
        <f>P145+T145</f>
        <v/>
      </c>
      <c r="W145" s="21">
        <f>(1-Assumptions!$B$62)*(U145-D145)</f>
        <v/>
      </c>
      <c r="X145" s="21">
        <f>Assumptions!$B$62*(U145-D145)+V145</f>
        <v/>
      </c>
    </row>
    <row r="146">
      <c r="A146" s="42">
        <f>CashFlow!A146</f>
        <v/>
      </c>
      <c r="B146" s="43">
        <f>CashFlow!B146</f>
        <v/>
      </c>
      <c r="C146" s="31">
        <f>CashFlow!AC146</f>
        <v/>
      </c>
      <c r="D146" s="21">
        <f>MAX(0,-C146)</f>
        <v/>
      </c>
      <c r="E146" s="21">
        <f>MAX(0,C146)</f>
        <v/>
      </c>
      <c r="F146" s="21">
        <f>J145</f>
        <v/>
      </c>
      <c r="G146" s="21">
        <f>F146*Assumptions!$B$63/12</f>
        <v/>
      </c>
      <c r="H146" s="21">
        <f>F146+G146+D146</f>
        <v/>
      </c>
      <c r="I146" s="21">
        <f>MIN(E146,H146)</f>
        <v/>
      </c>
      <c r="J146" s="21">
        <f>H146-I146</f>
        <v/>
      </c>
      <c r="K146" s="21">
        <f>Q145</f>
        <v/>
      </c>
      <c r="L146" s="21">
        <f>K146*Assumptions!$B$66/12</f>
        <v/>
      </c>
      <c r="M146" s="21">
        <f>K146+L146+D146</f>
        <v/>
      </c>
      <c r="N146" s="21">
        <f>MIN(MAX(0,E146-I146),MAX(0,M146-I146)/(1-Assumptions!$B$64))</f>
        <v/>
      </c>
      <c r="O146" s="21">
        <f>N146*(1-Assumptions!$B$64)</f>
        <v/>
      </c>
      <c r="P146" s="21">
        <f>N146*Assumptions!$B$64</f>
        <v/>
      </c>
      <c r="Q146" s="21">
        <f>MAX(0,M146-I146-O146)</f>
        <v/>
      </c>
      <c r="R146" s="21">
        <f>MAX(0,E146-I146-N146)</f>
        <v/>
      </c>
      <c r="S146" s="21">
        <f>R146*(1-Assumptions!$B$65)</f>
        <v/>
      </c>
      <c r="T146" s="21">
        <f>R146*Assumptions!$B$65</f>
        <v/>
      </c>
      <c r="U146" s="21">
        <f>I146+O146+S146</f>
        <v/>
      </c>
      <c r="V146" s="21">
        <f>P146+T146</f>
        <v/>
      </c>
      <c r="W146" s="21">
        <f>(1-Assumptions!$B$62)*(U146-D146)</f>
        <v/>
      </c>
      <c r="X146" s="21">
        <f>Assumptions!$B$62*(U146-D146)+V146</f>
        <v/>
      </c>
    </row>
    <row r="147">
      <c r="A147" s="42">
        <f>CashFlow!A147</f>
        <v/>
      </c>
      <c r="B147" s="43">
        <f>CashFlow!B147</f>
        <v/>
      </c>
      <c r="C147" s="31">
        <f>CashFlow!AC147</f>
        <v/>
      </c>
      <c r="D147" s="21">
        <f>MAX(0,-C147)</f>
        <v/>
      </c>
      <c r="E147" s="21">
        <f>MAX(0,C147)</f>
        <v/>
      </c>
      <c r="F147" s="21">
        <f>J146</f>
        <v/>
      </c>
      <c r="G147" s="21">
        <f>F147*Assumptions!$B$63/12</f>
        <v/>
      </c>
      <c r="H147" s="21">
        <f>F147+G147+D147</f>
        <v/>
      </c>
      <c r="I147" s="21">
        <f>MIN(E147,H147)</f>
        <v/>
      </c>
      <c r="J147" s="21">
        <f>H147-I147</f>
        <v/>
      </c>
      <c r="K147" s="21">
        <f>Q146</f>
        <v/>
      </c>
      <c r="L147" s="21">
        <f>K147*Assumptions!$B$66/12</f>
        <v/>
      </c>
      <c r="M147" s="21">
        <f>K147+L147+D147</f>
        <v/>
      </c>
      <c r="N147" s="21">
        <f>MIN(MAX(0,E147-I147),MAX(0,M147-I147)/(1-Assumptions!$B$64))</f>
        <v/>
      </c>
      <c r="O147" s="21">
        <f>N147*(1-Assumptions!$B$64)</f>
        <v/>
      </c>
      <c r="P147" s="21">
        <f>N147*Assumptions!$B$64</f>
        <v/>
      </c>
      <c r="Q147" s="21">
        <f>MAX(0,M147-I147-O147)</f>
        <v/>
      </c>
      <c r="R147" s="21">
        <f>MAX(0,E147-I147-N147)</f>
        <v/>
      </c>
      <c r="S147" s="21">
        <f>R147*(1-Assumptions!$B$65)</f>
        <v/>
      </c>
      <c r="T147" s="21">
        <f>R147*Assumptions!$B$65</f>
        <v/>
      </c>
      <c r="U147" s="21">
        <f>I147+O147+S147</f>
        <v/>
      </c>
      <c r="V147" s="21">
        <f>P147+T147</f>
        <v/>
      </c>
      <c r="W147" s="21">
        <f>(1-Assumptions!$B$62)*(U147-D147)</f>
        <v/>
      </c>
      <c r="X147" s="21">
        <f>Assumptions!$B$62*(U147-D147)+V147</f>
        <v/>
      </c>
    </row>
    <row r="148">
      <c r="A148" s="42">
        <f>CashFlow!A148</f>
        <v/>
      </c>
      <c r="B148" s="43">
        <f>CashFlow!B148</f>
        <v/>
      </c>
      <c r="C148" s="31">
        <f>CashFlow!AC148</f>
        <v/>
      </c>
      <c r="D148" s="21">
        <f>MAX(0,-C148)</f>
        <v/>
      </c>
      <c r="E148" s="21">
        <f>MAX(0,C148)</f>
        <v/>
      </c>
      <c r="F148" s="21">
        <f>J147</f>
        <v/>
      </c>
      <c r="G148" s="21">
        <f>F148*Assumptions!$B$63/12</f>
        <v/>
      </c>
      <c r="H148" s="21">
        <f>F148+G148+D148</f>
        <v/>
      </c>
      <c r="I148" s="21">
        <f>MIN(E148,H148)</f>
        <v/>
      </c>
      <c r="J148" s="21">
        <f>H148-I148</f>
        <v/>
      </c>
      <c r="K148" s="21">
        <f>Q147</f>
        <v/>
      </c>
      <c r="L148" s="21">
        <f>K148*Assumptions!$B$66/12</f>
        <v/>
      </c>
      <c r="M148" s="21">
        <f>K148+L148+D148</f>
        <v/>
      </c>
      <c r="N148" s="21">
        <f>MIN(MAX(0,E148-I148),MAX(0,M148-I148)/(1-Assumptions!$B$64))</f>
        <v/>
      </c>
      <c r="O148" s="21">
        <f>N148*(1-Assumptions!$B$64)</f>
        <v/>
      </c>
      <c r="P148" s="21">
        <f>N148*Assumptions!$B$64</f>
        <v/>
      </c>
      <c r="Q148" s="21">
        <f>MAX(0,M148-I148-O148)</f>
        <v/>
      </c>
      <c r="R148" s="21">
        <f>MAX(0,E148-I148-N148)</f>
        <v/>
      </c>
      <c r="S148" s="21">
        <f>R148*(1-Assumptions!$B$65)</f>
        <v/>
      </c>
      <c r="T148" s="21">
        <f>R148*Assumptions!$B$65</f>
        <v/>
      </c>
      <c r="U148" s="21">
        <f>I148+O148+S148</f>
        <v/>
      </c>
      <c r="V148" s="21">
        <f>P148+T148</f>
        <v/>
      </c>
      <c r="W148" s="21">
        <f>(1-Assumptions!$B$62)*(U148-D148)</f>
        <v/>
      </c>
      <c r="X148" s="21">
        <f>Assumptions!$B$62*(U148-D148)+V148</f>
        <v/>
      </c>
    </row>
    <row r="149">
      <c r="A149" s="42">
        <f>CashFlow!A149</f>
        <v/>
      </c>
      <c r="B149" s="43">
        <f>CashFlow!B149</f>
        <v/>
      </c>
      <c r="C149" s="31">
        <f>CashFlow!AC149</f>
        <v/>
      </c>
      <c r="D149" s="21">
        <f>MAX(0,-C149)</f>
        <v/>
      </c>
      <c r="E149" s="21">
        <f>MAX(0,C149)</f>
        <v/>
      </c>
      <c r="F149" s="21">
        <f>J148</f>
        <v/>
      </c>
      <c r="G149" s="21">
        <f>F149*Assumptions!$B$63/12</f>
        <v/>
      </c>
      <c r="H149" s="21">
        <f>F149+G149+D149</f>
        <v/>
      </c>
      <c r="I149" s="21">
        <f>MIN(E149,H149)</f>
        <v/>
      </c>
      <c r="J149" s="21">
        <f>H149-I149</f>
        <v/>
      </c>
      <c r="K149" s="21">
        <f>Q148</f>
        <v/>
      </c>
      <c r="L149" s="21">
        <f>K149*Assumptions!$B$66/12</f>
        <v/>
      </c>
      <c r="M149" s="21">
        <f>K149+L149+D149</f>
        <v/>
      </c>
      <c r="N149" s="21">
        <f>MIN(MAX(0,E149-I149),MAX(0,M149-I149)/(1-Assumptions!$B$64))</f>
        <v/>
      </c>
      <c r="O149" s="21">
        <f>N149*(1-Assumptions!$B$64)</f>
        <v/>
      </c>
      <c r="P149" s="21">
        <f>N149*Assumptions!$B$64</f>
        <v/>
      </c>
      <c r="Q149" s="21">
        <f>MAX(0,M149-I149-O149)</f>
        <v/>
      </c>
      <c r="R149" s="21">
        <f>MAX(0,E149-I149-N149)</f>
        <v/>
      </c>
      <c r="S149" s="21">
        <f>R149*(1-Assumptions!$B$65)</f>
        <v/>
      </c>
      <c r="T149" s="21">
        <f>R149*Assumptions!$B$65</f>
        <v/>
      </c>
      <c r="U149" s="21">
        <f>I149+O149+S149</f>
        <v/>
      </c>
      <c r="V149" s="21">
        <f>P149+T149</f>
        <v/>
      </c>
      <c r="W149" s="21">
        <f>(1-Assumptions!$B$62)*(U149-D149)</f>
        <v/>
      </c>
      <c r="X149" s="21">
        <f>Assumptions!$B$62*(U149-D149)+V149</f>
        <v/>
      </c>
    </row>
    <row r="150">
      <c r="A150" s="42">
        <f>CashFlow!A150</f>
        <v/>
      </c>
      <c r="B150" s="43">
        <f>CashFlow!B150</f>
        <v/>
      </c>
      <c r="C150" s="31">
        <f>CashFlow!AC150</f>
        <v/>
      </c>
      <c r="D150" s="21">
        <f>MAX(0,-C150)</f>
        <v/>
      </c>
      <c r="E150" s="21">
        <f>MAX(0,C150)</f>
        <v/>
      </c>
      <c r="F150" s="21">
        <f>J149</f>
        <v/>
      </c>
      <c r="G150" s="21">
        <f>F150*Assumptions!$B$63/12</f>
        <v/>
      </c>
      <c r="H150" s="21">
        <f>F150+G150+D150</f>
        <v/>
      </c>
      <c r="I150" s="21">
        <f>MIN(E150,H150)</f>
        <v/>
      </c>
      <c r="J150" s="21">
        <f>H150-I150</f>
        <v/>
      </c>
      <c r="K150" s="21">
        <f>Q149</f>
        <v/>
      </c>
      <c r="L150" s="21">
        <f>K150*Assumptions!$B$66/12</f>
        <v/>
      </c>
      <c r="M150" s="21">
        <f>K150+L150+D150</f>
        <v/>
      </c>
      <c r="N150" s="21">
        <f>MIN(MAX(0,E150-I150),MAX(0,M150-I150)/(1-Assumptions!$B$64))</f>
        <v/>
      </c>
      <c r="O150" s="21">
        <f>N150*(1-Assumptions!$B$64)</f>
        <v/>
      </c>
      <c r="P150" s="21">
        <f>N150*Assumptions!$B$64</f>
        <v/>
      </c>
      <c r="Q150" s="21">
        <f>MAX(0,M150-I150-O150)</f>
        <v/>
      </c>
      <c r="R150" s="21">
        <f>MAX(0,E150-I150-N150)</f>
        <v/>
      </c>
      <c r="S150" s="21">
        <f>R150*(1-Assumptions!$B$65)</f>
        <v/>
      </c>
      <c r="T150" s="21">
        <f>R150*Assumptions!$B$65</f>
        <v/>
      </c>
      <c r="U150" s="21">
        <f>I150+O150+S150</f>
        <v/>
      </c>
      <c r="V150" s="21">
        <f>P150+T150</f>
        <v/>
      </c>
      <c r="W150" s="21">
        <f>(1-Assumptions!$B$62)*(U150-D150)</f>
        <v/>
      </c>
      <c r="X150" s="21">
        <f>Assumptions!$B$62*(U150-D150)+V150</f>
        <v/>
      </c>
    </row>
    <row r="151">
      <c r="A151" s="42">
        <f>CashFlow!A151</f>
        <v/>
      </c>
      <c r="B151" s="43">
        <f>CashFlow!B151</f>
        <v/>
      </c>
      <c r="C151" s="31">
        <f>CashFlow!AC151</f>
        <v/>
      </c>
      <c r="D151" s="21">
        <f>MAX(0,-C151)</f>
        <v/>
      </c>
      <c r="E151" s="21">
        <f>MAX(0,C151)</f>
        <v/>
      </c>
      <c r="F151" s="21">
        <f>J150</f>
        <v/>
      </c>
      <c r="G151" s="21">
        <f>F151*Assumptions!$B$63/12</f>
        <v/>
      </c>
      <c r="H151" s="21">
        <f>F151+G151+D151</f>
        <v/>
      </c>
      <c r="I151" s="21">
        <f>MIN(E151,H151)</f>
        <v/>
      </c>
      <c r="J151" s="21">
        <f>H151-I151</f>
        <v/>
      </c>
      <c r="K151" s="21">
        <f>Q150</f>
        <v/>
      </c>
      <c r="L151" s="21">
        <f>K151*Assumptions!$B$66/12</f>
        <v/>
      </c>
      <c r="M151" s="21">
        <f>K151+L151+D151</f>
        <v/>
      </c>
      <c r="N151" s="21">
        <f>MIN(MAX(0,E151-I151),MAX(0,M151-I151)/(1-Assumptions!$B$64))</f>
        <v/>
      </c>
      <c r="O151" s="21">
        <f>N151*(1-Assumptions!$B$64)</f>
        <v/>
      </c>
      <c r="P151" s="21">
        <f>N151*Assumptions!$B$64</f>
        <v/>
      </c>
      <c r="Q151" s="21">
        <f>MAX(0,M151-I151-O151)</f>
        <v/>
      </c>
      <c r="R151" s="21">
        <f>MAX(0,E151-I151-N151)</f>
        <v/>
      </c>
      <c r="S151" s="21">
        <f>R151*(1-Assumptions!$B$65)</f>
        <v/>
      </c>
      <c r="T151" s="21">
        <f>R151*Assumptions!$B$65</f>
        <v/>
      </c>
      <c r="U151" s="21">
        <f>I151+O151+S151</f>
        <v/>
      </c>
      <c r="V151" s="21">
        <f>P151+T151</f>
        <v/>
      </c>
      <c r="W151" s="21">
        <f>(1-Assumptions!$B$62)*(U151-D151)</f>
        <v/>
      </c>
      <c r="X151" s="21">
        <f>Assumptions!$B$62*(U151-D151)+V151</f>
        <v/>
      </c>
    </row>
    <row r="152">
      <c r="A152" s="42">
        <f>CashFlow!A152</f>
        <v/>
      </c>
      <c r="B152" s="43">
        <f>CashFlow!B152</f>
        <v/>
      </c>
      <c r="C152" s="31">
        <f>CashFlow!AC152</f>
        <v/>
      </c>
      <c r="D152" s="21">
        <f>MAX(0,-C152)</f>
        <v/>
      </c>
      <c r="E152" s="21">
        <f>MAX(0,C152)</f>
        <v/>
      </c>
      <c r="F152" s="21">
        <f>J151</f>
        <v/>
      </c>
      <c r="G152" s="21">
        <f>F152*Assumptions!$B$63/12</f>
        <v/>
      </c>
      <c r="H152" s="21">
        <f>F152+G152+D152</f>
        <v/>
      </c>
      <c r="I152" s="21">
        <f>MIN(E152,H152)</f>
        <v/>
      </c>
      <c r="J152" s="21">
        <f>H152-I152</f>
        <v/>
      </c>
      <c r="K152" s="21">
        <f>Q151</f>
        <v/>
      </c>
      <c r="L152" s="21">
        <f>K152*Assumptions!$B$66/12</f>
        <v/>
      </c>
      <c r="M152" s="21">
        <f>K152+L152+D152</f>
        <v/>
      </c>
      <c r="N152" s="21">
        <f>MIN(MAX(0,E152-I152),MAX(0,M152-I152)/(1-Assumptions!$B$64))</f>
        <v/>
      </c>
      <c r="O152" s="21">
        <f>N152*(1-Assumptions!$B$64)</f>
        <v/>
      </c>
      <c r="P152" s="21">
        <f>N152*Assumptions!$B$64</f>
        <v/>
      </c>
      <c r="Q152" s="21">
        <f>MAX(0,M152-I152-O152)</f>
        <v/>
      </c>
      <c r="R152" s="21">
        <f>MAX(0,E152-I152-N152)</f>
        <v/>
      </c>
      <c r="S152" s="21">
        <f>R152*(1-Assumptions!$B$65)</f>
        <v/>
      </c>
      <c r="T152" s="21">
        <f>R152*Assumptions!$B$65</f>
        <v/>
      </c>
      <c r="U152" s="21">
        <f>I152+O152+S152</f>
        <v/>
      </c>
      <c r="V152" s="21">
        <f>P152+T152</f>
        <v/>
      </c>
      <c r="W152" s="21">
        <f>(1-Assumptions!$B$62)*(U152-D152)</f>
        <v/>
      </c>
      <c r="X152" s="21">
        <f>Assumptions!$B$62*(U152-D152)+V152</f>
        <v/>
      </c>
    </row>
    <row r="153">
      <c r="A153" s="42">
        <f>CashFlow!A153</f>
        <v/>
      </c>
      <c r="B153" s="43">
        <f>CashFlow!B153</f>
        <v/>
      </c>
      <c r="C153" s="31">
        <f>CashFlow!AC153</f>
        <v/>
      </c>
      <c r="D153" s="21">
        <f>MAX(0,-C153)</f>
        <v/>
      </c>
      <c r="E153" s="21">
        <f>MAX(0,C153)</f>
        <v/>
      </c>
      <c r="F153" s="21">
        <f>J152</f>
        <v/>
      </c>
      <c r="G153" s="21">
        <f>F153*Assumptions!$B$63/12</f>
        <v/>
      </c>
      <c r="H153" s="21">
        <f>F153+G153+D153</f>
        <v/>
      </c>
      <c r="I153" s="21">
        <f>MIN(E153,H153)</f>
        <v/>
      </c>
      <c r="J153" s="21">
        <f>H153-I153</f>
        <v/>
      </c>
      <c r="K153" s="21">
        <f>Q152</f>
        <v/>
      </c>
      <c r="L153" s="21">
        <f>K153*Assumptions!$B$66/12</f>
        <v/>
      </c>
      <c r="M153" s="21">
        <f>K153+L153+D153</f>
        <v/>
      </c>
      <c r="N153" s="21">
        <f>MIN(MAX(0,E153-I153),MAX(0,M153-I153)/(1-Assumptions!$B$64))</f>
        <v/>
      </c>
      <c r="O153" s="21">
        <f>N153*(1-Assumptions!$B$64)</f>
        <v/>
      </c>
      <c r="P153" s="21">
        <f>N153*Assumptions!$B$64</f>
        <v/>
      </c>
      <c r="Q153" s="21">
        <f>MAX(0,M153-I153-O153)</f>
        <v/>
      </c>
      <c r="R153" s="21">
        <f>MAX(0,E153-I153-N153)</f>
        <v/>
      </c>
      <c r="S153" s="21">
        <f>R153*(1-Assumptions!$B$65)</f>
        <v/>
      </c>
      <c r="T153" s="21">
        <f>R153*Assumptions!$B$65</f>
        <v/>
      </c>
      <c r="U153" s="21">
        <f>I153+O153+S153</f>
        <v/>
      </c>
      <c r="V153" s="21">
        <f>P153+T153</f>
        <v/>
      </c>
      <c r="W153" s="21">
        <f>(1-Assumptions!$B$62)*(U153-D153)</f>
        <v/>
      </c>
      <c r="X153" s="21">
        <f>Assumptions!$B$62*(U153-D153)+V153</f>
        <v/>
      </c>
    </row>
    <row r="154">
      <c r="A154" s="42">
        <f>CashFlow!A154</f>
        <v/>
      </c>
      <c r="B154" s="43">
        <f>CashFlow!B154</f>
        <v/>
      </c>
      <c r="C154" s="31">
        <f>CashFlow!AC154</f>
        <v/>
      </c>
      <c r="D154" s="21">
        <f>MAX(0,-C154)</f>
        <v/>
      </c>
      <c r="E154" s="21">
        <f>MAX(0,C154)</f>
        <v/>
      </c>
      <c r="F154" s="21">
        <f>J153</f>
        <v/>
      </c>
      <c r="G154" s="21">
        <f>F154*Assumptions!$B$63/12</f>
        <v/>
      </c>
      <c r="H154" s="21">
        <f>F154+G154+D154</f>
        <v/>
      </c>
      <c r="I154" s="21">
        <f>MIN(E154,H154)</f>
        <v/>
      </c>
      <c r="J154" s="21">
        <f>H154-I154</f>
        <v/>
      </c>
      <c r="K154" s="21">
        <f>Q153</f>
        <v/>
      </c>
      <c r="L154" s="21">
        <f>K154*Assumptions!$B$66/12</f>
        <v/>
      </c>
      <c r="M154" s="21">
        <f>K154+L154+D154</f>
        <v/>
      </c>
      <c r="N154" s="21">
        <f>MIN(MAX(0,E154-I154),MAX(0,M154-I154)/(1-Assumptions!$B$64))</f>
        <v/>
      </c>
      <c r="O154" s="21">
        <f>N154*(1-Assumptions!$B$64)</f>
        <v/>
      </c>
      <c r="P154" s="21">
        <f>N154*Assumptions!$B$64</f>
        <v/>
      </c>
      <c r="Q154" s="21">
        <f>MAX(0,M154-I154-O154)</f>
        <v/>
      </c>
      <c r="R154" s="21">
        <f>MAX(0,E154-I154-N154)</f>
        <v/>
      </c>
      <c r="S154" s="21">
        <f>R154*(1-Assumptions!$B$65)</f>
        <v/>
      </c>
      <c r="T154" s="21">
        <f>R154*Assumptions!$B$65</f>
        <v/>
      </c>
      <c r="U154" s="21">
        <f>I154+O154+S154</f>
        <v/>
      </c>
      <c r="V154" s="21">
        <f>P154+T154</f>
        <v/>
      </c>
      <c r="W154" s="21">
        <f>(1-Assumptions!$B$62)*(U154-D154)</f>
        <v/>
      </c>
      <c r="X154" s="21">
        <f>Assumptions!$B$62*(U154-D154)+V154</f>
        <v/>
      </c>
    </row>
    <row r="155">
      <c r="A155" s="42">
        <f>CashFlow!A155</f>
        <v/>
      </c>
      <c r="B155" s="43">
        <f>CashFlow!B155</f>
        <v/>
      </c>
      <c r="C155" s="31">
        <f>CashFlow!AC155</f>
        <v/>
      </c>
      <c r="D155" s="21">
        <f>MAX(0,-C155)</f>
        <v/>
      </c>
      <c r="E155" s="21">
        <f>MAX(0,C155)</f>
        <v/>
      </c>
      <c r="F155" s="21">
        <f>J154</f>
        <v/>
      </c>
      <c r="G155" s="21">
        <f>F155*Assumptions!$B$63/12</f>
        <v/>
      </c>
      <c r="H155" s="21">
        <f>F155+G155+D155</f>
        <v/>
      </c>
      <c r="I155" s="21">
        <f>MIN(E155,H155)</f>
        <v/>
      </c>
      <c r="J155" s="21">
        <f>H155-I155</f>
        <v/>
      </c>
      <c r="K155" s="21">
        <f>Q154</f>
        <v/>
      </c>
      <c r="L155" s="21">
        <f>K155*Assumptions!$B$66/12</f>
        <v/>
      </c>
      <c r="M155" s="21">
        <f>K155+L155+D155</f>
        <v/>
      </c>
      <c r="N155" s="21">
        <f>MIN(MAX(0,E155-I155),MAX(0,M155-I155)/(1-Assumptions!$B$64))</f>
        <v/>
      </c>
      <c r="O155" s="21">
        <f>N155*(1-Assumptions!$B$64)</f>
        <v/>
      </c>
      <c r="P155" s="21">
        <f>N155*Assumptions!$B$64</f>
        <v/>
      </c>
      <c r="Q155" s="21">
        <f>MAX(0,M155-I155-O155)</f>
        <v/>
      </c>
      <c r="R155" s="21">
        <f>MAX(0,E155-I155-N155)</f>
        <v/>
      </c>
      <c r="S155" s="21">
        <f>R155*(1-Assumptions!$B$65)</f>
        <v/>
      </c>
      <c r="T155" s="21">
        <f>R155*Assumptions!$B$65</f>
        <v/>
      </c>
      <c r="U155" s="21">
        <f>I155+O155+S155</f>
        <v/>
      </c>
      <c r="V155" s="21">
        <f>P155+T155</f>
        <v/>
      </c>
      <c r="W155" s="21">
        <f>(1-Assumptions!$B$62)*(U155-D155)</f>
        <v/>
      </c>
      <c r="X155" s="21">
        <f>Assumptions!$B$62*(U155-D155)+V155</f>
        <v/>
      </c>
    </row>
    <row r="156">
      <c r="A156" s="42">
        <f>CashFlow!A156</f>
        <v/>
      </c>
      <c r="B156" s="43">
        <f>CashFlow!B156</f>
        <v/>
      </c>
      <c r="C156" s="31">
        <f>CashFlow!AC156</f>
        <v/>
      </c>
      <c r="D156" s="21">
        <f>MAX(0,-C156)</f>
        <v/>
      </c>
      <c r="E156" s="21">
        <f>MAX(0,C156)</f>
        <v/>
      </c>
      <c r="F156" s="21">
        <f>J155</f>
        <v/>
      </c>
      <c r="G156" s="21">
        <f>F156*Assumptions!$B$63/12</f>
        <v/>
      </c>
      <c r="H156" s="21">
        <f>F156+G156+D156</f>
        <v/>
      </c>
      <c r="I156" s="21">
        <f>MIN(E156,H156)</f>
        <v/>
      </c>
      <c r="J156" s="21">
        <f>H156-I156</f>
        <v/>
      </c>
      <c r="K156" s="21">
        <f>Q155</f>
        <v/>
      </c>
      <c r="L156" s="21">
        <f>K156*Assumptions!$B$66/12</f>
        <v/>
      </c>
      <c r="M156" s="21">
        <f>K156+L156+D156</f>
        <v/>
      </c>
      <c r="N156" s="21">
        <f>MIN(MAX(0,E156-I156),MAX(0,M156-I156)/(1-Assumptions!$B$64))</f>
        <v/>
      </c>
      <c r="O156" s="21">
        <f>N156*(1-Assumptions!$B$64)</f>
        <v/>
      </c>
      <c r="P156" s="21">
        <f>N156*Assumptions!$B$64</f>
        <v/>
      </c>
      <c r="Q156" s="21">
        <f>MAX(0,M156-I156-O156)</f>
        <v/>
      </c>
      <c r="R156" s="21">
        <f>MAX(0,E156-I156-N156)</f>
        <v/>
      </c>
      <c r="S156" s="21">
        <f>R156*(1-Assumptions!$B$65)</f>
        <v/>
      </c>
      <c r="T156" s="21">
        <f>R156*Assumptions!$B$65</f>
        <v/>
      </c>
      <c r="U156" s="21">
        <f>I156+O156+S156</f>
        <v/>
      </c>
      <c r="V156" s="21">
        <f>P156+T156</f>
        <v/>
      </c>
      <c r="W156" s="21">
        <f>(1-Assumptions!$B$62)*(U156-D156)</f>
        <v/>
      </c>
      <c r="X156" s="21">
        <f>Assumptions!$B$62*(U156-D156)+V156</f>
        <v/>
      </c>
    </row>
    <row r="157">
      <c r="A157" s="42">
        <f>CashFlow!A157</f>
        <v/>
      </c>
      <c r="B157" s="43">
        <f>CashFlow!B157</f>
        <v/>
      </c>
      <c r="C157" s="31">
        <f>CashFlow!AC157</f>
        <v/>
      </c>
      <c r="D157" s="21">
        <f>MAX(0,-C157)</f>
        <v/>
      </c>
      <c r="E157" s="21">
        <f>MAX(0,C157)</f>
        <v/>
      </c>
      <c r="F157" s="21">
        <f>J156</f>
        <v/>
      </c>
      <c r="G157" s="21">
        <f>F157*Assumptions!$B$63/12</f>
        <v/>
      </c>
      <c r="H157" s="21">
        <f>F157+G157+D157</f>
        <v/>
      </c>
      <c r="I157" s="21">
        <f>MIN(E157,H157)</f>
        <v/>
      </c>
      <c r="J157" s="21">
        <f>H157-I157</f>
        <v/>
      </c>
      <c r="K157" s="21">
        <f>Q156</f>
        <v/>
      </c>
      <c r="L157" s="21">
        <f>K157*Assumptions!$B$66/12</f>
        <v/>
      </c>
      <c r="M157" s="21">
        <f>K157+L157+D157</f>
        <v/>
      </c>
      <c r="N157" s="21">
        <f>MIN(MAX(0,E157-I157),MAX(0,M157-I157)/(1-Assumptions!$B$64))</f>
        <v/>
      </c>
      <c r="O157" s="21">
        <f>N157*(1-Assumptions!$B$64)</f>
        <v/>
      </c>
      <c r="P157" s="21">
        <f>N157*Assumptions!$B$64</f>
        <v/>
      </c>
      <c r="Q157" s="21">
        <f>MAX(0,M157-I157-O157)</f>
        <v/>
      </c>
      <c r="R157" s="21">
        <f>MAX(0,E157-I157-N157)</f>
        <v/>
      </c>
      <c r="S157" s="21">
        <f>R157*(1-Assumptions!$B$65)</f>
        <v/>
      </c>
      <c r="T157" s="21">
        <f>R157*Assumptions!$B$65</f>
        <v/>
      </c>
      <c r="U157" s="21">
        <f>I157+O157+S157</f>
        <v/>
      </c>
      <c r="V157" s="21">
        <f>P157+T157</f>
        <v/>
      </c>
      <c r="W157" s="21">
        <f>(1-Assumptions!$B$62)*(U157-D157)</f>
        <v/>
      </c>
      <c r="X157" s="21">
        <f>Assumptions!$B$62*(U157-D157)+V157</f>
        <v/>
      </c>
    </row>
    <row r="158">
      <c r="A158" s="42">
        <f>CashFlow!A158</f>
        <v/>
      </c>
      <c r="B158" s="43">
        <f>CashFlow!B158</f>
        <v/>
      </c>
      <c r="C158" s="31">
        <f>CashFlow!AC158</f>
        <v/>
      </c>
      <c r="D158" s="21">
        <f>MAX(0,-C158)</f>
        <v/>
      </c>
      <c r="E158" s="21">
        <f>MAX(0,C158)</f>
        <v/>
      </c>
      <c r="F158" s="21">
        <f>J157</f>
        <v/>
      </c>
      <c r="G158" s="21">
        <f>F158*Assumptions!$B$63/12</f>
        <v/>
      </c>
      <c r="H158" s="21">
        <f>F158+G158+D158</f>
        <v/>
      </c>
      <c r="I158" s="21">
        <f>MIN(E158,H158)</f>
        <v/>
      </c>
      <c r="J158" s="21">
        <f>H158-I158</f>
        <v/>
      </c>
      <c r="K158" s="21">
        <f>Q157</f>
        <v/>
      </c>
      <c r="L158" s="21">
        <f>K158*Assumptions!$B$66/12</f>
        <v/>
      </c>
      <c r="M158" s="21">
        <f>K158+L158+D158</f>
        <v/>
      </c>
      <c r="N158" s="21">
        <f>MIN(MAX(0,E158-I158),MAX(0,M158-I158)/(1-Assumptions!$B$64))</f>
        <v/>
      </c>
      <c r="O158" s="21">
        <f>N158*(1-Assumptions!$B$64)</f>
        <v/>
      </c>
      <c r="P158" s="21">
        <f>N158*Assumptions!$B$64</f>
        <v/>
      </c>
      <c r="Q158" s="21">
        <f>MAX(0,M158-I158-O158)</f>
        <v/>
      </c>
      <c r="R158" s="21">
        <f>MAX(0,E158-I158-N158)</f>
        <v/>
      </c>
      <c r="S158" s="21">
        <f>R158*(1-Assumptions!$B$65)</f>
        <v/>
      </c>
      <c r="T158" s="21">
        <f>R158*Assumptions!$B$65</f>
        <v/>
      </c>
      <c r="U158" s="21">
        <f>I158+O158+S158</f>
        <v/>
      </c>
      <c r="V158" s="21">
        <f>P158+T158</f>
        <v/>
      </c>
      <c r="W158" s="21">
        <f>(1-Assumptions!$B$62)*(U158-D158)</f>
        <v/>
      </c>
      <c r="X158" s="21">
        <f>Assumptions!$B$62*(U158-D158)+V158</f>
        <v/>
      </c>
    </row>
    <row r="159">
      <c r="A159" s="42">
        <f>CashFlow!A159</f>
        <v/>
      </c>
      <c r="B159" s="43">
        <f>CashFlow!B159</f>
        <v/>
      </c>
      <c r="C159" s="31">
        <f>CashFlow!AC159</f>
        <v/>
      </c>
      <c r="D159" s="21">
        <f>MAX(0,-C159)</f>
        <v/>
      </c>
      <c r="E159" s="21">
        <f>MAX(0,C159)</f>
        <v/>
      </c>
      <c r="F159" s="21">
        <f>J158</f>
        <v/>
      </c>
      <c r="G159" s="21">
        <f>F159*Assumptions!$B$63/12</f>
        <v/>
      </c>
      <c r="H159" s="21">
        <f>F159+G159+D159</f>
        <v/>
      </c>
      <c r="I159" s="21">
        <f>MIN(E159,H159)</f>
        <v/>
      </c>
      <c r="J159" s="21">
        <f>H159-I159</f>
        <v/>
      </c>
      <c r="K159" s="21">
        <f>Q158</f>
        <v/>
      </c>
      <c r="L159" s="21">
        <f>K159*Assumptions!$B$66/12</f>
        <v/>
      </c>
      <c r="M159" s="21">
        <f>K159+L159+D159</f>
        <v/>
      </c>
      <c r="N159" s="21">
        <f>MIN(MAX(0,E159-I159),MAX(0,M159-I159)/(1-Assumptions!$B$64))</f>
        <v/>
      </c>
      <c r="O159" s="21">
        <f>N159*(1-Assumptions!$B$64)</f>
        <v/>
      </c>
      <c r="P159" s="21">
        <f>N159*Assumptions!$B$64</f>
        <v/>
      </c>
      <c r="Q159" s="21">
        <f>MAX(0,M159-I159-O159)</f>
        <v/>
      </c>
      <c r="R159" s="21">
        <f>MAX(0,E159-I159-N159)</f>
        <v/>
      </c>
      <c r="S159" s="21">
        <f>R159*(1-Assumptions!$B$65)</f>
        <v/>
      </c>
      <c r="T159" s="21">
        <f>R159*Assumptions!$B$65</f>
        <v/>
      </c>
      <c r="U159" s="21">
        <f>I159+O159+S159</f>
        <v/>
      </c>
      <c r="V159" s="21">
        <f>P159+T159</f>
        <v/>
      </c>
      <c r="W159" s="21">
        <f>(1-Assumptions!$B$62)*(U159-D159)</f>
        <v/>
      </c>
      <c r="X159" s="21">
        <f>Assumptions!$B$62*(U159-D159)+V159</f>
        <v/>
      </c>
    </row>
    <row r="160">
      <c r="A160" s="42">
        <f>CashFlow!A160</f>
        <v/>
      </c>
      <c r="B160" s="43">
        <f>CashFlow!B160</f>
        <v/>
      </c>
      <c r="C160" s="31">
        <f>CashFlow!AC160</f>
        <v/>
      </c>
      <c r="D160" s="21">
        <f>MAX(0,-C160)</f>
        <v/>
      </c>
      <c r="E160" s="21">
        <f>MAX(0,C160)</f>
        <v/>
      </c>
      <c r="F160" s="21">
        <f>J159</f>
        <v/>
      </c>
      <c r="G160" s="21">
        <f>F160*Assumptions!$B$63/12</f>
        <v/>
      </c>
      <c r="H160" s="21">
        <f>F160+G160+D160</f>
        <v/>
      </c>
      <c r="I160" s="21">
        <f>MIN(E160,H160)</f>
        <v/>
      </c>
      <c r="J160" s="21">
        <f>H160-I160</f>
        <v/>
      </c>
      <c r="K160" s="21">
        <f>Q159</f>
        <v/>
      </c>
      <c r="L160" s="21">
        <f>K160*Assumptions!$B$66/12</f>
        <v/>
      </c>
      <c r="M160" s="21">
        <f>K160+L160+D160</f>
        <v/>
      </c>
      <c r="N160" s="21">
        <f>MIN(MAX(0,E160-I160),MAX(0,M160-I160)/(1-Assumptions!$B$64))</f>
        <v/>
      </c>
      <c r="O160" s="21">
        <f>N160*(1-Assumptions!$B$64)</f>
        <v/>
      </c>
      <c r="P160" s="21">
        <f>N160*Assumptions!$B$64</f>
        <v/>
      </c>
      <c r="Q160" s="21">
        <f>MAX(0,M160-I160-O160)</f>
        <v/>
      </c>
      <c r="R160" s="21">
        <f>MAX(0,E160-I160-N160)</f>
        <v/>
      </c>
      <c r="S160" s="21">
        <f>R160*(1-Assumptions!$B$65)</f>
        <v/>
      </c>
      <c r="T160" s="21">
        <f>R160*Assumptions!$B$65</f>
        <v/>
      </c>
      <c r="U160" s="21">
        <f>I160+O160+S160</f>
        <v/>
      </c>
      <c r="V160" s="21">
        <f>P160+T160</f>
        <v/>
      </c>
      <c r="W160" s="21">
        <f>(1-Assumptions!$B$62)*(U160-D160)</f>
        <v/>
      </c>
      <c r="X160" s="21">
        <f>Assumptions!$B$62*(U160-D160)+V160</f>
        <v/>
      </c>
    </row>
    <row r="161">
      <c r="A161" s="42">
        <f>CashFlow!A161</f>
        <v/>
      </c>
      <c r="B161" s="43">
        <f>CashFlow!B161</f>
        <v/>
      </c>
      <c r="C161" s="31">
        <f>CashFlow!AC161</f>
        <v/>
      </c>
      <c r="D161" s="21">
        <f>MAX(0,-C161)</f>
        <v/>
      </c>
      <c r="E161" s="21">
        <f>MAX(0,C161)</f>
        <v/>
      </c>
      <c r="F161" s="21">
        <f>J160</f>
        <v/>
      </c>
      <c r="G161" s="21">
        <f>F161*Assumptions!$B$63/12</f>
        <v/>
      </c>
      <c r="H161" s="21">
        <f>F161+G161+D161</f>
        <v/>
      </c>
      <c r="I161" s="21">
        <f>MIN(E161,H161)</f>
        <v/>
      </c>
      <c r="J161" s="21">
        <f>H161-I161</f>
        <v/>
      </c>
      <c r="K161" s="21">
        <f>Q160</f>
        <v/>
      </c>
      <c r="L161" s="21">
        <f>K161*Assumptions!$B$66/12</f>
        <v/>
      </c>
      <c r="M161" s="21">
        <f>K161+L161+D161</f>
        <v/>
      </c>
      <c r="N161" s="21">
        <f>MIN(MAX(0,E161-I161),MAX(0,M161-I161)/(1-Assumptions!$B$64))</f>
        <v/>
      </c>
      <c r="O161" s="21">
        <f>N161*(1-Assumptions!$B$64)</f>
        <v/>
      </c>
      <c r="P161" s="21">
        <f>N161*Assumptions!$B$64</f>
        <v/>
      </c>
      <c r="Q161" s="21">
        <f>MAX(0,M161-I161-O161)</f>
        <v/>
      </c>
      <c r="R161" s="21">
        <f>MAX(0,E161-I161-N161)</f>
        <v/>
      </c>
      <c r="S161" s="21">
        <f>R161*(1-Assumptions!$B$65)</f>
        <v/>
      </c>
      <c r="T161" s="21">
        <f>R161*Assumptions!$B$65</f>
        <v/>
      </c>
      <c r="U161" s="21">
        <f>I161+O161+S161</f>
        <v/>
      </c>
      <c r="V161" s="21">
        <f>P161+T161</f>
        <v/>
      </c>
      <c r="W161" s="21">
        <f>(1-Assumptions!$B$62)*(U161-D161)</f>
        <v/>
      </c>
      <c r="X161" s="21">
        <f>Assumptions!$B$62*(U161-D161)+V161</f>
        <v/>
      </c>
    </row>
    <row r="162">
      <c r="A162" s="42">
        <f>CashFlow!A162</f>
        <v/>
      </c>
      <c r="B162" s="43">
        <f>CashFlow!B162</f>
        <v/>
      </c>
      <c r="C162" s="31">
        <f>CashFlow!AC162</f>
        <v/>
      </c>
      <c r="D162" s="21">
        <f>MAX(0,-C162)</f>
        <v/>
      </c>
      <c r="E162" s="21">
        <f>MAX(0,C162)</f>
        <v/>
      </c>
      <c r="F162" s="21">
        <f>J161</f>
        <v/>
      </c>
      <c r="G162" s="21">
        <f>F162*Assumptions!$B$63/12</f>
        <v/>
      </c>
      <c r="H162" s="21">
        <f>F162+G162+D162</f>
        <v/>
      </c>
      <c r="I162" s="21">
        <f>MIN(E162,H162)</f>
        <v/>
      </c>
      <c r="J162" s="21">
        <f>H162-I162</f>
        <v/>
      </c>
      <c r="K162" s="21">
        <f>Q161</f>
        <v/>
      </c>
      <c r="L162" s="21">
        <f>K162*Assumptions!$B$66/12</f>
        <v/>
      </c>
      <c r="M162" s="21">
        <f>K162+L162+D162</f>
        <v/>
      </c>
      <c r="N162" s="21">
        <f>MIN(MAX(0,E162-I162),MAX(0,M162-I162)/(1-Assumptions!$B$64))</f>
        <v/>
      </c>
      <c r="O162" s="21">
        <f>N162*(1-Assumptions!$B$64)</f>
        <v/>
      </c>
      <c r="P162" s="21">
        <f>N162*Assumptions!$B$64</f>
        <v/>
      </c>
      <c r="Q162" s="21">
        <f>MAX(0,M162-I162-O162)</f>
        <v/>
      </c>
      <c r="R162" s="21">
        <f>MAX(0,E162-I162-N162)</f>
        <v/>
      </c>
      <c r="S162" s="21">
        <f>R162*(1-Assumptions!$B$65)</f>
        <v/>
      </c>
      <c r="T162" s="21">
        <f>R162*Assumptions!$B$65</f>
        <v/>
      </c>
      <c r="U162" s="21">
        <f>I162+O162+S162</f>
        <v/>
      </c>
      <c r="V162" s="21">
        <f>P162+T162</f>
        <v/>
      </c>
      <c r="W162" s="21">
        <f>(1-Assumptions!$B$62)*(U162-D162)</f>
        <v/>
      </c>
      <c r="X162" s="21">
        <f>Assumptions!$B$62*(U162-D162)+V162</f>
        <v/>
      </c>
    </row>
    <row r="163">
      <c r="A163" s="42">
        <f>CashFlow!A163</f>
        <v/>
      </c>
      <c r="B163" s="43">
        <f>CashFlow!B163</f>
        <v/>
      </c>
      <c r="C163" s="31">
        <f>CashFlow!AC163</f>
        <v/>
      </c>
      <c r="D163" s="21">
        <f>MAX(0,-C163)</f>
        <v/>
      </c>
      <c r="E163" s="21">
        <f>MAX(0,C163)</f>
        <v/>
      </c>
      <c r="F163" s="21">
        <f>J162</f>
        <v/>
      </c>
      <c r="G163" s="21">
        <f>F163*Assumptions!$B$63/12</f>
        <v/>
      </c>
      <c r="H163" s="21">
        <f>F163+G163+D163</f>
        <v/>
      </c>
      <c r="I163" s="21">
        <f>MIN(E163,H163)</f>
        <v/>
      </c>
      <c r="J163" s="21">
        <f>H163-I163</f>
        <v/>
      </c>
      <c r="K163" s="21">
        <f>Q162</f>
        <v/>
      </c>
      <c r="L163" s="21">
        <f>K163*Assumptions!$B$66/12</f>
        <v/>
      </c>
      <c r="M163" s="21">
        <f>K163+L163+D163</f>
        <v/>
      </c>
      <c r="N163" s="21">
        <f>MIN(MAX(0,E163-I163),MAX(0,M163-I163)/(1-Assumptions!$B$64))</f>
        <v/>
      </c>
      <c r="O163" s="21">
        <f>N163*(1-Assumptions!$B$64)</f>
        <v/>
      </c>
      <c r="P163" s="21">
        <f>N163*Assumptions!$B$64</f>
        <v/>
      </c>
      <c r="Q163" s="21">
        <f>MAX(0,M163-I163-O163)</f>
        <v/>
      </c>
      <c r="R163" s="21">
        <f>MAX(0,E163-I163-N163)</f>
        <v/>
      </c>
      <c r="S163" s="21">
        <f>R163*(1-Assumptions!$B$65)</f>
        <v/>
      </c>
      <c r="T163" s="21">
        <f>R163*Assumptions!$B$65</f>
        <v/>
      </c>
      <c r="U163" s="21">
        <f>I163+O163+S163</f>
        <v/>
      </c>
      <c r="V163" s="21">
        <f>P163+T163</f>
        <v/>
      </c>
      <c r="W163" s="21">
        <f>(1-Assumptions!$B$62)*(U163-D163)</f>
        <v/>
      </c>
      <c r="X163" s="21">
        <f>Assumptions!$B$62*(U163-D163)+V163</f>
        <v/>
      </c>
    </row>
    <row r="164">
      <c r="A164" s="42">
        <f>CashFlow!A164</f>
        <v/>
      </c>
      <c r="B164" s="43">
        <f>CashFlow!B164</f>
        <v/>
      </c>
      <c r="C164" s="31">
        <f>CashFlow!AC164</f>
        <v/>
      </c>
      <c r="D164" s="21">
        <f>MAX(0,-C164)</f>
        <v/>
      </c>
      <c r="E164" s="21">
        <f>MAX(0,C164)</f>
        <v/>
      </c>
      <c r="F164" s="21">
        <f>J163</f>
        <v/>
      </c>
      <c r="G164" s="21">
        <f>F164*Assumptions!$B$63/12</f>
        <v/>
      </c>
      <c r="H164" s="21">
        <f>F164+G164+D164</f>
        <v/>
      </c>
      <c r="I164" s="21">
        <f>MIN(E164,H164)</f>
        <v/>
      </c>
      <c r="J164" s="21">
        <f>H164-I164</f>
        <v/>
      </c>
      <c r="K164" s="21">
        <f>Q163</f>
        <v/>
      </c>
      <c r="L164" s="21">
        <f>K164*Assumptions!$B$66/12</f>
        <v/>
      </c>
      <c r="M164" s="21">
        <f>K164+L164+D164</f>
        <v/>
      </c>
      <c r="N164" s="21">
        <f>MIN(MAX(0,E164-I164),MAX(0,M164-I164)/(1-Assumptions!$B$64))</f>
        <v/>
      </c>
      <c r="O164" s="21">
        <f>N164*(1-Assumptions!$B$64)</f>
        <v/>
      </c>
      <c r="P164" s="21">
        <f>N164*Assumptions!$B$64</f>
        <v/>
      </c>
      <c r="Q164" s="21">
        <f>MAX(0,M164-I164-O164)</f>
        <v/>
      </c>
      <c r="R164" s="21">
        <f>MAX(0,E164-I164-N164)</f>
        <v/>
      </c>
      <c r="S164" s="21">
        <f>R164*(1-Assumptions!$B$65)</f>
        <v/>
      </c>
      <c r="T164" s="21">
        <f>R164*Assumptions!$B$65</f>
        <v/>
      </c>
      <c r="U164" s="21">
        <f>I164+O164+S164</f>
        <v/>
      </c>
      <c r="V164" s="21">
        <f>P164+T164</f>
        <v/>
      </c>
      <c r="W164" s="21">
        <f>(1-Assumptions!$B$62)*(U164-D164)</f>
        <v/>
      </c>
      <c r="X164" s="21">
        <f>Assumptions!$B$62*(U164-D164)+V164</f>
        <v/>
      </c>
    </row>
    <row r="165">
      <c r="A165" s="42">
        <f>CashFlow!A165</f>
        <v/>
      </c>
      <c r="B165" s="43">
        <f>CashFlow!B165</f>
        <v/>
      </c>
      <c r="C165" s="31">
        <f>CashFlow!AC165</f>
        <v/>
      </c>
      <c r="D165" s="21">
        <f>MAX(0,-C165)</f>
        <v/>
      </c>
      <c r="E165" s="21">
        <f>MAX(0,C165)</f>
        <v/>
      </c>
      <c r="F165" s="21">
        <f>J164</f>
        <v/>
      </c>
      <c r="G165" s="21">
        <f>F165*Assumptions!$B$63/12</f>
        <v/>
      </c>
      <c r="H165" s="21">
        <f>F165+G165+D165</f>
        <v/>
      </c>
      <c r="I165" s="21">
        <f>MIN(E165,H165)</f>
        <v/>
      </c>
      <c r="J165" s="21">
        <f>H165-I165</f>
        <v/>
      </c>
      <c r="K165" s="21">
        <f>Q164</f>
        <v/>
      </c>
      <c r="L165" s="21">
        <f>K165*Assumptions!$B$66/12</f>
        <v/>
      </c>
      <c r="M165" s="21">
        <f>K165+L165+D165</f>
        <v/>
      </c>
      <c r="N165" s="21">
        <f>MIN(MAX(0,E165-I165),MAX(0,M165-I165)/(1-Assumptions!$B$64))</f>
        <v/>
      </c>
      <c r="O165" s="21">
        <f>N165*(1-Assumptions!$B$64)</f>
        <v/>
      </c>
      <c r="P165" s="21">
        <f>N165*Assumptions!$B$64</f>
        <v/>
      </c>
      <c r="Q165" s="21">
        <f>MAX(0,M165-I165-O165)</f>
        <v/>
      </c>
      <c r="R165" s="21">
        <f>MAX(0,E165-I165-N165)</f>
        <v/>
      </c>
      <c r="S165" s="21">
        <f>R165*(1-Assumptions!$B$65)</f>
        <v/>
      </c>
      <c r="T165" s="21">
        <f>R165*Assumptions!$B$65</f>
        <v/>
      </c>
      <c r="U165" s="21">
        <f>I165+O165+S165</f>
        <v/>
      </c>
      <c r="V165" s="21">
        <f>P165+T165</f>
        <v/>
      </c>
      <c r="W165" s="21">
        <f>(1-Assumptions!$B$62)*(U165-D165)</f>
        <v/>
      </c>
      <c r="X165" s="21">
        <f>Assumptions!$B$62*(U165-D165)+V165</f>
        <v/>
      </c>
    </row>
    <row r="166">
      <c r="A166" s="2" t="inlineStr">
        <is>
          <t>TOTAL</t>
        </is>
      </c>
      <c r="C166" s="45">
        <f>SUM(C6:C165)</f>
        <v/>
      </c>
      <c r="D166" s="45">
        <f>SUM(D6:D165)</f>
        <v/>
      </c>
      <c r="E166" s="45">
        <f>SUM(E6:E165)</f>
        <v/>
      </c>
      <c r="G166" s="45">
        <f>SUM(G6:G165)</f>
        <v/>
      </c>
      <c r="I166" s="45">
        <f>SUM(I6:I165)</f>
        <v/>
      </c>
      <c r="L166" s="45">
        <f>SUM(L6:L165)</f>
        <v/>
      </c>
      <c r="N166" s="45">
        <f>SUM(N6:N165)</f>
        <v/>
      </c>
      <c r="O166" s="45">
        <f>SUM(O6:O165)</f>
        <v/>
      </c>
      <c r="P166" s="45">
        <f>SUM(P6:P165)</f>
        <v/>
      </c>
      <c r="R166" s="45">
        <f>SUM(R6:R165)</f>
        <v/>
      </c>
      <c r="S166" s="45">
        <f>SUM(S6:S165)</f>
        <v/>
      </c>
      <c r="T166" s="45">
        <f>SUM(T6:T165)</f>
        <v/>
      </c>
      <c r="U166" s="45">
        <f>SUM(U6:U165)</f>
        <v/>
      </c>
      <c r="V166" s="45">
        <f>SUM(V6:V165)</f>
        <v/>
      </c>
      <c r="W166" s="45">
        <f>SUM(W6:W165)</f>
        <v/>
      </c>
      <c r="X166" s="45">
        <f>SUM(X6:X165)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4"/>
  <sheetViews>
    <sheetView showGridLines="0" workbookViewId="0">
      <selection activeCell="A1" sqref="A1"/>
    </sheetView>
  </sheetViews>
  <sheetFormatPr baseColWidth="8" defaultRowHeight="15"/>
  <cols>
    <col width="44" customWidth="1" min="1" max="1"/>
    <col width="20" customWidth="1" min="2" max="2"/>
    <col width="14" customWidth="1" min="3" max="3"/>
    <col width="72" customWidth="1" min="4" max="4"/>
  </cols>
  <sheetData>
    <row r="1">
      <c r="A1" s="1" t="inlineStr">
        <is>
          <t>RETURNS</t>
        </is>
      </c>
    </row>
    <row r="2">
      <c r="A2" s="4" t="inlineStr">
        <is>
          <t>Every figure here rests on the Assumptions sheet. None of it is a claim about what Penzance actually earned.</t>
        </is>
      </c>
    </row>
    <row r="4">
      <c r="A4" s="5" t="inlineStr">
        <is>
          <t>Metric</t>
        </is>
      </c>
      <c r="B4" s="5" t="inlineStr">
        <is>
          <t>Value</t>
        </is>
      </c>
      <c r="C4" s="5" t="inlineStr">
        <is>
          <t>Unit</t>
        </is>
      </c>
      <c r="D4" s="5" t="inlineStr">
        <is>
          <t>Note</t>
        </is>
      </c>
    </row>
    <row r="6">
      <c r="A6" s="6" t="inlineStr">
        <is>
          <t>SOURCES &amp; USES</t>
        </is>
      </c>
      <c r="B6" s="7" t="n"/>
      <c r="C6" s="7" t="n"/>
      <c r="D6" s="7" t="n"/>
    </row>
    <row r="7">
      <c r="A7" s="8" t="inlineStr">
        <is>
          <t>Total development cost</t>
        </is>
      </c>
      <c r="B7" s="24">
        <f>CashFlow!O166</f>
        <v/>
      </c>
      <c r="C7" s="10" t="inlineStr">
        <is>
          <t>$</t>
        </is>
      </c>
      <c r="D7" s="11" t="inlineStr">
        <is>
          <t>Excludes capitalised interest</t>
        </is>
      </c>
    </row>
    <row r="8">
      <c r="A8" s="8" t="inlineStr">
        <is>
          <t>Capitalised interest</t>
        </is>
      </c>
      <c r="B8" s="24">
        <f>CashFlow!U166</f>
        <v/>
      </c>
      <c r="C8" s="10" t="inlineStr">
        <is>
          <t>$</t>
        </is>
      </c>
      <c r="D8" s="11" t="inlineStr">
        <is>
          <t>Accrued into the loan balance, never a cash line</t>
        </is>
      </c>
    </row>
    <row r="9">
      <c r="A9" s="26" t="inlineStr">
        <is>
          <t>Total project cost</t>
        </is>
      </c>
      <c r="B9" s="24">
        <f>B7+B8</f>
        <v/>
      </c>
      <c r="C9" s="10" t="inlineStr">
        <is>
          <t>$</t>
        </is>
      </c>
      <c r="D9" s="11" t="inlineStr"/>
    </row>
    <row r="10">
      <c r="A10" s="8" t="inlineStr">
        <is>
          <t>Peak equity</t>
        </is>
      </c>
      <c r="B10" s="24">
        <f>MAX(CashFlow!R6:R165)</f>
        <v/>
      </c>
      <c r="C10" s="10" t="inlineStr">
        <is>
          <t>$</t>
        </is>
      </c>
      <c r="D10" s="11" t="inlineStr"/>
    </row>
    <row r="11">
      <c r="A11" s="8" t="inlineStr">
        <is>
          <t>Peak debt</t>
        </is>
      </c>
      <c r="B11" s="24">
        <f>MAX(CashFlow!W6:W165)</f>
        <v/>
      </c>
      <c r="C11" s="10" t="inlineStr">
        <is>
          <t>$</t>
        </is>
      </c>
      <c r="D11" s="11" t="inlineStr"/>
    </row>
    <row r="12">
      <c r="A12" s="8" t="inlineStr">
        <is>
          <t>Loan commitment (reported)</t>
        </is>
      </c>
      <c r="B12" s="24">
        <f>Assumptions!$B$24</f>
        <v/>
      </c>
      <c r="C12" s="10" t="inlineStr">
        <is>
          <t>$</t>
        </is>
      </c>
      <c r="D12" s="11" t="inlineStr">
        <is>
          <t>Press-reported; unverified to the recorded instrument</t>
        </is>
      </c>
    </row>
    <row r="13">
      <c r="A13" s="8" t="inlineStr">
        <is>
          <t>Peak debt vs commitment</t>
        </is>
      </c>
      <c r="B13" s="25">
        <f>IFERROR(B11/B12,0)</f>
        <v/>
      </c>
      <c r="C13" s="10" t="inlineStr">
        <is>
          <t>%</t>
        </is>
      </c>
      <c r="D13" s="11" t="inlineStr">
        <is>
          <t>THE KEY CALIBRATION. Near 100% means the cost assumptions are consistent with the one hard capital-stack datapoint we have. Far below means costs are understated; above 100% means overstated.</t>
        </is>
      </c>
    </row>
    <row r="15">
      <c r="A15" s="6" t="inlineStr">
        <is>
          <t>PROCEEDS</t>
        </is>
      </c>
      <c r="B15" s="7" t="n"/>
      <c r="C15" s="7" t="n"/>
      <c r="D15" s="7" t="n"/>
    </row>
    <row r="16">
      <c r="A16" s="8" t="inlineStr">
        <is>
          <t>Pierce net sellout</t>
        </is>
      </c>
      <c r="B16" s="24">
        <f>CashFlow!Z166</f>
        <v/>
      </c>
      <c r="C16" s="10" t="inlineStr">
        <is>
          <t>$</t>
        </is>
      </c>
      <c r="D16" s="11" t="inlineStr">
        <is>
          <t>104 units</t>
        </is>
      </c>
    </row>
    <row r="17">
      <c r="A17" s="8" t="inlineStr">
        <is>
          <t>Aubrey + Evo net sale proceeds</t>
        </is>
      </c>
      <c r="B17" s="24">
        <f>CashFlow!AA166</f>
        <v/>
      </c>
      <c r="C17" s="10" t="inlineStr">
        <is>
          <t>$</t>
        </is>
      </c>
      <c r="D17" s="11" t="inlineStr">
        <is>
          <t>Struck at stabilised NOI / cap — Cortland terms undisclosed</t>
        </is>
      </c>
    </row>
    <row r="18">
      <c r="A18" s="8" t="inlineStr">
        <is>
          <t>Operating NOI collected</t>
        </is>
      </c>
      <c r="B18" s="24">
        <f>CashFlow!X166+CashFlow!Y166</f>
        <v/>
      </c>
      <c r="C18" s="10" t="inlineStr">
        <is>
          <t>$</t>
        </is>
      </c>
      <c r="D18" s="11" t="inlineStr">
        <is>
          <t>NEGATIVE is expected and correct here: both towers were sold roughly a year after delivery, so they carried full operating expense against partial occupancy for their whole hold. See the lease-up note below.</t>
        </is>
      </c>
    </row>
    <row r="19">
      <c r="A19" s="26" t="inlineStr">
        <is>
          <t>Total proceeds</t>
        </is>
      </c>
      <c r="B19" s="24">
        <f>B16+B17+B18</f>
        <v/>
      </c>
      <c r="C19" s="10" t="inlineStr">
        <is>
          <t>$</t>
        </is>
      </c>
      <c r="D19" s="11" t="inlineStr"/>
    </row>
    <row r="21">
      <c r="A21" s="6" t="inlineStr">
        <is>
          <t>PROJECT RETURNS</t>
        </is>
      </c>
      <c r="B21" s="7" t="n"/>
      <c r="C21" s="7" t="n"/>
      <c r="D21" s="7" t="n"/>
    </row>
    <row r="22">
      <c r="A22" s="8" t="inlineStr">
        <is>
          <t>Unlevered profit</t>
        </is>
      </c>
      <c r="B22" s="24">
        <f>CashFlow!AB166</f>
        <v/>
      </c>
      <c r="C22" s="10" t="inlineStr">
        <is>
          <t>$</t>
        </is>
      </c>
      <c r="D22" s="11" t="inlineStr"/>
    </row>
    <row r="23">
      <c r="A23" s="8" t="inlineStr">
        <is>
          <t>Unlevered IRR</t>
        </is>
      </c>
      <c r="B23" s="25">
        <f>IFERROR((1+IRR(CashFlow!AB6:AB165,0.01))^12-1,0)</f>
        <v/>
      </c>
      <c r="C23" s="10" t="inlineStr">
        <is>
          <t>%</t>
        </is>
      </c>
      <c r="D23" s="11" t="inlineStr">
        <is>
          <t>Monthly IRR annualised</t>
        </is>
      </c>
    </row>
    <row r="24">
      <c r="A24" s="8" t="inlineStr">
        <is>
          <t>Unlevered multiple</t>
        </is>
      </c>
      <c r="B24" s="46">
        <f>IFERROR(SUMIF(CashFlow!AB6:AB165,"&gt;0")/-SUMIF(CashFlow!AB6:AB165,"&lt;0"),0)</f>
        <v/>
      </c>
      <c r="C24" s="10" t="inlineStr">
        <is>
          <t>x</t>
        </is>
      </c>
      <c r="D24" s="11" t="inlineStr"/>
    </row>
    <row r="25">
      <c r="A25" s="8" t="inlineStr">
        <is>
          <t>Levered profit (equity)</t>
        </is>
      </c>
      <c r="B25" s="24">
        <f>CashFlow!AC166</f>
        <v/>
      </c>
      <c r="C25" s="10" t="inlineStr">
        <is>
          <t>$</t>
        </is>
      </c>
      <c r="D25" s="11" t="inlineStr"/>
    </row>
    <row r="26">
      <c r="A26" s="8" t="inlineStr">
        <is>
          <t>Levered IRR</t>
        </is>
      </c>
      <c r="B26" s="25">
        <f>IFERROR((1+IRR(CashFlow!AC6:AC165,0.01))^12-1,0)</f>
        <v/>
      </c>
      <c r="C26" s="10" t="inlineStr">
        <is>
          <t>%</t>
        </is>
      </c>
      <c r="D26" s="11" t="inlineStr"/>
    </row>
    <row r="27">
      <c r="A27" s="8" t="inlineStr">
        <is>
          <t>Equity multiple</t>
        </is>
      </c>
      <c r="B27" s="46">
        <f>IFERROR(SUMIF(CashFlow!AC6:AC165,"&gt;0")/-SUMIF(CashFlow!AC6:AC165,"&lt;0"),0)</f>
        <v/>
      </c>
      <c r="C27" s="10" t="inlineStr">
        <is>
          <t>x</t>
        </is>
      </c>
      <c r="D27" s="11" t="inlineStr"/>
    </row>
    <row r="29">
      <c r="A29" s="6" t="inlineStr">
        <is>
          <t>JV SPLIT (assumed terms — Baupost JV is not public)</t>
        </is>
      </c>
      <c r="B29" s="7" t="n"/>
      <c r="C29" s="7" t="n"/>
      <c r="D29" s="7" t="n"/>
    </row>
    <row r="30">
      <c r="A30" s="8" t="inlineStr">
        <is>
          <t>Total to investors (pro rata)</t>
        </is>
      </c>
      <c r="B30" s="24">
        <f>Waterfall!U166</f>
        <v/>
      </c>
      <c r="C30" s="10" t="inlineStr">
        <is>
          <t>$</t>
        </is>
      </c>
      <c r="D30" s="11" t="inlineStr"/>
    </row>
    <row r="31">
      <c r="A31" s="8" t="inlineStr">
        <is>
          <t>Total sponsor promote</t>
        </is>
      </c>
      <c r="B31" s="24">
        <f>Waterfall!V166</f>
        <v/>
      </c>
      <c r="C31" s="10" t="inlineStr">
        <is>
          <t>$</t>
        </is>
      </c>
      <c r="D31" s="11" t="inlineStr">
        <is>
          <t>Zero if the deal never clears the preferred return</t>
        </is>
      </c>
    </row>
    <row r="32">
      <c r="A32" s="8" t="inlineStr">
        <is>
          <t>LP net profit</t>
        </is>
      </c>
      <c r="B32" s="24">
        <f>Waterfall!W166</f>
        <v/>
      </c>
      <c r="C32" s="10" t="inlineStr">
        <is>
          <t>$</t>
        </is>
      </c>
      <c r="D32" s="11" t="inlineStr"/>
    </row>
    <row r="33">
      <c r="A33" s="8" t="inlineStr">
        <is>
          <t>Sponsor net profit</t>
        </is>
      </c>
      <c r="B33" s="24">
        <f>Waterfall!X166</f>
        <v/>
      </c>
      <c r="C33" s="10" t="inlineStr">
        <is>
          <t>$</t>
        </is>
      </c>
      <c r="D33" s="11" t="inlineStr"/>
    </row>
    <row r="34">
      <c r="A34" s="8" t="inlineStr">
        <is>
          <t>LP IRR</t>
        </is>
      </c>
      <c r="B34" s="25">
        <f>IFERROR((1+IRR(Waterfall!W6:W165,0.01))^12-1,0)</f>
        <v/>
      </c>
      <c r="C34" s="10" t="inlineStr">
        <is>
          <t>%</t>
        </is>
      </c>
      <c r="D34" s="11" t="inlineStr"/>
    </row>
    <row r="35">
      <c r="A35" s="8" t="inlineStr">
        <is>
          <t>Sponsor IRR</t>
        </is>
      </c>
      <c r="B35" s="25">
        <f>IFERROR((1+IRR(Waterfall!X6:X165,0.01))^12-1,0)</f>
        <v/>
      </c>
      <c r="C35" s="10" t="inlineStr">
        <is>
          <t>%</t>
        </is>
      </c>
      <c r="D35" s="11" t="inlineStr"/>
    </row>
    <row r="37">
      <c r="A37" s="6" t="inlineStr">
        <is>
          <t>CALIBRATION CHECKS — read these before quoting anything above</t>
        </is>
      </c>
      <c r="B37" s="7" t="n"/>
      <c r="C37" s="7" t="n"/>
      <c r="D37" s="7" t="n"/>
    </row>
    <row r="38">
      <c r="A38" s="8" t="inlineStr">
        <is>
          <t>Total cost per unit</t>
        </is>
      </c>
      <c r="B38" s="24">
        <f>IFERROR(B9/Program!$B$13,0)</f>
        <v/>
      </c>
      <c r="C38" s="10" t="inlineStr">
        <is>
          <t>$/unit</t>
        </is>
      </c>
      <c r="D38" s="11" t="inlineStr">
        <is>
          <t>All-in incl. capitalised interest, the fire station, the park and the street</t>
        </is>
      </c>
    </row>
    <row r="39">
      <c r="A39" s="8" t="inlineStr">
        <is>
          <t>Total cost per sf of GFA</t>
        </is>
      </c>
      <c r="B39" s="24">
        <f>IFERROR(B9/Program!$B$14,0)</f>
        <v/>
      </c>
      <c r="C39" s="10" t="inlineStr">
        <is>
          <t>$/sf</t>
        </is>
      </c>
      <c r="D39" s="11" t="inlineStr"/>
    </row>
    <row r="40">
      <c r="A40" s="8" t="inlineStr">
        <is>
          <t>Aubrey exit $/unit (FACT)</t>
        </is>
      </c>
      <c r="B40" s="24">
        <f>Ops!$B$19</f>
        <v/>
      </c>
      <c r="C40" s="10" t="inlineStr">
        <is>
          <t>$/unit</t>
        </is>
      </c>
      <c r="D40" s="11" t="inlineStr">
        <is>
          <t>Derived from the Evo sale/assessment ratio — leasehold, no recorded price</t>
        </is>
      </c>
    </row>
    <row r="41">
      <c r="A41" s="8" t="inlineStr">
        <is>
          <t>Evo exit $/unit (FACT)</t>
        </is>
      </c>
      <c r="B41" s="24">
        <f>Ops!$C$19</f>
        <v/>
      </c>
      <c r="C41" s="10" t="inlineStr">
        <is>
          <t>$/unit</t>
        </is>
      </c>
      <c r="D41" s="11" t="inlineStr">
        <is>
          <t>$334,642,240 recorded 2022-07-12 / 453 units</t>
        </is>
      </c>
    </row>
    <row r="42">
      <c r="A42" s="8" t="inlineStr">
        <is>
          <t>Aubrey + Evo blended $/unit</t>
        </is>
      </c>
      <c r="B42" s="24">
        <f>IFERROR((Ops!$B$18+Ops!$C$18)/(Program!$D$5+Program!$C$5),0)</f>
        <v/>
      </c>
      <c r="C42" s="10" t="inlineStr">
        <is>
          <t>$/unit</t>
        </is>
      </c>
      <c r="D42" s="11" t="inlineStr">
        <is>
          <t>Lands on ~$764k against the ~$758k Cortland blended figure — independent corroboration of the derivation</t>
        </is>
      </c>
    </row>
    <row r="43">
      <c r="A43" s="8" t="inlineStr">
        <is>
          <t>Implied LOADED cap — Aubrey</t>
        </is>
      </c>
      <c r="B43" s="35">
        <f>Ops!$B$20</f>
        <v/>
      </c>
      <c r="C43" s="10" t="inlineStr">
        <is>
          <t>%</t>
        </is>
      </c>
      <c r="D43" s="11" t="inlineStr">
        <is>
          <t>vs Arlington's 5.15% guideline for this class</t>
        </is>
      </c>
    </row>
    <row r="44">
      <c r="A44" s="8" t="inlineStr">
        <is>
          <t>Implied LOADED cap — Evo</t>
        </is>
      </c>
      <c r="B44" s="35">
        <f>Ops!$C$20</f>
        <v/>
      </c>
      <c r="C44" s="10" t="inlineStr">
        <is>
          <t>%</t>
        </is>
      </c>
      <c r="D44" s="11" t="inlineStr">
        <is>
          <t>Both prices are FACT; both caps land ~4.4%</t>
        </is>
      </c>
    </row>
    <row r="45">
      <c r="A45" s="8" t="inlineStr">
        <is>
          <t>Implied BASE cap — Aubrey</t>
        </is>
      </c>
      <c r="B45" s="35">
        <f>Ops!$B$21</f>
        <v/>
      </c>
      <c r="C45" s="10" t="inlineStr">
        <is>
          <t>%</t>
        </is>
      </c>
      <c r="D45" s="11" t="inlineStr">
        <is>
          <t>Loaded less the 1.013% effective tax rate</t>
        </is>
      </c>
    </row>
    <row r="46">
      <c r="A46" s="8" t="inlineStr">
        <is>
          <t>Implied BASE cap — Evo</t>
        </is>
      </c>
      <c r="B46" s="35">
        <f>Ops!$C$21</f>
        <v/>
      </c>
      <c r="C46" s="10" t="inlineStr">
        <is>
          <t>%</t>
        </is>
      </c>
      <c r="D46" s="11" t="inlineStr">
        <is>
          <t>The number a broker would quote for this trade</t>
        </is>
      </c>
    </row>
    <row r="47">
      <c r="A47" s="8" t="inlineStr">
        <is>
          <t>Pierce avg price (ACTUAL)</t>
        </is>
      </c>
      <c r="B47" s="24">
        <f>Ops!$B$29</f>
        <v/>
      </c>
      <c r="C47" s="10" t="inlineStr">
        <is>
          <t>$/unit</t>
        </is>
      </c>
      <c r="D47" s="11" t="inlineStr">
        <is>
          <t>102 units, median $1,774,000, range $822k-$3.92M</t>
        </is>
      </c>
    </row>
    <row r="48">
      <c r="A48" s="8" t="inlineStr">
        <is>
          <t>Pierce gross sellout (ACTUAL)</t>
        </is>
      </c>
      <c r="B48" s="24">
        <f>Ops!$B$28</f>
        <v/>
      </c>
      <c r="C48" s="10" t="inlineStr">
        <is>
          <t>$</t>
        </is>
      </c>
      <c r="D48" s="11" t="inlineStr">
        <is>
          <t>34-month sellout, Aug-2021 to Jun-2024</t>
        </is>
      </c>
    </row>
    <row r="49">
      <c r="A49" s="8" t="inlineStr">
        <is>
          <t>Aubrey occupancy at sale</t>
        </is>
      </c>
      <c r="B49" s="25">
        <f>IFERROR(MIN(1,(Assumptions!$B$58-(Assumptions!$B$9+Assumptions!$B$10)+1)*Assumptions!$B$39/Program!$D$5),0)</f>
        <v/>
      </c>
      <c r="C49" s="10" t="inlineStr">
        <is>
          <t>%</t>
        </is>
      </c>
      <c r="D49" s="11" t="inlineStr">
        <is>
          <t>UNDER 100% means the asset was sold mid-lease-up — which is what the real dates imply.</t>
        </is>
      </c>
    </row>
    <row r="50">
      <c r="A50" s="8" t="inlineStr">
        <is>
          <t>Evo occupancy at sale</t>
        </is>
      </c>
      <c r="B50" s="25">
        <f>IFERROR(MIN(1,(Assumptions!$B$59-(Assumptions!$B$9+Assumptions!$B$10+Assumptions!$B$40)+1)*Assumptions!$B$39/Program!$C$5),0)</f>
        <v/>
      </c>
      <c r="C50" s="10" t="inlineStr">
        <is>
          <t>%</t>
        </is>
      </c>
      <c r="D50" s="11" t="inlineStr">
        <is>
          <t>Same</t>
        </is>
      </c>
    </row>
    <row r="52" ht="70" customHeight="1">
      <c r="A52" s="2" t="inlineStr">
        <is>
          <t>LEASE-UP NOTE</t>
        </is>
      </c>
      <c r="B52" s="3" t="inlineStr">
        <is>
          <t>Delivery lands mid-2021 (staff report: 'anticipated completion Summer 2021') and the recorded exits are May and July 2022. That leaves roughly 10-12 months of operation, so on any plausible lease-up pace BOTH towers were sold before stabilisation. The exit is nonetheless struck on stabilised NOI, because that is what a buyer underwrites. If you want to model the lease-up discount a buyer would actually apply, do it as an explicit haircut on the Ops sheet rather than by bending the cap rate.</t>
        </is>
      </c>
    </row>
    <row r="53">
      <c r="A53" s="6" t="inlineStr">
        <is>
          <t>SOLVE-BACK — what the recorded price implies about rents</t>
        </is>
      </c>
      <c r="B53" s="7" t="n"/>
      <c r="C53" s="7" t="n"/>
      <c r="D53" s="7" t="n"/>
    </row>
    <row r="54">
      <c r="A54" s="8" t="inlineStr">
        <is>
          <t>Assumed market cap rate, 2022</t>
        </is>
      </c>
      <c r="B54" s="47">
        <f>0.0375</f>
        <v/>
      </c>
      <c r="C54" s="10" t="inlineStr">
        <is>
          <t>%</t>
        </is>
      </c>
      <c r="D54" s="11" t="inlineStr">
        <is>
          <t>BLUE INPUT. Best estimate of where brand-new Rosslyn Class A traded in H1-2022.</t>
        </is>
      </c>
    </row>
    <row r="55">
      <c r="A55" s="8" t="inlineStr">
        <is>
          <t>NOI required at that cap (Evo)</t>
        </is>
      </c>
      <c r="B55" s="24">
        <f>Ops!$C$18*B54</f>
        <v/>
      </c>
      <c r="C55" s="10" t="inlineStr">
        <is>
          <t>$</t>
        </is>
      </c>
      <c r="D55" s="11" t="inlineStr">
        <is>
          <t>Evo price is FACT, so this is what its NOI must have been</t>
        </is>
      </c>
    </row>
    <row r="56">
      <c r="A56" s="8" t="inlineStr">
        <is>
          <t>NOI modelled (Evo)</t>
        </is>
      </c>
      <c r="B56" s="24">
        <f>Ops!$C$15</f>
        <v/>
      </c>
      <c r="C56" s="10" t="inlineStr">
        <is>
          <t>$</t>
        </is>
      </c>
      <c r="D56" s="11" t="inlineStr">
        <is>
          <t>From the Assumptions sheet</t>
        </is>
      </c>
    </row>
    <row r="57">
      <c r="A57" s="8" t="inlineStr">
        <is>
          <t>Gap</t>
        </is>
      </c>
      <c r="B57" s="24">
        <f>B55-B56</f>
        <v/>
      </c>
      <c r="C57" s="10" t="inlineStr">
        <is>
          <t>$</t>
        </is>
      </c>
      <c r="D57" s="11" t="inlineStr">
        <is>
          <t>POSITIVE means the model under-states NOI — i.e. rents too low and/or opex too high</t>
        </is>
      </c>
    </row>
    <row r="58">
      <c r="A58" s="8" t="inlineStr">
        <is>
          <t>Rent implied by the recorded price</t>
        </is>
      </c>
      <c r="B58" s="24">
        <f>IFERROR((B55-Ops!$C$10+Program!$C$5*Assumptions!$B$33+Assumptions!$B$37*Assumptions!$B$38)/(Program!$C$5*12*(1+Assumptions!$B$31)*(1-Assumptions!$B$32)),0)</f>
        <v/>
      </c>
      <c r="C58" s="10" t="inlineStr">
        <is>
          <t>$/mo</t>
        </is>
      </c>
      <c r="D58" s="11" t="inlineStr">
        <is>
          <t>Solved from a FACT price. Compare against the $3,000 assumed. This is the most defensible rent estimate available without CoStar.</t>
        </is>
      </c>
    </row>
    <row r="59">
      <c r="A59" s="8" t="inlineStr">
        <is>
          <t>Rent assumed (Evo)</t>
        </is>
      </c>
      <c r="B59" s="24">
        <f>Assumptions!$B$30</f>
        <v/>
      </c>
      <c r="C59" s="10" t="inlineStr">
        <is>
          <t>$/mo</t>
        </is>
      </c>
      <c r="D59" s="11" t="inlineStr"/>
    </row>
    <row r="60">
      <c r="A60" s="8" t="inlineStr">
        <is>
          <t>Rent understatement</t>
        </is>
      </c>
      <c r="B60" s="25">
        <f>IFERROR(B58/B59-1,0)</f>
        <v/>
      </c>
      <c r="C60" s="10" t="inlineStr">
        <is>
          <t>%</t>
        </is>
      </c>
      <c r="D60" s="11" t="inlineStr"/>
    </row>
    <row r="63">
      <c r="A63" s="2" t="inlineStr">
        <is>
          <t>WHY THERE IS NO LONGER A CAP-RATE SENSITIVITY GRID</t>
        </is>
      </c>
    </row>
    <row r="64" ht="62" customHeight="1">
      <c r="A64" s="3" t="inlineStr">
        <is>
          <t>The earlier build guessed an exit cap and solved for value. That is now backwards. Evo's price is a recorded fact ($334,642,240, 2022-07-12) and Aubrey's is derived from it, so the cap rate is an OUTPUT of this model, not an input. See 'Implied cap' above. If an implied cap looks implausible, the error is in the RENT and OPEX assumptions, which are still the largest unsourced inputs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2026-08-25T03:25:50Z</dcterms:created>
  <dcterms:modified xmlns:dcterms="http://purl.org/dc/terms/" xmlns:xsi="http://www.w3.org/2001/XMLSchema-instance" xsi:type="dcterms:W3CDTF">2026-08-25T03:25:50Z</dcterms:modified>
</cp:coreProperties>
</file>