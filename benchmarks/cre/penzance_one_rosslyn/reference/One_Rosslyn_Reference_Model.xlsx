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ashFlow" sheetId="3" state="visible" r:id="rId3"/>
    <sheet xmlns:r="http://schemas.openxmlformats.org/officeDocument/2006/relationships" name="ScenarioA" sheetId="4" state="visible" r:id="rId4"/>
    <sheet xmlns:r="http://schemas.openxmlformats.org/officeDocument/2006/relationships" name="ScenarioB" sheetId="5" state="visible" r:id="rId5"/>
    <sheet xmlns:r="http://schemas.openxmlformats.org/officeDocument/2006/relationships" name="Retur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x"/>
  </numFmts>
  <fonts count="6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11"/>
    </font>
    <font>
      <b val="1"/>
      <sz val="12"/>
    </font>
    <font/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3" fontId="1" fillId="0" borderId="0" pivotButton="0" quotePrefix="0" xfId="0"/>
    <xf numFmtId="0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>
      <c r="A1" s="1" t="inlineStr">
        <is>
          <t>One Rosslyn - reference model</t>
        </is>
      </c>
    </row>
    <row r="2">
      <c r="A2" s="2" t="inlineStr"/>
    </row>
    <row r="3">
      <c r="A3" s="1" t="inlineStr">
        <is>
          <t>Status</t>
        </is>
      </c>
      <c r="B3" t="inlineStr">
        <is>
          <t>PROJECTION. The project is entitled and unbuilt.</t>
        </is>
      </c>
    </row>
    <row r="4">
      <c r="A4" s="1" t="inlineStr">
        <is>
          <t>Purpose</t>
        </is>
      </c>
      <c r="B4" t="inlineStr">
        <is>
          <t>Independent implementation. The CFDL model reconciles to this.</t>
        </is>
      </c>
    </row>
    <row r="5">
      <c r="A5" s="2" t="inlineStr"/>
    </row>
    <row r="6">
      <c r="A6" s="1" t="inlineStr">
        <is>
          <t>Fact</t>
        </is>
      </c>
      <c r="B6" t="inlineStr">
        <is>
          <t>Program and obligations: Arlington County Board Report, SP #419 /</t>
        </is>
      </c>
    </row>
    <row r="7">
      <c r="A7" s="2" t="inlineStr"/>
      <c r="B7" t="inlineStr">
        <is>
          <t>SPLA24-00040, approved 2025-07-19.</t>
        </is>
      </c>
    </row>
    <row r="8">
      <c r="A8" s="2" t="inlineStr"/>
      <c r="B8" t="inlineStr">
        <is>
          <t>Land: $52,000,000, deed 20230100013266, recorded 2023-11-14.</t>
        </is>
      </c>
    </row>
    <row r="9">
      <c r="A9" s="2" t="inlineStr"/>
      <c r="B9" t="inlineStr">
        <is>
          <t>Operating guidelines: Arlington 2026 Guidebook, MARKET Apartment</t>
        </is>
      </c>
    </row>
    <row r="10">
      <c r="A10" s="2" t="inlineStr"/>
      <c r="B10" t="inlineStr">
        <is>
          <t>Guidelines, High-Rise 9+ (PCC 313), 2010+, Metro.</t>
        </is>
      </c>
    </row>
    <row r="11">
      <c r="A11" s="2" t="inlineStr"/>
      <c r="B11" t="inlineStr">
        <is>
          <t>Exit comparables: four recorded Arlington trades, 2022-2026.</t>
        </is>
      </c>
    </row>
    <row r="12">
      <c r="A12" s="2" t="inlineStr"/>
    </row>
    <row r="13">
      <c r="A13" s="1" t="inlineStr">
        <is>
          <t>Derived</t>
        </is>
      </c>
      <c r="B13" t="inlineStr">
        <is>
          <t>Rent, by the County's own method: a comparable's assessed value</t>
        </is>
      </c>
    </row>
    <row r="14">
      <c r="A14" s="2" t="inlineStr"/>
      <c r="B14" t="inlineStr">
        <is>
          <t>times the guideline loaded cap gives the assessor's NOI; add back</t>
        </is>
      </c>
    </row>
    <row r="15">
      <c r="A15" s="2" t="inlineStr"/>
      <c r="B15" t="inlineStr">
        <is>
          <t>guideline expenses and gross up for vacancy.</t>
        </is>
      </c>
    </row>
    <row r="16">
      <c r="A16" s="2" t="inlineStr"/>
    </row>
    <row r="17">
      <c r="A17" s="1" t="inlineStr">
        <is>
          <t>Projection</t>
        </is>
      </c>
      <c r="B17" t="inlineStr">
        <is>
          <t>Construction cost and duration, debt pricing, lease-up pace,</t>
        </is>
      </c>
    </row>
    <row r="18">
      <c r="A18" s="2" t="inlineStr"/>
      <c r="B18" t="inlineStr">
        <is>
          <t>rent and expense growth, condominium pricing, and the JV tiers.</t>
        </is>
      </c>
    </row>
    <row r="19">
      <c r="A19" s="2" t="inlineStr"/>
    </row>
    <row r="20">
      <c r="A20" s="1" t="inlineStr">
        <is>
          <t>Scenario A</t>
        </is>
      </c>
      <c r="B20" t="inlineStr">
        <is>
          <t>Merchant build. Sell in lease-up ~10 months after delivery.</t>
        </is>
      </c>
    </row>
    <row r="21">
      <c r="A21" s="2" t="inlineStr"/>
      <c r="B21" t="inlineStr">
        <is>
          <t>This is what Penzance and Baupost actually did at The Highlands:</t>
        </is>
      </c>
    </row>
    <row r="22">
      <c r="A22" s="2" t="inlineStr"/>
      <c r="B22" t="inlineStr">
        <is>
          <t>both towers sold 2022-05-17 at 83% and 60% occupancy.</t>
        </is>
      </c>
    </row>
    <row r="23">
      <c r="A23" s="1" t="inlineStr">
        <is>
          <t>Scenario B</t>
        </is>
      </c>
      <c r="B23" t="inlineStr">
        <is>
          <t>Build to core. Stabilize, refinance into permanent debt,</t>
        </is>
      </c>
    </row>
    <row r="24">
      <c r="A24" s="2" t="inlineStr"/>
      <c r="B24" t="inlineStr">
        <is>
          <t>hold five years, exit on escalated NOI.</t>
        </is>
      </c>
    </row>
    <row r="25">
      <c r="A25" s="2" t="inlineStr"/>
    </row>
    <row r="26">
      <c r="A26" s="1" t="inlineStr">
        <is>
          <t>NOT a claim</t>
        </is>
      </c>
      <c r="B26" t="inlineStr">
        <is>
          <t>Nothing here states what Penzance will earn.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3" customWidth="1" min="3" max="3"/>
    <col width="48" customWidth="1" min="4" max="4"/>
  </cols>
  <sheetData>
    <row r="1">
      <c r="A1" s="3" t="inlineStr">
        <is>
          <t>ASSUMPTIONS</t>
        </is>
      </c>
    </row>
    <row r="3">
      <c r="A3" s="4" t="inlineStr">
        <is>
          <t>SOURCE</t>
        </is>
      </c>
      <c r="D3" s="2" t="inlineStr"/>
    </row>
    <row r="4">
      <c r="A4" t="inlineStr">
        <is>
          <t>Model start</t>
        </is>
      </c>
      <c r="B4" t="inlineStr">
        <is>
          <t>2023-11</t>
        </is>
      </c>
      <c r="D4" s="2" t="inlineStr">
        <is>
          <t>Land acquisition, recorded</t>
        </is>
      </c>
    </row>
    <row r="5">
      <c r="A5" t="inlineStr">
        <is>
          <t>Periods</t>
        </is>
      </c>
      <c r="B5" t="n">
        <v>170</v>
      </c>
      <c r="C5" t="inlineStr">
        <is>
          <t>months</t>
        </is>
      </c>
      <c r="D5" s="2" t="inlineStr">
        <is>
          <t>to 2037-12</t>
        </is>
      </c>
    </row>
    <row r="6">
      <c r="D6" s="2" t="inlineStr"/>
    </row>
    <row r="7">
      <c r="A7" s="4" t="inlineStr">
        <is>
          <t>PROGRAM - FACT (Board Report SP #419)</t>
        </is>
      </c>
      <c r="D7" s="2" t="inlineStr"/>
    </row>
    <row r="8">
      <c r="A8" t="inlineStr">
        <is>
          <t>Residential GFA</t>
        </is>
      </c>
      <c r="B8" s="5" t="n">
        <v>957306</v>
      </c>
      <c r="C8" t="inlineStr">
        <is>
          <t>sf</t>
        </is>
      </c>
      <c r="D8" s="2" t="inlineStr"/>
    </row>
    <row r="9">
      <c r="A9" t="inlineStr">
        <is>
          <t>Retail GFA</t>
        </is>
      </c>
      <c r="B9" s="5" t="n">
        <v>14584</v>
      </c>
      <c r="C9" t="inlineStr">
        <is>
          <t>sf</t>
        </is>
      </c>
      <c r="D9" s="2" t="inlineStr"/>
    </row>
    <row r="10">
      <c r="A10" t="inlineStr">
        <is>
          <t>Total GFA</t>
        </is>
      </c>
      <c r="B10" s="5" t="n">
        <v>971890</v>
      </c>
      <c r="C10" t="inlineStr">
        <is>
          <t>sf</t>
        </is>
      </c>
      <c r="D10" s="2" t="inlineStr"/>
    </row>
    <row r="11">
      <c r="A11" t="inlineStr">
        <is>
          <t>Dwelling units</t>
        </is>
      </c>
      <c r="B11" t="n">
        <v>845</v>
      </c>
      <c r="C11" t="inlineStr">
        <is>
          <t>units</t>
        </is>
      </c>
      <c r="D11" s="2" t="inlineStr">
        <is>
          <t>845 = 73 + 311 + 461</t>
        </is>
      </c>
    </row>
    <row r="12">
      <c r="A12" t="inlineStr">
        <is>
          <t>NE tower (condominium)</t>
        </is>
      </c>
      <c r="B12" t="n">
        <v>73</v>
      </c>
      <c r="C12" t="inlineStr">
        <is>
          <t>units</t>
        </is>
      </c>
      <c r="D12" s="2" t="inlineStr">
        <is>
          <t>for sale</t>
        </is>
      </c>
    </row>
    <row r="13">
      <c r="A13" t="inlineStr">
        <is>
          <t>NW tower</t>
        </is>
      </c>
      <c r="B13" t="n">
        <v>311</v>
      </c>
      <c r="C13" t="inlineStr">
        <is>
          <t>units</t>
        </is>
      </c>
      <c r="D13" s="2" t="inlineStr">
        <is>
          <t>rental</t>
        </is>
      </c>
    </row>
    <row r="14">
      <c r="A14" t="inlineStr">
        <is>
          <t>S tower</t>
        </is>
      </c>
      <c r="B14" t="n">
        <v>461</v>
      </c>
      <c r="C14" t="inlineStr">
        <is>
          <t>units</t>
        </is>
      </c>
      <c r="D14" s="2" t="inlineStr">
        <is>
          <t>rental</t>
        </is>
      </c>
    </row>
    <row r="15">
      <c r="A15" t="inlineStr">
        <is>
          <t>Rental units</t>
        </is>
      </c>
      <c r="B15" t="n">
        <v>772</v>
      </c>
      <c r="C15" t="inlineStr">
        <is>
          <t>units</t>
        </is>
      </c>
      <c r="D15" s="2" t="inlineStr"/>
    </row>
    <row r="16">
      <c r="A16" t="inlineStr">
        <is>
          <t>Parking spaces</t>
        </is>
      </c>
      <c r="B16" t="n">
        <v>429</v>
      </c>
      <c r="C16" t="inlineStr">
        <is>
          <t>spaces</t>
        </is>
      </c>
      <c r="D16" s="2" t="inlineStr">
        <is>
          <t>0.51 per unit</t>
        </is>
      </c>
    </row>
    <row r="17">
      <c r="D17" s="2" t="inlineStr"/>
    </row>
    <row r="18">
      <c r="A18" s="4" t="inlineStr">
        <is>
          <t>LAND - FACT</t>
        </is>
      </c>
      <c r="D18" s="2" t="inlineStr"/>
    </row>
    <row r="19">
      <c r="A19" t="inlineStr">
        <is>
          <t>Purchase price</t>
        </is>
      </c>
      <c r="B19" s="5" t="n">
        <v>52000000</v>
      </c>
      <c r="C19" t="inlineStr">
        <is>
          <t>$</t>
        </is>
      </c>
      <c r="D19" s="2" t="inlineStr">
        <is>
          <t>deed 20230100013266</t>
        </is>
      </c>
    </row>
    <row r="20">
      <c r="A20" t="inlineStr">
        <is>
          <t>2026 assessed, 3 parcels</t>
        </is>
      </c>
      <c r="B20" s="5" t="n">
        <v>66786000</v>
      </c>
      <c r="C20" t="inlineStr">
        <is>
          <t>$</t>
        </is>
      </c>
      <c r="D20" s="2" t="inlineStr">
        <is>
          <t>purchase is 77.9% of assessed</t>
        </is>
      </c>
    </row>
    <row r="21">
      <c r="A21" t="inlineStr">
        <is>
          <t>County guideline land value</t>
        </is>
      </c>
      <c r="B21" s="5" t="n">
        <v>78000</v>
      </c>
      <c r="C21" t="inlineStr">
        <is>
          <t>$/rental unit</t>
        </is>
      </c>
      <c r="D21" s="2" t="inlineStr">
        <is>
          <t>Metro high-rise; 772 units = $60.2M</t>
        </is>
      </c>
    </row>
    <row r="22">
      <c r="D22" s="2" t="inlineStr"/>
    </row>
    <row r="23">
      <c r="A23" s="4" t="inlineStr">
        <is>
          <t>PUBLIC OBLIGATIONS - FACT, and the timing is fact too</t>
        </is>
      </c>
      <c r="D23" s="2" t="inlineStr"/>
    </row>
    <row r="24">
      <c r="A24" t="inlineStr">
        <is>
          <t>AHIF base density</t>
        </is>
      </c>
      <c r="B24" s="5" t="n">
        <v>3672828</v>
      </c>
      <c r="C24" t="inlineStr">
        <is>
          <t>$</t>
        </is>
      </c>
      <c r="D24" s="2" t="inlineStr">
        <is>
          <t>at construction start</t>
        </is>
      </c>
    </row>
    <row r="25">
      <c r="A25" t="inlineStr">
        <is>
          <t>AHIF - NE tower</t>
        </is>
      </c>
      <c r="B25" s="5" t="n">
        <v>651858</v>
      </c>
      <c r="C25" t="inlineStr">
        <is>
          <t>$</t>
        </is>
      </c>
      <c r="D25" s="2" t="inlineStr">
        <is>
          <t>at first partial CO</t>
        </is>
      </c>
    </row>
    <row r="26">
      <c r="A26" t="inlineStr">
        <is>
          <t>AHIF - NW tower</t>
        </is>
      </c>
      <c r="B26" s="5" t="n">
        <v>2777096</v>
      </c>
      <c r="C26" t="inlineStr">
        <is>
          <t>$</t>
        </is>
      </c>
      <c r="D26" s="2" t="inlineStr">
        <is>
          <t>at first partial CO</t>
        </is>
      </c>
    </row>
    <row r="27">
      <c r="A27" t="inlineStr">
        <is>
          <t>AHIF - S tower</t>
        </is>
      </c>
      <c r="B27" s="5" t="n">
        <v>4116531</v>
      </c>
      <c r="C27" t="inlineStr">
        <is>
          <t>$</t>
        </is>
      </c>
      <c r="D27" s="2" t="inlineStr">
        <is>
          <t>at first partial CO</t>
        </is>
      </c>
    </row>
    <row r="28">
      <c r="A28" t="inlineStr">
        <is>
          <t>Public space (RMSA)</t>
        </is>
      </c>
      <c r="B28" s="5" t="n">
        <v>2000000</v>
      </c>
      <c r="C28" t="inlineStr">
        <is>
          <t>$</t>
        </is>
      </c>
      <c r="D28" s="2" t="inlineStr"/>
    </row>
    <row r="29">
      <c r="A29" t="inlineStr">
        <is>
          <t>Transportation (RMSA)</t>
        </is>
      </c>
      <c r="B29" s="5" t="n">
        <v>3000000</v>
      </c>
      <c r="C29" t="inlineStr">
        <is>
          <t>$</t>
        </is>
      </c>
      <c r="D29" s="2" t="inlineStr"/>
    </row>
    <row r="30">
      <c r="D30" s="2" t="inlineStr"/>
    </row>
    <row r="31">
      <c r="A31" s="4" t="inlineStr">
        <is>
          <t>CONSTRUCTION - anchored to The Highlands actual spend</t>
        </is>
      </c>
      <c r="D31" s="2" t="inlineStr"/>
    </row>
    <row r="32">
      <c r="A32" t="inlineStr">
        <is>
          <t>Buildings, Highlands</t>
        </is>
      </c>
      <c r="B32" t="n">
        <v>255</v>
      </c>
      <c r="C32" t="inlineStr">
        <is>
          <t>$/sf GFA</t>
        </is>
      </c>
      <c r="D32" s="2" t="inlineStr">
        <is>
          <t>$301,693,050 / 1,183,110 sf</t>
        </is>
      </c>
    </row>
    <row r="33">
      <c r="A33" t="inlineStr">
        <is>
          <t>Parking, Highlands</t>
        </is>
      </c>
      <c r="B33" s="5" t="n">
        <v>32000</v>
      </c>
      <c r="C33" t="inlineStr">
        <is>
          <t>$/space</t>
        </is>
      </c>
      <c r="D33" s="2" t="inlineStr">
        <is>
          <t>$33,184,000 / 1,037 spaces</t>
        </is>
      </c>
    </row>
    <row r="34">
      <c r="A34" t="inlineStr">
        <is>
          <t>Escalation, realized</t>
        </is>
      </c>
      <c r="B34" t="n">
        <v>1.534</v>
      </c>
      <c r="C34" t="inlineStr">
        <is>
          <t>x</t>
        </is>
      </c>
      <c r="D34" s="2" t="inlineStr">
        <is>
          <t>BLS WPUIP2312001, 2019-11 to 2026-07</t>
        </is>
      </c>
    </row>
    <row r="35">
      <c r="A35" t="inlineStr">
        <is>
          <t>Escalation, forward</t>
        </is>
      </c>
      <c r="B35" s="6" t="n">
        <v>0.0343</v>
      </c>
      <c r="C35" t="inlineStr">
        <is>
          <t>/yr</t>
        </is>
      </c>
      <c r="D35" s="2" t="inlineStr">
        <is>
          <t>36-month trailing on same index</t>
        </is>
      </c>
    </row>
    <row r="36">
      <c r="A36" t="inlineStr">
        <is>
          <t>Escalation years forward</t>
        </is>
      </c>
      <c r="B36" t="n">
        <v>2.17</v>
      </c>
      <c r="C36" t="inlineStr">
        <is>
          <t>yrs</t>
        </is>
      </c>
      <c r="D36" s="2" t="inlineStr">
        <is>
          <t>2026-07 to 2028-09 midpoint</t>
        </is>
      </c>
    </row>
    <row r="37">
      <c r="A37" t="inlineStr">
        <is>
          <t>Soft cost ratio</t>
        </is>
      </c>
      <c r="B37" s="6" t="n">
        <v>0.180893</v>
      </c>
      <c r="C37" t="inlineStr">
        <is>
          <t>of hard</t>
        </is>
      </c>
      <c r="D37" s="2" t="inlineStr">
        <is>
          <t>Highlands</t>
        </is>
      </c>
    </row>
    <row r="38">
      <c r="A38" t="inlineStr">
        <is>
          <t>Contingency ratio</t>
        </is>
      </c>
      <c r="B38" s="6" t="n">
        <v>0.053203</v>
      </c>
      <c r="C38" t="inlineStr">
        <is>
          <t>of hard</t>
        </is>
      </c>
      <c r="D38" s="2" t="inlineStr">
        <is>
          <t>Highlands</t>
        </is>
      </c>
    </row>
    <row r="39">
      <c r="A39" t="inlineStr">
        <is>
          <t>Developer fee ratio</t>
        </is>
      </c>
      <c r="B39" s="6" t="n">
        <v>0.053736</v>
      </c>
      <c r="C39" t="inlineStr">
        <is>
          <t>of hard</t>
        </is>
      </c>
      <c r="D39" s="2" t="inlineStr">
        <is>
          <t>Highlands</t>
        </is>
      </c>
    </row>
    <row r="40">
      <c r="A40" t="inlineStr">
        <is>
          <t>Construction start</t>
        </is>
      </c>
      <c r="B40" t="n">
        <v>37</v>
      </c>
      <c r="C40" t="inlineStr">
        <is>
          <t>month #</t>
        </is>
      </c>
      <c r="D40" s="2" t="inlineStr">
        <is>
          <t>2026-12, reported</t>
        </is>
      </c>
    </row>
    <row r="41">
      <c r="A41" t="inlineStr">
        <is>
          <t>Construction months</t>
        </is>
      </c>
      <c r="B41" t="n">
        <v>42</v>
      </c>
      <c r="C41" t="inlineStr">
        <is>
          <t>months</t>
        </is>
      </c>
      <c r="D41" s="2" t="inlineStr">
        <is>
          <t>PROJECTION</t>
        </is>
      </c>
    </row>
    <row r="42">
      <c r="D42" s="2" t="inlineStr"/>
    </row>
    <row r="43">
      <c r="A43" s="4" t="inlineStr">
        <is>
          <t>OPERATIONS - FACT (Arlington 2026 Guidebook, MARKET, PCC 313, 2010+)</t>
        </is>
      </c>
      <c r="D43" s="2" t="inlineStr"/>
    </row>
    <row r="44">
      <c r="A44" t="inlineStr">
        <is>
          <t>Loaded cap rate, Metro</t>
        </is>
      </c>
      <c r="B44" s="6" t="n">
        <v>0.0545</v>
      </c>
      <c r="D44" s="2" t="inlineStr">
        <is>
          <t>5.45%</t>
        </is>
      </c>
    </row>
    <row r="45">
      <c r="A45" t="inlineStr">
        <is>
          <t>Expenses per unit</t>
        </is>
      </c>
      <c r="B45" s="5" t="n">
        <v>9466</v>
      </c>
      <c r="C45" t="inlineStr">
        <is>
          <t>$/unit/yr</t>
        </is>
      </c>
      <c r="D45" s="2" t="inlineStr">
        <is>
          <t>2026 dollars</t>
        </is>
      </c>
    </row>
    <row r="46">
      <c r="A46" t="inlineStr">
        <is>
          <t>Vacancy and collection</t>
        </is>
      </c>
      <c r="B46" s="6" t="n">
        <v>0.05</v>
      </c>
      <c r="D46" s="2" t="inlineStr">
        <is>
          <t>includes concessions</t>
        </is>
      </c>
    </row>
    <row r="47">
      <c r="A47" t="inlineStr">
        <is>
          <t>Rent per unit (derived)</t>
        </is>
      </c>
      <c r="B47" s="5" t="n">
        <v>3789</v>
      </c>
      <c r="C47" t="inlineStr">
        <is>
          <t>$/unit/mo</t>
        </is>
      </c>
      <c r="D47" s="2" t="inlineStr">
        <is>
          <t>2026 dollars, County method</t>
        </is>
      </c>
    </row>
    <row r="48">
      <c r="A48" t="inlineStr">
        <is>
          <t>Parking revenue</t>
        </is>
      </c>
      <c r="B48" t="n">
        <v>100</v>
      </c>
      <c r="C48" t="inlineStr">
        <is>
          <t>$/space/mo</t>
        </is>
      </c>
      <c r="D48" s="2" t="inlineStr">
        <is>
          <t>midpoint of $50-150 guideline</t>
        </is>
      </c>
    </row>
    <row r="49">
      <c r="A49" t="inlineStr">
        <is>
          <t>Growth, rent and expenses</t>
        </is>
      </c>
      <c r="B49" s="6" t="n">
        <v>0.03</v>
      </c>
      <c r="C49" t="inlineStr">
        <is>
          <t>/yr</t>
        </is>
      </c>
      <c r="D49" s="2" t="inlineStr">
        <is>
          <t>below BLS CUSR0000SEHA 10yr 4.23%, 3yr 3.98%</t>
        </is>
      </c>
    </row>
    <row r="50">
      <c r="D50" s="2" t="inlineStr"/>
    </row>
    <row r="51">
      <c r="A51" s="4" t="inlineStr">
        <is>
          <t>TIMING - PROJECTION</t>
        </is>
      </c>
      <c r="D51" s="2" t="inlineStr"/>
    </row>
    <row r="52">
      <c r="A52" t="inlineStr">
        <is>
          <t>NE / NW delivery</t>
        </is>
      </c>
      <c r="B52" t="n">
        <v>79</v>
      </c>
      <c r="C52" t="inlineStr">
        <is>
          <t>month #</t>
        </is>
      </c>
      <c r="D52" s="2" t="inlineStr">
        <is>
          <t>2030-06</t>
        </is>
      </c>
    </row>
    <row r="53">
      <c r="A53" t="inlineStr">
        <is>
          <t>S delivery</t>
        </is>
      </c>
      <c r="B53" t="n">
        <v>85</v>
      </c>
      <c r="C53" t="inlineStr">
        <is>
          <t>month #</t>
        </is>
      </c>
      <c r="D53" s="2" t="inlineStr">
        <is>
          <t>2030-12</t>
        </is>
      </c>
    </row>
    <row r="54">
      <c r="A54" t="inlineStr">
        <is>
          <t>Lease-up to stabilization</t>
        </is>
      </c>
      <c r="B54" t="n">
        <v>18</v>
      </c>
      <c r="C54" t="inlineStr">
        <is>
          <t>months</t>
        </is>
      </c>
      <c r="D54" s="2" t="inlineStr"/>
    </row>
    <row r="55">
      <c r="A55" t="inlineStr">
        <is>
          <t>Stabilization</t>
        </is>
      </c>
      <c r="B55" t="n">
        <v>103</v>
      </c>
      <c r="C55" t="inlineStr">
        <is>
          <t>month #</t>
        </is>
      </c>
      <c r="D55" s="2" t="inlineStr">
        <is>
          <t>2032-06</t>
        </is>
      </c>
    </row>
    <row r="56">
      <c r="A56" t="inlineStr">
        <is>
          <t>Scenario A exit</t>
        </is>
      </c>
      <c r="B56" t="n">
        <v>95</v>
      </c>
      <c r="C56" t="inlineStr">
        <is>
          <t>month #</t>
        </is>
      </c>
      <c r="D56" s="2" t="inlineStr">
        <is>
          <t>2031-10, ~10 months post-delivery</t>
        </is>
      </c>
    </row>
    <row r="57">
      <c r="A57" t="inlineStr">
        <is>
          <t>Scenario B refinance</t>
        </is>
      </c>
      <c r="B57" t="n">
        <v>103</v>
      </c>
      <c r="C57" t="inlineStr">
        <is>
          <t>month #</t>
        </is>
      </c>
      <c r="D57" s="2" t="inlineStr">
        <is>
          <t>2032-06, at stabilization</t>
        </is>
      </c>
    </row>
    <row r="58">
      <c r="A58" t="inlineStr">
        <is>
          <t>Scenario B exit</t>
        </is>
      </c>
      <c r="B58" t="n">
        <v>163</v>
      </c>
      <c r="C58" t="inlineStr">
        <is>
          <t>month #</t>
        </is>
      </c>
      <c r="D58" s="2" t="inlineStr">
        <is>
          <t>2037-06, five-year hold</t>
        </is>
      </c>
    </row>
    <row r="59">
      <c r="A59" t="inlineStr">
        <is>
          <t>Condominium sellout start</t>
        </is>
      </c>
      <c r="B59" t="n">
        <v>79</v>
      </c>
      <c r="C59" t="inlineStr">
        <is>
          <t>month #</t>
        </is>
      </c>
      <c r="D59" s="2" t="inlineStr">
        <is>
          <t>at NE delivery</t>
        </is>
      </c>
    </row>
    <row r="60">
      <c r="A60" t="inlineStr">
        <is>
          <t>Condominium sellout months</t>
        </is>
      </c>
      <c r="B60" t="n">
        <v>24</v>
      </c>
      <c r="C60" t="inlineStr">
        <is>
          <t>months</t>
        </is>
      </c>
      <c r="D60" s="2" t="inlineStr"/>
    </row>
    <row r="61">
      <c r="D61" s="2" t="inlineStr"/>
    </row>
    <row r="62">
      <c r="A62" s="4" t="inlineStr">
        <is>
          <t>FINANCE - PROJECTION (no instrument recorded)</t>
        </is>
      </c>
      <c r="D62" s="2" t="inlineStr"/>
    </row>
    <row r="63">
      <c r="A63" t="inlineStr">
        <is>
          <t>SOFR</t>
        </is>
      </c>
      <c r="B63" s="6" t="n">
        <v>0.0365</v>
      </c>
      <c r="D63" s="2" t="inlineStr">
        <is>
          <t>FACT, 2026-08-24, FRED</t>
        </is>
      </c>
    </row>
    <row r="64">
      <c r="A64" t="inlineStr">
        <is>
          <t>10-year Treasury</t>
        </is>
      </c>
      <c r="B64" s="6" t="n">
        <v>0.047</v>
      </c>
      <c r="D64" s="2" t="inlineStr">
        <is>
          <t>FACT, 2026-08-24, FRED</t>
        </is>
      </c>
    </row>
    <row r="65">
      <c r="A65" t="inlineStr">
        <is>
          <t>Construction spread</t>
        </is>
      </c>
      <c r="B65" s="6" t="n">
        <v>0.0275</v>
      </c>
      <c r="D65" s="2" t="inlineStr">
        <is>
          <t>PROJECTION</t>
        </is>
      </c>
    </row>
    <row r="66">
      <c r="A66" t="inlineStr">
        <is>
          <t>Construction loan rate</t>
        </is>
      </c>
      <c r="B66" s="6" t="n">
        <v>0.064</v>
      </c>
      <c r="D66" s="2" t="inlineStr">
        <is>
          <t>SOFR + spread</t>
        </is>
      </c>
    </row>
    <row r="67">
      <c r="A67" t="inlineStr">
        <is>
          <t>Loan to cost</t>
        </is>
      </c>
      <c r="B67" s="7" t="n">
        <v>0.6</v>
      </c>
      <c r="D67" s="2" t="inlineStr">
        <is>
          <t>PROJECTION</t>
        </is>
      </c>
    </row>
    <row r="68">
      <c r="A68" t="inlineStr">
        <is>
          <t>Permanent loan spread</t>
        </is>
      </c>
      <c r="B68" s="6" t="n">
        <v>0.0175</v>
      </c>
      <c r="D68" s="2" t="inlineStr">
        <is>
          <t>PROJECTION, over 10-yr Treasury</t>
        </is>
      </c>
    </row>
    <row r="69">
      <c r="A69" t="inlineStr">
        <is>
          <t>Permanent loan rate</t>
        </is>
      </c>
      <c r="B69" s="6" t="n">
        <v>0.0645</v>
      </c>
      <c r="D69" s="2" t="inlineStr">
        <is>
          <t>scenario B only</t>
        </is>
      </c>
    </row>
    <row r="70">
      <c r="A70" t="inlineStr">
        <is>
          <t>Permanent loan to value</t>
        </is>
      </c>
      <c r="B70" s="7" t="n">
        <v>0.6</v>
      </c>
      <c r="D70" s="2" t="inlineStr">
        <is>
          <t>scenario B only</t>
        </is>
      </c>
    </row>
    <row r="71">
      <c r="A71" t="inlineStr">
        <is>
          <t>Permanent amortization</t>
        </is>
      </c>
      <c r="B71" t="n">
        <v>30</v>
      </c>
      <c r="C71" t="inlineStr">
        <is>
          <t>years</t>
        </is>
      </c>
      <c r="D71" s="2" t="inlineStr">
        <is>
          <t>scenario B only</t>
        </is>
      </c>
    </row>
    <row r="72">
      <c r="D72" s="2" t="inlineStr"/>
    </row>
    <row r="73">
      <c r="A73" s="4" t="inlineStr">
        <is>
          <t>EXIT - FACT comparables, used as a cross-check on derived value</t>
        </is>
      </c>
      <c r="D73" s="2" t="inlineStr"/>
    </row>
    <row r="74">
      <c r="A74" t="inlineStr">
        <is>
          <t>Aubrey, 2022-05</t>
        </is>
      </c>
      <c r="B74" s="5" t="n">
        <v>805000</v>
      </c>
      <c r="C74" t="inlineStr">
        <is>
          <t>$/unit</t>
        </is>
      </c>
      <c r="D74" s="2" t="inlineStr">
        <is>
          <t>recorded</t>
        </is>
      </c>
    </row>
    <row r="75">
      <c r="A75" t="inlineStr">
        <is>
          <t>Evo, 2022-05</t>
        </is>
      </c>
      <c r="B75" s="5" t="n">
        <v>735385</v>
      </c>
      <c r="C75" t="inlineStr">
        <is>
          <t>$/unit</t>
        </is>
      </c>
      <c r="D75" s="2" t="inlineStr">
        <is>
          <t>recorded</t>
        </is>
      </c>
    </row>
    <row r="76">
      <c r="A76" t="inlineStr">
        <is>
          <t>3275 Washington Blvd, 2024-12</t>
        </is>
      </c>
      <c r="B76" s="5" t="n">
        <v>592884</v>
      </c>
      <c r="C76" t="inlineStr">
        <is>
          <t>$/unit</t>
        </is>
      </c>
      <c r="D76" s="2" t="inlineStr">
        <is>
          <t>recorded</t>
        </is>
      </c>
    </row>
    <row r="77">
      <c r="A77" t="inlineStr">
        <is>
          <t>Central Place, 2026-07</t>
        </is>
      </c>
      <c r="B77" s="5" t="n">
        <v>547082</v>
      </c>
      <c r="C77" t="inlineStr">
        <is>
          <t>$/unit</t>
        </is>
      </c>
      <c r="D77" s="2" t="inlineStr">
        <is>
          <t>recorded, 88.4% of assessed</t>
        </is>
      </c>
    </row>
    <row r="78">
      <c r="A78" t="inlineStr">
        <is>
          <t>Central Place, assessed basis</t>
        </is>
      </c>
      <c r="B78" s="5" t="n">
        <v>618799</v>
      </c>
      <c r="C78" t="inlineStr">
        <is>
          <t>$/unit</t>
        </is>
      </c>
      <c r="D78" s="2" t="inlineStr">
        <is>
          <t>County guideline value</t>
        </is>
      </c>
    </row>
    <row r="79">
      <c r="A79" t="inlineStr">
        <is>
          <t>Selling costs</t>
        </is>
      </c>
      <c r="B79" s="6" t="n">
        <v>0.05</v>
      </c>
      <c r="D79" s="2" t="inlineStr">
        <is>
          <t>PROJECTION</t>
        </is>
      </c>
    </row>
    <row r="80">
      <c r="D80" s="2" t="inlineStr"/>
    </row>
    <row r="81">
      <c r="A81" s="4" t="inlineStr">
        <is>
          <t>CONDOMINIUM - PROJECTION, the weakest input</t>
        </is>
      </c>
      <c r="D81" s="2" t="inlineStr"/>
    </row>
    <row r="82">
      <c r="A82" t="inlineStr">
        <is>
          <t>Pierce per unit, Highlands</t>
        </is>
      </c>
      <c r="B82" s="5" t="n">
        <v>1864571</v>
      </c>
      <c r="C82" t="inlineStr">
        <is>
          <t>$/unit</t>
        </is>
      </c>
      <c r="D82" s="2" t="inlineStr">
        <is>
          <t>FACT, 102 recorded closings</t>
        </is>
      </c>
    </row>
    <row r="83">
      <c r="A83" t="inlineStr">
        <is>
          <t>NE tower average size</t>
        </is>
      </c>
      <c r="B83" s="5" t="n">
        <v>2272.821917808219</v>
      </c>
      <c r="C83" t="inlineStr">
        <is>
          <t>sf</t>
        </is>
      </c>
      <c r="D83" s="2" t="inlineStr">
        <is>
          <t>2,273 sf, far larger than Pierce</t>
        </is>
      </c>
    </row>
    <row r="84">
      <c r="D84" s="2" t="inlineStr"/>
    </row>
    <row r="85">
      <c r="A85" s="4" t="inlineStr">
        <is>
          <t>JV - PROJECTION in full, terms are private</t>
        </is>
      </c>
      <c r="D85" s="2" t="inlineStr"/>
    </row>
    <row r="86">
      <c r="A86" t="inlineStr">
        <is>
          <t>Preferred return</t>
        </is>
      </c>
      <c r="B86" s="6" t="n">
        <v>0.08</v>
      </c>
      <c r="D86" s="2" t="inlineStr"/>
    </row>
    <row r="87">
      <c r="A87" t="inlineStr">
        <is>
          <t>Sponsor share of equity</t>
        </is>
      </c>
      <c r="B87" s="6" t="n">
        <v>0.1</v>
      </c>
      <c r="D87" s="2" t="inlineStr"/>
    </row>
    <row r="88">
      <c r="A88" t="inlineStr">
        <is>
          <t>Promote</t>
        </is>
      </c>
      <c r="B88" s="6" t="n">
        <v>0.2</v>
      </c>
      <c r="D8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2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8" t="inlineStr">
        <is>
          <t>MONTHLY CASH FLOW - construction and operations, before exit and scenario financing</t>
        </is>
      </c>
    </row>
    <row r="2">
      <c r="A2" s="2" t="inlineStr">
        <is>
          <t>Development cost is a parabolic draw over the construction window. Equity funds to its commitment first; the facility draws the residual and capitalizes interest.</t>
        </is>
      </c>
    </row>
    <row r="3">
      <c r="A3" s="2" t="inlineStr">
        <is>
          <t>Rent, parking and expenses escalate at the growth rate from the 2026 guideline base (month 32 = 2026-07). Freezing them at 2026 for a 2030 delivery would understate the deal.</t>
        </is>
      </c>
    </row>
    <row r="7">
      <c r="A7" s="4" t="inlineStr">
        <is>
          <t>Month #</t>
        </is>
      </c>
      <c r="B7" s="4" t="inlineStr">
        <is>
          <t>Date</t>
        </is>
      </c>
      <c r="C7" s="4" t="inlineStr">
        <is>
          <t>Dev cost</t>
        </is>
      </c>
      <c r="D7" s="4" t="inlineStr">
        <is>
          <t>Cum dev</t>
        </is>
      </c>
      <c r="E7" s="4" t="inlineStr">
        <is>
          <t>Equity draw</t>
        </is>
      </c>
      <c r="F7" s="4" t="inlineStr">
        <is>
          <t>Cum equity</t>
        </is>
      </c>
      <c r="G7" s="4" t="inlineStr">
        <is>
          <t>Loan draw</t>
        </is>
      </c>
      <c r="H7" s="4" t="inlineStr">
        <is>
          <t>Interest cap</t>
        </is>
      </c>
      <c r="I7" s="4" t="inlineStr">
        <is>
          <t>Loan bal EOP</t>
        </is>
      </c>
      <c r="J7" s="4" t="inlineStr">
        <is>
          <t>Units occ</t>
        </is>
      </c>
      <c r="K7" s="4" t="inlineStr">
        <is>
          <t>Rent</t>
        </is>
      </c>
      <c r="L7" s="4" t="inlineStr">
        <is>
          <t>Parking</t>
        </is>
      </c>
      <c r="M7" s="4" t="inlineStr">
        <is>
          <t>Opex</t>
        </is>
      </c>
      <c r="N7" s="4" t="inlineStr">
        <is>
          <t>NOI</t>
        </is>
      </c>
      <c r="O7" s="4" t="inlineStr">
        <is>
          <t>Condo net</t>
        </is>
      </c>
      <c r="P7" s="4" t="inlineStr">
        <is>
          <t>Unlevered CF</t>
        </is>
      </c>
    </row>
    <row r="8">
      <c r="A8" t="n">
        <v>0</v>
      </c>
      <c r="B8" t="inlineStr">
        <is>
          <t>2023-11</t>
        </is>
      </c>
      <c r="C8" s="5" t="n">
        <v>52000000</v>
      </c>
      <c r="D8" s="5">
        <f>C8</f>
        <v/>
      </c>
      <c r="E8" s="5" t="n">
        <v>52000000</v>
      </c>
      <c r="F8" s="5">
        <f>E8</f>
        <v/>
      </c>
      <c r="G8" s="5" t="n">
        <v>0</v>
      </c>
      <c r="H8" s="5" t="n">
        <v>0</v>
      </c>
      <c r="I8" s="5">
        <f>G8+H8</f>
        <v/>
      </c>
      <c r="J8" t="n">
        <v>0</v>
      </c>
      <c r="K8" s="5">
        <f>J8*Assumptions!$B$47*(1+Assumptions!$B$49)^((A8-32)/12)</f>
        <v/>
      </c>
      <c r="L8" s="5">
        <f>J8*Assumptions!$B$48*0.5*(1+Assumptions!$B$49)^((A8-32)/12)</f>
        <v/>
      </c>
      <c r="M8" s="5">
        <f>J8*Assumptions!$B$45/12*(1+Assumptions!$B$49)^((A8-32)/12)</f>
        <v/>
      </c>
      <c r="N8" s="5">
        <f>K8+L8-M8</f>
        <v/>
      </c>
      <c r="O8" s="5" t="n">
        <v>0</v>
      </c>
      <c r="P8" s="5">
        <f>N8+O8-C8</f>
        <v/>
      </c>
    </row>
    <row r="9">
      <c r="A9" t="n">
        <v>1</v>
      </c>
      <c r="B9" t="inlineStr">
        <is>
          <t>2023-12</t>
        </is>
      </c>
      <c r="C9" s="5" t="n">
        <v>0</v>
      </c>
      <c r="D9" s="5">
        <f>D8+C9</f>
        <v/>
      </c>
      <c r="E9" s="5" t="n">
        <v>0</v>
      </c>
      <c r="F9" s="5">
        <f>F8+E9</f>
        <v/>
      </c>
      <c r="G9" s="5" t="n">
        <v>0</v>
      </c>
      <c r="H9" s="5">
        <f>I8*Assumptions!$B$66/12</f>
        <v/>
      </c>
      <c r="I9" s="5">
        <f>I8+G9+H9</f>
        <v/>
      </c>
      <c r="J9" t="n">
        <v>0</v>
      </c>
      <c r="K9" s="5">
        <f>J9*Assumptions!$B$47*(1+Assumptions!$B$49)^((A9-32)/12)</f>
        <v/>
      </c>
      <c r="L9" s="5">
        <f>J9*Assumptions!$B$48*0.5*(1+Assumptions!$B$49)^((A9-32)/12)</f>
        <v/>
      </c>
      <c r="M9" s="5">
        <f>J9*Assumptions!$B$45/12*(1+Assumptions!$B$49)^((A9-32)/12)</f>
        <v/>
      </c>
      <c r="N9" s="5">
        <f>K9+L9-M9</f>
        <v/>
      </c>
      <c r="O9" s="5" t="n">
        <v>0</v>
      </c>
      <c r="P9" s="5">
        <f>N9+O9-C9</f>
        <v/>
      </c>
    </row>
    <row r="10">
      <c r="A10" t="n">
        <v>2</v>
      </c>
      <c r="B10" t="inlineStr">
        <is>
          <t>2024-01</t>
        </is>
      </c>
      <c r="C10" s="5" t="n">
        <v>0</v>
      </c>
      <c r="D10" s="5">
        <f>D9+C10</f>
        <v/>
      </c>
      <c r="E10" s="5" t="n">
        <v>0</v>
      </c>
      <c r="F10" s="5">
        <f>F9+E10</f>
        <v/>
      </c>
      <c r="G10" s="5" t="n">
        <v>0</v>
      </c>
      <c r="H10" s="5">
        <f>I9*Assumptions!$B$66/12</f>
        <v/>
      </c>
      <c r="I10" s="5">
        <f>I9+G10+H10</f>
        <v/>
      </c>
      <c r="J10" t="n">
        <v>0</v>
      </c>
      <c r="K10" s="5">
        <f>J10*Assumptions!$B$47*(1+Assumptions!$B$49)^((A10-32)/12)</f>
        <v/>
      </c>
      <c r="L10" s="5">
        <f>J10*Assumptions!$B$48*0.5*(1+Assumptions!$B$49)^((A10-32)/12)</f>
        <v/>
      </c>
      <c r="M10" s="5">
        <f>J10*Assumptions!$B$45/12*(1+Assumptions!$B$49)^((A10-32)/12)</f>
        <v/>
      </c>
      <c r="N10" s="5">
        <f>K10+L10-M10</f>
        <v/>
      </c>
      <c r="O10" s="5" t="n">
        <v>0</v>
      </c>
      <c r="P10" s="5">
        <f>N10+O10-C10</f>
        <v/>
      </c>
    </row>
    <row r="11">
      <c r="A11" t="n">
        <v>3</v>
      </c>
      <c r="B11" t="inlineStr">
        <is>
          <t>2024-02</t>
        </is>
      </c>
      <c r="C11" s="5" t="n">
        <v>0</v>
      </c>
      <c r="D11" s="5">
        <f>D10+C11</f>
        <v/>
      </c>
      <c r="E11" s="5" t="n">
        <v>0</v>
      </c>
      <c r="F11" s="5">
        <f>F10+E11</f>
        <v/>
      </c>
      <c r="G11" s="5" t="n">
        <v>0</v>
      </c>
      <c r="H11" s="5">
        <f>I10*Assumptions!$B$66/12</f>
        <v/>
      </c>
      <c r="I11" s="5">
        <f>I10+G11+H11</f>
        <v/>
      </c>
      <c r="J11" t="n">
        <v>0</v>
      </c>
      <c r="K11" s="5">
        <f>J11*Assumptions!$B$47*(1+Assumptions!$B$49)^((A11-32)/12)</f>
        <v/>
      </c>
      <c r="L11" s="5">
        <f>J11*Assumptions!$B$48*0.5*(1+Assumptions!$B$49)^((A11-32)/12)</f>
        <v/>
      </c>
      <c r="M11" s="5">
        <f>J11*Assumptions!$B$45/12*(1+Assumptions!$B$49)^((A11-32)/12)</f>
        <v/>
      </c>
      <c r="N11" s="5">
        <f>K11+L11-M11</f>
        <v/>
      </c>
      <c r="O11" s="5" t="n">
        <v>0</v>
      </c>
      <c r="P11" s="5">
        <f>N11+O11-C11</f>
        <v/>
      </c>
    </row>
    <row r="12">
      <c r="A12" t="n">
        <v>4</v>
      </c>
      <c r="B12" t="inlineStr">
        <is>
          <t>2024-03</t>
        </is>
      </c>
      <c r="C12" s="5" t="n">
        <v>0</v>
      </c>
      <c r="D12" s="5">
        <f>D11+C12</f>
        <v/>
      </c>
      <c r="E12" s="5" t="n">
        <v>0</v>
      </c>
      <c r="F12" s="5">
        <f>F11+E12</f>
        <v/>
      </c>
      <c r="G12" s="5" t="n">
        <v>0</v>
      </c>
      <c r="H12" s="5">
        <f>I11*Assumptions!$B$66/12</f>
        <v/>
      </c>
      <c r="I12" s="5">
        <f>I11+G12+H12</f>
        <v/>
      </c>
      <c r="J12" t="n">
        <v>0</v>
      </c>
      <c r="K12" s="5">
        <f>J12*Assumptions!$B$47*(1+Assumptions!$B$49)^((A12-32)/12)</f>
        <v/>
      </c>
      <c r="L12" s="5">
        <f>J12*Assumptions!$B$48*0.5*(1+Assumptions!$B$49)^((A12-32)/12)</f>
        <v/>
      </c>
      <c r="M12" s="5">
        <f>J12*Assumptions!$B$45/12*(1+Assumptions!$B$49)^((A12-32)/12)</f>
        <v/>
      </c>
      <c r="N12" s="5">
        <f>K12+L12-M12</f>
        <v/>
      </c>
      <c r="O12" s="5" t="n">
        <v>0</v>
      </c>
      <c r="P12" s="5">
        <f>N12+O12-C12</f>
        <v/>
      </c>
    </row>
    <row r="13">
      <c r="A13" t="n">
        <v>5</v>
      </c>
      <c r="B13" t="inlineStr">
        <is>
          <t>2024-04</t>
        </is>
      </c>
      <c r="C13" s="5" t="n">
        <v>0</v>
      </c>
      <c r="D13" s="5">
        <f>D12+C13</f>
        <v/>
      </c>
      <c r="E13" s="5" t="n">
        <v>0</v>
      </c>
      <c r="F13" s="5">
        <f>F12+E13</f>
        <v/>
      </c>
      <c r="G13" s="5" t="n">
        <v>0</v>
      </c>
      <c r="H13" s="5">
        <f>I12*Assumptions!$B$66/12</f>
        <v/>
      </c>
      <c r="I13" s="5">
        <f>I12+G13+H13</f>
        <v/>
      </c>
      <c r="J13" t="n">
        <v>0</v>
      </c>
      <c r="K13" s="5">
        <f>J13*Assumptions!$B$47*(1+Assumptions!$B$49)^((A13-32)/12)</f>
        <v/>
      </c>
      <c r="L13" s="5">
        <f>J13*Assumptions!$B$48*0.5*(1+Assumptions!$B$49)^((A13-32)/12)</f>
        <v/>
      </c>
      <c r="M13" s="5">
        <f>J13*Assumptions!$B$45/12*(1+Assumptions!$B$49)^((A13-32)/12)</f>
        <v/>
      </c>
      <c r="N13" s="5">
        <f>K13+L13-M13</f>
        <v/>
      </c>
      <c r="O13" s="5" t="n">
        <v>0</v>
      </c>
      <c r="P13" s="5">
        <f>N13+O13-C13</f>
        <v/>
      </c>
    </row>
    <row r="14">
      <c r="A14" t="n">
        <v>6</v>
      </c>
      <c r="B14" t="inlineStr">
        <is>
          <t>2024-05</t>
        </is>
      </c>
      <c r="C14" s="5" t="n">
        <v>0</v>
      </c>
      <c r="D14" s="5">
        <f>D13+C14</f>
        <v/>
      </c>
      <c r="E14" s="5" t="n">
        <v>0</v>
      </c>
      <c r="F14" s="5">
        <f>F13+E14</f>
        <v/>
      </c>
      <c r="G14" s="5" t="n">
        <v>0</v>
      </c>
      <c r="H14" s="5">
        <f>I13*Assumptions!$B$66/12</f>
        <v/>
      </c>
      <c r="I14" s="5">
        <f>I13+G14+H14</f>
        <v/>
      </c>
      <c r="J14" t="n">
        <v>0</v>
      </c>
      <c r="K14" s="5">
        <f>J14*Assumptions!$B$47*(1+Assumptions!$B$49)^((A14-32)/12)</f>
        <v/>
      </c>
      <c r="L14" s="5">
        <f>J14*Assumptions!$B$48*0.5*(1+Assumptions!$B$49)^((A14-32)/12)</f>
        <v/>
      </c>
      <c r="M14" s="5">
        <f>J14*Assumptions!$B$45/12*(1+Assumptions!$B$49)^((A14-32)/12)</f>
        <v/>
      </c>
      <c r="N14" s="5">
        <f>K14+L14-M14</f>
        <v/>
      </c>
      <c r="O14" s="5" t="n">
        <v>0</v>
      </c>
      <c r="P14" s="5">
        <f>N14+O14-C14</f>
        <v/>
      </c>
    </row>
    <row r="15">
      <c r="A15" t="n">
        <v>7</v>
      </c>
      <c r="B15" t="inlineStr">
        <is>
          <t>2024-06</t>
        </is>
      </c>
      <c r="C15" s="5" t="n">
        <v>0</v>
      </c>
      <c r="D15" s="5">
        <f>D14+C15</f>
        <v/>
      </c>
      <c r="E15" s="5" t="n">
        <v>0</v>
      </c>
      <c r="F15" s="5">
        <f>F14+E15</f>
        <v/>
      </c>
      <c r="G15" s="5" t="n">
        <v>0</v>
      </c>
      <c r="H15" s="5">
        <f>I14*Assumptions!$B$66/12</f>
        <v/>
      </c>
      <c r="I15" s="5">
        <f>I14+G15+H15</f>
        <v/>
      </c>
      <c r="J15" t="n">
        <v>0</v>
      </c>
      <c r="K15" s="5">
        <f>J15*Assumptions!$B$47*(1+Assumptions!$B$49)^((A15-32)/12)</f>
        <v/>
      </c>
      <c r="L15" s="5">
        <f>J15*Assumptions!$B$48*0.5*(1+Assumptions!$B$49)^((A15-32)/12)</f>
        <v/>
      </c>
      <c r="M15" s="5">
        <f>J15*Assumptions!$B$45/12*(1+Assumptions!$B$49)^((A15-32)/12)</f>
        <v/>
      </c>
      <c r="N15" s="5">
        <f>K15+L15-M15</f>
        <v/>
      </c>
      <c r="O15" s="5" t="n">
        <v>0</v>
      </c>
      <c r="P15" s="5">
        <f>N15+O15-C15</f>
        <v/>
      </c>
    </row>
    <row r="16">
      <c r="A16" t="n">
        <v>8</v>
      </c>
      <c r="B16" t="inlineStr">
        <is>
          <t>2024-07</t>
        </is>
      </c>
      <c r="C16" s="5" t="n">
        <v>0</v>
      </c>
      <c r="D16" s="5">
        <f>D15+C16</f>
        <v/>
      </c>
      <c r="E16" s="5" t="n">
        <v>0</v>
      </c>
      <c r="F16" s="5">
        <f>F15+E16</f>
        <v/>
      </c>
      <c r="G16" s="5" t="n">
        <v>0</v>
      </c>
      <c r="H16" s="5">
        <f>I15*Assumptions!$B$66/12</f>
        <v/>
      </c>
      <c r="I16" s="5">
        <f>I15+G16+H16</f>
        <v/>
      </c>
      <c r="J16" t="n">
        <v>0</v>
      </c>
      <c r="K16" s="5">
        <f>J16*Assumptions!$B$47*(1+Assumptions!$B$49)^((A16-32)/12)</f>
        <v/>
      </c>
      <c r="L16" s="5">
        <f>J16*Assumptions!$B$48*0.5*(1+Assumptions!$B$49)^((A16-32)/12)</f>
        <v/>
      </c>
      <c r="M16" s="5">
        <f>J16*Assumptions!$B$45/12*(1+Assumptions!$B$49)^((A16-32)/12)</f>
        <v/>
      </c>
      <c r="N16" s="5">
        <f>K16+L16-M16</f>
        <v/>
      </c>
      <c r="O16" s="5" t="n">
        <v>0</v>
      </c>
      <c r="P16" s="5">
        <f>N16+O16-C16</f>
        <v/>
      </c>
    </row>
    <row r="17">
      <c r="A17" t="n">
        <v>9</v>
      </c>
      <c r="B17" t="inlineStr">
        <is>
          <t>2024-08</t>
        </is>
      </c>
      <c r="C17" s="5" t="n">
        <v>0</v>
      </c>
      <c r="D17" s="5">
        <f>D16+C17</f>
        <v/>
      </c>
      <c r="E17" s="5" t="n">
        <v>0</v>
      </c>
      <c r="F17" s="5">
        <f>F16+E17</f>
        <v/>
      </c>
      <c r="G17" s="5" t="n">
        <v>0</v>
      </c>
      <c r="H17" s="5">
        <f>I16*Assumptions!$B$66/12</f>
        <v/>
      </c>
      <c r="I17" s="5">
        <f>I16+G17+H17</f>
        <v/>
      </c>
      <c r="J17" t="n">
        <v>0</v>
      </c>
      <c r="K17" s="5">
        <f>J17*Assumptions!$B$47*(1+Assumptions!$B$49)^((A17-32)/12)</f>
        <v/>
      </c>
      <c r="L17" s="5">
        <f>J17*Assumptions!$B$48*0.5*(1+Assumptions!$B$49)^((A17-32)/12)</f>
        <v/>
      </c>
      <c r="M17" s="5">
        <f>J17*Assumptions!$B$45/12*(1+Assumptions!$B$49)^((A17-32)/12)</f>
        <v/>
      </c>
      <c r="N17" s="5">
        <f>K17+L17-M17</f>
        <v/>
      </c>
      <c r="O17" s="5" t="n">
        <v>0</v>
      </c>
      <c r="P17" s="5">
        <f>N17+O17-C17</f>
        <v/>
      </c>
    </row>
    <row r="18">
      <c r="A18" t="n">
        <v>10</v>
      </c>
      <c r="B18" t="inlineStr">
        <is>
          <t>2024-09</t>
        </is>
      </c>
      <c r="C18" s="5" t="n">
        <v>0</v>
      </c>
      <c r="D18" s="5">
        <f>D17+C18</f>
        <v/>
      </c>
      <c r="E18" s="5" t="n">
        <v>0</v>
      </c>
      <c r="F18" s="5">
        <f>F17+E18</f>
        <v/>
      </c>
      <c r="G18" s="5" t="n">
        <v>0</v>
      </c>
      <c r="H18" s="5">
        <f>I17*Assumptions!$B$66/12</f>
        <v/>
      </c>
      <c r="I18" s="5">
        <f>I17+G18+H18</f>
        <v/>
      </c>
      <c r="J18" t="n">
        <v>0</v>
      </c>
      <c r="K18" s="5">
        <f>J18*Assumptions!$B$47*(1+Assumptions!$B$49)^((A18-32)/12)</f>
        <v/>
      </c>
      <c r="L18" s="5">
        <f>J18*Assumptions!$B$48*0.5*(1+Assumptions!$B$49)^((A18-32)/12)</f>
        <v/>
      </c>
      <c r="M18" s="5">
        <f>J18*Assumptions!$B$45/12*(1+Assumptions!$B$49)^((A18-32)/12)</f>
        <v/>
      </c>
      <c r="N18" s="5">
        <f>K18+L18-M18</f>
        <v/>
      </c>
      <c r="O18" s="5" t="n">
        <v>0</v>
      </c>
      <c r="P18" s="5">
        <f>N18+O18-C18</f>
        <v/>
      </c>
    </row>
    <row r="19">
      <c r="A19" t="n">
        <v>11</v>
      </c>
      <c r="B19" t="inlineStr">
        <is>
          <t>2024-10</t>
        </is>
      </c>
      <c r="C19" s="5" t="n">
        <v>0</v>
      </c>
      <c r="D19" s="5">
        <f>D18+C19</f>
        <v/>
      </c>
      <c r="E19" s="5" t="n">
        <v>0</v>
      </c>
      <c r="F19" s="5">
        <f>F18+E19</f>
        <v/>
      </c>
      <c r="G19" s="5" t="n">
        <v>0</v>
      </c>
      <c r="H19" s="5">
        <f>I18*Assumptions!$B$66/12</f>
        <v/>
      </c>
      <c r="I19" s="5">
        <f>I18+G19+H19</f>
        <v/>
      </c>
      <c r="J19" t="n">
        <v>0</v>
      </c>
      <c r="K19" s="5">
        <f>J19*Assumptions!$B$47*(1+Assumptions!$B$49)^((A19-32)/12)</f>
        <v/>
      </c>
      <c r="L19" s="5">
        <f>J19*Assumptions!$B$48*0.5*(1+Assumptions!$B$49)^((A19-32)/12)</f>
        <v/>
      </c>
      <c r="M19" s="5">
        <f>J19*Assumptions!$B$45/12*(1+Assumptions!$B$49)^((A19-32)/12)</f>
        <v/>
      </c>
      <c r="N19" s="5">
        <f>K19+L19-M19</f>
        <v/>
      </c>
      <c r="O19" s="5" t="n">
        <v>0</v>
      </c>
      <c r="P19" s="5">
        <f>N19+O19-C19</f>
        <v/>
      </c>
    </row>
    <row r="20">
      <c r="A20" t="n">
        <v>12</v>
      </c>
      <c r="B20" t="inlineStr">
        <is>
          <t>2024-11</t>
        </is>
      </c>
      <c r="C20" s="5" t="n">
        <v>0</v>
      </c>
      <c r="D20" s="5">
        <f>D19+C20</f>
        <v/>
      </c>
      <c r="E20" s="5" t="n">
        <v>0</v>
      </c>
      <c r="F20" s="5">
        <f>F19+E20</f>
        <v/>
      </c>
      <c r="G20" s="5" t="n">
        <v>0</v>
      </c>
      <c r="H20" s="5">
        <f>I19*Assumptions!$B$66/12</f>
        <v/>
      </c>
      <c r="I20" s="5">
        <f>I19+G20+H20</f>
        <v/>
      </c>
      <c r="J20" t="n">
        <v>0</v>
      </c>
      <c r="K20" s="5">
        <f>J20*Assumptions!$B$47*(1+Assumptions!$B$49)^((A20-32)/12)</f>
        <v/>
      </c>
      <c r="L20" s="5">
        <f>J20*Assumptions!$B$48*0.5*(1+Assumptions!$B$49)^((A20-32)/12)</f>
        <v/>
      </c>
      <c r="M20" s="5">
        <f>J20*Assumptions!$B$45/12*(1+Assumptions!$B$49)^((A20-32)/12)</f>
        <v/>
      </c>
      <c r="N20" s="5">
        <f>K20+L20-M20</f>
        <v/>
      </c>
      <c r="O20" s="5" t="n">
        <v>0</v>
      </c>
      <c r="P20" s="5">
        <f>N20+O20-C20</f>
        <v/>
      </c>
    </row>
    <row r="21">
      <c r="A21" t="n">
        <v>13</v>
      </c>
      <c r="B21" t="inlineStr">
        <is>
          <t>2024-12</t>
        </is>
      </c>
      <c r="C21" s="5" t="n">
        <v>0</v>
      </c>
      <c r="D21" s="5">
        <f>D20+C21</f>
        <v/>
      </c>
      <c r="E21" s="5" t="n">
        <v>0</v>
      </c>
      <c r="F21" s="5">
        <f>F20+E21</f>
        <v/>
      </c>
      <c r="G21" s="5" t="n">
        <v>0</v>
      </c>
      <c r="H21" s="5">
        <f>I20*Assumptions!$B$66/12</f>
        <v/>
      </c>
      <c r="I21" s="5">
        <f>I20+G21+H21</f>
        <v/>
      </c>
      <c r="J21" t="n">
        <v>0</v>
      </c>
      <c r="K21" s="5">
        <f>J21*Assumptions!$B$47*(1+Assumptions!$B$49)^((A21-32)/12)</f>
        <v/>
      </c>
      <c r="L21" s="5">
        <f>J21*Assumptions!$B$48*0.5*(1+Assumptions!$B$49)^((A21-32)/12)</f>
        <v/>
      </c>
      <c r="M21" s="5">
        <f>J21*Assumptions!$B$45/12*(1+Assumptions!$B$49)^((A21-32)/12)</f>
        <v/>
      </c>
      <c r="N21" s="5">
        <f>K21+L21-M21</f>
        <v/>
      </c>
      <c r="O21" s="5" t="n">
        <v>0</v>
      </c>
      <c r="P21" s="5">
        <f>N21+O21-C21</f>
        <v/>
      </c>
    </row>
    <row r="22">
      <c r="A22" t="n">
        <v>14</v>
      </c>
      <c r="B22" t="inlineStr">
        <is>
          <t>2025-01</t>
        </is>
      </c>
      <c r="C22" s="5" t="n">
        <v>0</v>
      </c>
      <c r="D22" s="5">
        <f>D21+C22</f>
        <v/>
      </c>
      <c r="E22" s="5" t="n">
        <v>0</v>
      </c>
      <c r="F22" s="5">
        <f>F21+E22</f>
        <v/>
      </c>
      <c r="G22" s="5" t="n">
        <v>0</v>
      </c>
      <c r="H22" s="5">
        <f>I21*Assumptions!$B$66/12</f>
        <v/>
      </c>
      <c r="I22" s="5">
        <f>I21+G22+H22</f>
        <v/>
      </c>
      <c r="J22" t="n">
        <v>0</v>
      </c>
      <c r="K22" s="5">
        <f>J22*Assumptions!$B$47*(1+Assumptions!$B$49)^((A22-32)/12)</f>
        <v/>
      </c>
      <c r="L22" s="5">
        <f>J22*Assumptions!$B$48*0.5*(1+Assumptions!$B$49)^((A22-32)/12)</f>
        <v/>
      </c>
      <c r="M22" s="5">
        <f>J22*Assumptions!$B$45/12*(1+Assumptions!$B$49)^((A22-32)/12)</f>
        <v/>
      </c>
      <c r="N22" s="5">
        <f>K22+L22-M22</f>
        <v/>
      </c>
      <c r="O22" s="5" t="n">
        <v>0</v>
      </c>
      <c r="P22" s="5">
        <f>N22+O22-C22</f>
        <v/>
      </c>
    </row>
    <row r="23">
      <c r="A23" t="n">
        <v>15</v>
      </c>
      <c r="B23" t="inlineStr">
        <is>
          <t>2025-02</t>
        </is>
      </c>
      <c r="C23" s="5" t="n">
        <v>0</v>
      </c>
      <c r="D23" s="5">
        <f>D22+C23</f>
        <v/>
      </c>
      <c r="E23" s="5" t="n">
        <v>0</v>
      </c>
      <c r="F23" s="5">
        <f>F22+E23</f>
        <v/>
      </c>
      <c r="G23" s="5" t="n">
        <v>0</v>
      </c>
      <c r="H23" s="5">
        <f>I22*Assumptions!$B$66/12</f>
        <v/>
      </c>
      <c r="I23" s="5">
        <f>I22+G23+H23</f>
        <v/>
      </c>
      <c r="J23" t="n">
        <v>0</v>
      </c>
      <c r="K23" s="5">
        <f>J23*Assumptions!$B$47*(1+Assumptions!$B$49)^((A23-32)/12)</f>
        <v/>
      </c>
      <c r="L23" s="5">
        <f>J23*Assumptions!$B$48*0.5*(1+Assumptions!$B$49)^((A23-32)/12)</f>
        <v/>
      </c>
      <c r="M23" s="5">
        <f>J23*Assumptions!$B$45/12*(1+Assumptions!$B$49)^((A23-32)/12)</f>
        <v/>
      </c>
      <c r="N23" s="5">
        <f>K23+L23-M23</f>
        <v/>
      </c>
      <c r="O23" s="5" t="n">
        <v>0</v>
      </c>
      <c r="P23" s="5">
        <f>N23+O23-C23</f>
        <v/>
      </c>
    </row>
    <row r="24">
      <c r="A24" t="n">
        <v>16</v>
      </c>
      <c r="B24" t="inlineStr">
        <is>
          <t>2025-03</t>
        </is>
      </c>
      <c r="C24" s="5" t="n">
        <v>0</v>
      </c>
      <c r="D24" s="5">
        <f>D23+C24</f>
        <v/>
      </c>
      <c r="E24" s="5" t="n">
        <v>0</v>
      </c>
      <c r="F24" s="5">
        <f>F23+E24</f>
        <v/>
      </c>
      <c r="G24" s="5" t="n">
        <v>0</v>
      </c>
      <c r="H24" s="5">
        <f>I23*Assumptions!$B$66/12</f>
        <v/>
      </c>
      <c r="I24" s="5">
        <f>I23+G24+H24</f>
        <v/>
      </c>
      <c r="J24" t="n">
        <v>0</v>
      </c>
      <c r="K24" s="5">
        <f>J24*Assumptions!$B$47*(1+Assumptions!$B$49)^((A24-32)/12)</f>
        <v/>
      </c>
      <c r="L24" s="5">
        <f>J24*Assumptions!$B$48*0.5*(1+Assumptions!$B$49)^((A24-32)/12)</f>
        <v/>
      </c>
      <c r="M24" s="5">
        <f>J24*Assumptions!$B$45/12*(1+Assumptions!$B$49)^((A24-32)/12)</f>
        <v/>
      </c>
      <c r="N24" s="5">
        <f>K24+L24-M24</f>
        <v/>
      </c>
      <c r="O24" s="5" t="n">
        <v>0</v>
      </c>
      <c r="P24" s="5">
        <f>N24+O24-C24</f>
        <v/>
      </c>
    </row>
    <row r="25">
      <c r="A25" t="n">
        <v>17</v>
      </c>
      <c r="B25" t="inlineStr">
        <is>
          <t>2025-04</t>
        </is>
      </c>
      <c r="C25" s="5" t="n">
        <v>0</v>
      </c>
      <c r="D25" s="5">
        <f>D24+C25</f>
        <v/>
      </c>
      <c r="E25" s="5" t="n">
        <v>0</v>
      </c>
      <c r="F25" s="5">
        <f>F24+E25</f>
        <v/>
      </c>
      <c r="G25" s="5" t="n">
        <v>0</v>
      </c>
      <c r="H25" s="5">
        <f>I24*Assumptions!$B$66/12</f>
        <v/>
      </c>
      <c r="I25" s="5">
        <f>I24+G25+H25</f>
        <v/>
      </c>
      <c r="J25" t="n">
        <v>0</v>
      </c>
      <c r="K25" s="5">
        <f>J25*Assumptions!$B$47*(1+Assumptions!$B$49)^((A25-32)/12)</f>
        <v/>
      </c>
      <c r="L25" s="5">
        <f>J25*Assumptions!$B$48*0.5*(1+Assumptions!$B$49)^((A25-32)/12)</f>
        <v/>
      </c>
      <c r="M25" s="5">
        <f>J25*Assumptions!$B$45/12*(1+Assumptions!$B$49)^((A25-32)/12)</f>
        <v/>
      </c>
      <c r="N25" s="5">
        <f>K25+L25-M25</f>
        <v/>
      </c>
      <c r="O25" s="5" t="n">
        <v>0</v>
      </c>
      <c r="P25" s="5">
        <f>N25+O25-C25</f>
        <v/>
      </c>
    </row>
    <row r="26">
      <c r="A26" t="n">
        <v>18</v>
      </c>
      <c r="B26" t="inlineStr">
        <is>
          <t>2025-05</t>
        </is>
      </c>
      <c r="C26" s="5" t="n">
        <v>0</v>
      </c>
      <c r="D26" s="5">
        <f>D25+C26</f>
        <v/>
      </c>
      <c r="E26" s="5" t="n">
        <v>0</v>
      </c>
      <c r="F26" s="5">
        <f>F25+E26</f>
        <v/>
      </c>
      <c r="G26" s="5" t="n">
        <v>0</v>
      </c>
      <c r="H26" s="5">
        <f>I25*Assumptions!$B$66/12</f>
        <v/>
      </c>
      <c r="I26" s="5">
        <f>I25+G26+H26</f>
        <v/>
      </c>
      <c r="J26" t="n">
        <v>0</v>
      </c>
      <c r="K26" s="5">
        <f>J26*Assumptions!$B$47*(1+Assumptions!$B$49)^((A26-32)/12)</f>
        <v/>
      </c>
      <c r="L26" s="5">
        <f>J26*Assumptions!$B$48*0.5*(1+Assumptions!$B$49)^((A26-32)/12)</f>
        <v/>
      </c>
      <c r="M26" s="5">
        <f>J26*Assumptions!$B$45/12*(1+Assumptions!$B$49)^((A26-32)/12)</f>
        <v/>
      </c>
      <c r="N26" s="5">
        <f>K26+L26-M26</f>
        <v/>
      </c>
      <c r="O26" s="5" t="n">
        <v>0</v>
      </c>
      <c r="P26" s="5">
        <f>N26+O26-C26</f>
        <v/>
      </c>
    </row>
    <row r="27">
      <c r="A27" t="n">
        <v>19</v>
      </c>
      <c r="B27" t="inlineStr">
        <is>
          <t>2025-06</t>
        </is>
      </c>
      <c r="C27" s="5" t="n">
        <v>0</v>
      </c>
      <c r="D27" s="5">
        <f>D26+C27</f>
        <v/>
      </c>
      <c r="E27" s="5" t="n">
        <v>0</v>
      </c>
      <c r="F27" s="5">
        <f>F26+E27</f>
        <v/>
      </c>
      <c r="G27" s="5" t="n">
        <v>0</v>
      </c>
      <c r="H27" s="5">
        <f>I26*Assumptions!$B$66/12</f>
        <v/>
      </c>
      <c r="I27" s="5">
        <f>I26+G27+H27</f>
        <v/>
      </c>
      <c r="J27" t="n">
        <v>0</v>
      </c>
      <c r="K27" s="5">
        <f>J27*Assumptions!$B$47*(1+Assumptions!$B$49)^((A27-32)/12)</f>
        <v/>
      </c>
      <c r="L27" s="5">
        <f>J27*Assumptions!$B$48*0.5*(1+Assumptions!$B$49)^((A27-32)/12)</f>
        <v/>
      </c>
      <c r="M27" s="5">
        <f>J27*Assumptions!$B$45/12*(1+Assumptions!$B$49)^((A27-32)/12)</f>
        <v/>
      </c>
      <c r="N27" s="5">
        <f>K27+L27-M27</f>
        <v/>
      </c>
      <c r="O27" s="5" t="n">
        <v>0</v>
      </c>
      <c r="P27" s="5">
        <f>N27+O27-C27</f>
        <v/>
      </c>
    </row>
    <row r="28">
      <c r="A28" t="n">
        <v>20</v>
      </c>
      <c r="B28" t="inlineStr">
        <is>
          <t>2025-07</t>
        </is>
      </c>
      <c r="C28" s="5" t="n">
        <v>0</v>
      </c>
      <c r="D28" s="5">
        <f>D27+C28</f>
        <v/>
      </c>
      <c r="E28" s="5" t="n">
        <v>0</v>
      </c>
      <c r="F28" s="5">
        <f>F27+E28</f>
        <v/>
      </c>
      <c r="G28" s="5" t="n">
        <v>0</v>
      </c>
      <c r="H28" s="5">
        <f>I27*Assumptions!$B$66/12</f>
        <v/>
      </c>
      <c r="I28" s="5">
        <f>I27+G28+H28</f>
        <v/>
      </c>
      <c r="J28" t="n">
        <v>0</v>
      </c>
      <c r="K28" s="5">
        <f>J28*Assumptions!$B$47*(1+Assumptions!$B$49)^((A28-32)/12)</f>
        <v/>
      </c>
      <c r="L28" s="5">
        <f>J28*Assumptions!$B$48*0.5*(1+Assumptions!$B$49)^((A28-32)/12)</f>
        <v/>
      </c>
      <c r="M28" s="5">
        <f>J28*Assumptions!$B$45/12*(1+Assumptions!$B$49)^((A28-32)/12)</f>
        <v/>
      </c>
      <c r="N28" s="5">
        <f>K28+L28-M28</f>
        <v/>
      </c>
      <c r="O28" s="5" t="n">
        <v>0</v>
      </c>
      <c r="P28" s="5">
        <f>N28+O28-C28</f>
        <v/>
      </c>
    </row>
    <row r="29">
      <c r="A29" t="n">
        <v>21</v>
      </c>
      <c r="B29" t="inlineStr">
        <is>
          <t>2025-08</t>
        </is>
      </c>
      <c r="C29" s="5" t="n">
        <v>0</v>
      </c>
      <c r="D29" s="5">
        <f>D28+C29</f>
        <v/>
      </c>
      <c r="E29" s="5" t="n">
        <v>0</v>
      </c>
      <c r="F29" s="5">
        <f>F28+E29</f>
        <v/>
      </c>
      <c r="G29" s="5" t="n">
        <v>0</v>
      </c>
      <c r="H29" s="5">
        <f>I28*Assumptions!$B$66/12</f>
        <v/>
      </c>
      <c r="I29" s="5">
        <f>I28+G29+H29</f>
        <v/>
      </c>
      <c r="J29" t="n">
        <v>0</v>
      </c>
      <c r="K29" s="5">
        <f>J29*Assumptions!$B$47*(1+Assumptions!$B$49)^((A29-32)/12)</f>
        <v/>
      </c>
      <c r="L29" s="5">
        <f>J29*Assumptions!$B$48*0.5*(1+Assumptions!$B$49)^((A29-32)/12)</f>
        <v/>
      </c>
      <c r="M29" s="5">
        <f>J29*Assumptions!$B$45/12*(1+Assumptions!$B$49)^((A29-32)/12)</f>
        <v/>
      </c>
      <c r="N29" s="5">
        <f>K29+L29-M29</f>
        <v/>
      </c>
      <c r="O29" s="5" t="n">
        <v>0</v>
      </c>
      <c r="P29" s="5">
        <f>N29+O29-C29</f>
        <v/>
      </c>
    </row>
    <row r="30">
      <c r="A30" t="n">
        <v>22</v>
      </c>
      <c r="B30" t="inlineStr">
        <is>
          <t>2025-09</t>
        </is>
      </c>
      <c r="C30" s="5" t="n">
        <v>0</v>
      </c>
      <c r="D30" s="5">
        <f>D29+C30</f>
        <v/>
      </c>
      <c r="E30" s="5" t="n">
        <v>0</v>
      </c>
      <c r="F30" s="5">
        <f>F29+E30</f>
        <v/>
      </c>
      <c r="G30" s="5" t="n">
        <v>0</v>
      </c>
      <c r="H30" s="5">
        <f>I29*Assumptions!$B$66/12</f>
        <v/>
      </c>
      <c r="I30" s="5">
        <f>I29+G30+H30</f>
        <v/>
      </c>
      <c r="J30" t="n">
        <v>0</v>
      </c>
      <c r="K30" s="5">
        <f>J30*Assumptions!$B$47*(1+Assumptions!$B$49)^((A30-32)/12)</f>
        <v/>
      </c>
      <c r="L30" s="5">
        <f>J30*Assumptions!$B$48*0.5*(1+Assumptions!$B$49)^((A30-32)/12)</f>
        <v/>
      </c>
      <c r="M30" s="5">
        <f>J30*Assumptions!$B$45/12*(1+Assumptions!$B$49)^((A30-32)/12)</f>
        <v/>
      </c>
      <c r="N30" s="5">
        <f>K30+L30-M30</f>
        <v/>
      </c>
      <c r="O30" s="5" t="n">
        <v>0</v>
      </c>
      <c r="P30" s="5">
        <f>N30+O30-C30</f>
        <v/>
      </c>
    </row>
    <row r="31">
      <c r="A31" t="n">
        <v>23</v>
      </c>
      <c r="B31" t="inlineStr">
        <is>
          <t>2025-10</t>
        </is>
      </c>
      <c r="C31" s="5" t="n">
        <v>0</v>
      </c>
      <c r="D31" s="5">
        <f>D30+C31</f>
        <v/>
      </c>
      <c r="E31" s="5" t="n">
        <v>0</v>
      </c>
      <c r="F31" s="5">
        <f>F30+E31</f>
        <v/>
      </c>
      <c r="G31" s="5" t="n">
        <v>0</v>
      </c>
      <c r="H31" s="5">
        <f>I30*Assumptions!$B$66/12</f>
        <v/>
      </c>
      <c r="I31" s="5">
        <f>I30+G31+H31</f>
        <v/>
      </c>
      <c r="J31" t="n">
        <v>0</v>
      </c>
      <c r="K31" s="5">
        <f>J31*Assumptions!$B$47*(1+Assumptions!$B$49)^((A31-32)/12)</f>
        <v/>
      </c>
      <c r="L31" s="5">
        <f>J31*Assumptions!$B$48*0.5*(1+Assumptions!$B$49)^((A31-32)/12)</f>
        <v/>
      </c>
      <c r="M31" s="5">
        <f>J31*Assumptions!$B$45/12*(1+Assumptions!$B$49)^((A31-32)/12)</f>
        <v/>
      </c>
      <c r="N31" s="5">
        <f>K31+L31-M31</f>
        <v/>
      </c>
      <c r="O31" s="5" t="n">
        <v>0</v>
      </c>
      <c r="P31" s="5">
        <f>N31+O31-C31</f>
        <v/>
      </c>
    </row>
    <row r="32">
      <c r="A32" t="n">
        <v>24</v>
      </c>
      <c r="B32" t="inlineStr">
        <is>
          <t>2025-11</t>
        </is>
      </c>
      <c r="C32" s="5" t="n">
        <v>0</v>
      </c>
      <c r="D32" s="5">
        <f>D31+C32</f>
        <v/>
      </c>
      <c r="E32" s="5" t="n">
        <v>0</v>
      </c>
      <c r="F32" s="5">
        <f>F31+E32</f>
        <v/>
      </c>
      <c r="G32" s="5" t="n">
        <v>0</v>
      </c>
      <c r="H32" s="5">
        <f>I31*Assumptions!$B$66/12</f>
        <v/>
      </c>
      <c r="I32" s="5">
        <f>I31+G32+H32</f>
        <v/>
      </c>
      <c r="J32" t="n">
        <v>0</v>
      </c>
      <c r="K32" s="5">
        <f>J32*Assumptions!$B$47*(1+Assumptions!$B$49)^((A32-32)/12)</f>
        <v/>
      </c>
      <c r="L32" s="5">
        <f>J32*Assumptions!$B$48*0.5*(1+Assumptions!$B$49)^((A32-32)/12)</f>
        <v/>
      </c>
      <c r="M32" s="5">
        <f>J32*Assumptions!$B$45/12*(1+Assumptions!$B$49)^((A32-32)/12)</f>
        <v/>
      </c>
      <c r="N32" s="5">
        <f>K32+L32-M32</f>
        <v/>
      </c>
      <c r="O32" s="5" t="n">
        <v>0</v>
      </c>
      <c r="P32" s="5">
        <f>N32+O32-C32</f>
        <v/>
      </c>
    </row>
    <row r="33">
      <c r="A33" t="n">
        <v>25</v>
      </c>
      <c r="B33" t="inlineStr">
        <is>
          <t>2025-12</t>
        </is>
      </c>
      <c r="C33" s="5" t="n">
        <v>0</v>
      </c>
      <c r="D33" s="5">
        <f>D32+C33</f>
        <v/>
      </c>
      <c r="E33" s="5" t="n">
        <v>0</v>
      </c>
      <c r="F33" s="5">
        <f>F32+E33</f>
        <v/>
      </c>
      <c r="G33" s="5" t="n">
        <v>0</v>
      </c>
      <c r="H33" s="5">
        <f>I32*Assumptions!$B$66/12</f>
        <v/>
      </c>
      <c r="I33" s="5">
        <f>I32+G33+H33</f>
        <v/>
      </c>
      <c r="J33" t="n">
        <v>0</v>
      </c>
      <c r="K33" s="5">
        <f>J33*Assumptions!$B$47*(1+Assumptions!$B$49)^((A33-32)/12)</f>
        <v/>
      </c>
      <c r="L33" s="5">
        <f>J33*Assumptions!$B$48*0.5*(1+Assumptions!$B$49)^((A33-32)/12)</f>
        <v/>
      </c>
      <c r="M33" s="5">
        <f>J33*Assumptions!$B$45/12*(1+Assumptions!$B$49)^((A33-32)/12)</f>
        <v/>
      </c>
      <c r="N33" s="5">
        <f>K33+L33-M33</f>
        <v/>
      </c>
      <c r="O33" s="5" t="n">
        <v>0</v>
      </c>
      <c r="P33" s="5">
        <f>N33+O33-C33</f>
        <v/>
      </c>
    </row>
    <row r="34">
      <c r="A34" t="n">
        <v>26</v>
      </c>
      <c r="B34" t="inlineStr">
        <is>
          <t>2026-01</t>
        </is>
      </c>
      <c r="C34" s="5" t="n">
        <v>0</v>
      </c>
      <c r="D34" s="5">
        <f>D33+C34</f>
        <v/>
      </c>
      <c r="E34" s="5" t="n">
        <v>0</v>
      </c>
      <c r="F34" s="5">
        <f>F33+E34</f>
        <v/>
      </c>
      <c r="G34" s="5" t="n">
        <v>0</v>
      </c>
      <c r="H34" s="5">
        <f>I33*Assumptions!$B$66/12</f>
        <v/>
      </c>
      <c r="I34" s="5">
        <f>I33+G34+H34</f>
        <v/>
      </c>
      <c r="J34" t="n">
        <v>0</v>
      </c>
      <c r="K34" s="5">
        <f>J34*Assumptions!$B$47*(1+Assumptions!$B$49)^((A34-32)/12)</f>
        <v/>
      </c>
      <c r="L34" s="5">
        <f>J34*Assumptions!$B$48*0.5*(1+Assumptions!$B$49)^((A34-32)/12)</f>
        <v/>
      </c>
      <c r="M34" s="5">
        <f>J34*Assumptions!$B$45/12*(1+Assumptions!$B$49)^((A34-32)/12)</f>
        <v/>
      </c>
      <c r="N34" s="5">
        <f>K34+L34-M34</f>
        <v/>
      </c>
      <c r="O34" s="5" t="n">
        <v>0</v>
      </c>
      <c r="P34" s="5">
        <f>N34+O34-C34</f>
        <v/>
      </c>
    </row>
    <row r="35">
      <c r="A35" t="n">
        <v>27</v>
      </c>
      <c r="B35" t="inlineStr">
        <is>
          <t>2026-02</t>
        </is>
      </c>
      <c r="C35" s="5" t="n">
        <v>0</v>
      </c>
      <c r="D35" s="5">
        <f>D34+C35</f>
        <v/>
      </c>
      <c r="E35" s="5" t="n">
        <v>0</v>
      </c>
      <c r="F35" s="5">
        <f>F34+E35</f>
        <v/>
      </c>
      <c r="G35" s="5" t="n">
        <v>0</v>
      </c>
      <c r="H35" s="5">
        <f>I34*Assumptions!$B$66/12</f>
        <v/>
      </c>
      <c r="I35" s="5">
        <f>I34+G35+H35</f>
        <v/>
      </c>
      <c r="J35" t="n">
        <v>0</v>
      </c>
      <c r="K35" s="5">
        <f>J35*Assumptions!$B$47*(1+Assumptions!$B$49)^((A35-32)/12)</f>
        <v/>
      </c>
      <c r="L35" s="5">
        <f>J35*Assumptions!$B$48*0.5*(1+Assumptions!$B$49)^((A35-32)/12)</f>
        <v/>
      </c>
      <c r="M35" s="5">
        <f>J35*Assumptions!$B$45/12*(1+Assumptions!$B$49)^((A35-32)/12)</f>
        <v/>
      </c>
      <c r="N35" s="5">
        <f>K35+L35-M35</f>
        <v/>
      </c>
      <c r="O35" s="5" t="n">
        <v>0</v>
      </c>
      <c r="P35" s="5">
        <f>N35+O35-C35</f>
        <v/>
      </c>
    </row>
    <row r="36">
      <c r="A36" t="n">
        <v>28</v>
      </c>
      <c r="B36" t="inlineStr">
        <is>
          <t>2026-03</t>
        </is>
      </c>
      <c r="C36" s="5" t="n">
        <v>0</v>
      </c>
      <c r="D36" s="5">
        <f>D35+C36</f>
        <v/>
      </c>
      <c r="E36" s="5" t="n">
        <v>0</v>
      </c>
      <c r="F36" s="5">
        <f>F35+E36</f>
        <v/>
      </c>
      <c r="G36" s="5" t="n">
        <v>0</v>
      </c>
      <c r="H36" s="5">
        <f>I35*Assumptions!$B$66/12</f>
        <v/>
      </c>
      <c r="I36" s="5">
        <f>I35+G36+H36</f>
        <v/>
      </c>
      <c r="J36" t="n">
        <v>0</v>
      </c>
      <c r="K36" s="5">
        <f>J36*Assumptions!$B$47*(1+Assumptions!$B$49)^((A36-32)/12)</f>
        <v/>
      </c>
      <c r="L36" s="5">
        <f>J36*Assumptions!$B$48*0.5*(1+Assumptions!$B$49)^((A36-32)/12)</f>
        <v/>
      </c>
      <c r="M36" s="5">
        <f>J36*Assumptions!$B$45/12*(1+Assumptions!$B$49)^((A36-32)/12)</f>
        <v/>
      </c>
      <c r="N36" s="5">
        <f>K36+L36-M36</f>
        <v/>
      </c>
      <c r="O36" s="5" t="n">
        <v>0</v>
      </c>
      <c r="P36" s="5">
        <f>N36+O36-C36</f>
        <v/>
      </c>
    </row>
    <row r="37">
      <c r="A37" t="n">
        <v>29</v>
      </c>
      <c r="B37" t="inlineStr">
        <is>
          <t>2026-04</t>
        </is>
      </c>
      <c r="C37" s="5" t="n">
        <v>0</v>
      </c>
      <c r="D37" s="5">
        <f>D36+C37</f>
        <v/>
      </c>
      <c r="E37" s="5" t="n">
        <v>0</v>
      </c>
      <c r="F37" s="5">
        <f>F36+E37</f>
        <v/>
      </c>
      <c r="G37" s="5" t="n">
        <v>0</v>
      </c>
      <c r="H37" s="5">
        <f>I36*Assumptions!$B$66/12</f>
        <v/>
      </c>
      <c r="I37" s="5">
        <f>I36+G37+H37</f>
        <v/>
      </c>
      <c r="J37" t="n">
        <v>0</v>
      </c>
      <c r="K37" s="5">
        <f>J37*Assumptions!$B$47*(1+Assumptions!$B$49)^((A37-32)/12)</f>
        <v/>
      </c>
      <c r="L37" s="5">
        <f>J37*Assumptions!$B$48*0.5*(1+Assumptions!$B$49)^((A37-32)/12)</f>
        <v/>
      </c>
      <c r="M37" s="5">
        <f>J37*Assumptions!$B$45/12*(1+Assumptions!$B$49)^((A37-32)/12)</f>
        <v/>
      </c>
      <c r="N37" s="5">
        <f>K37+L37-M37</f>
        <v/>
      </c>
      <c r="O37" s="5" t="n">
        <v>0</v>
      </c>
      <c r="P37" s="5">
        <f>N37+O37-C37</f>
        <v/>
      </c>
    </row>
    <row r="38">
      <c r="A38" t="n">
        <v>30</v>
      </c>
      <c r="B38" t="inlineStr">
        <is>
          <t>2026-05</t>
        </is>
      </c>
      <c r="C38" s="5" t="n">
        <v>0</v>
      </c>
      <c r="D38" s="5">
        <f>D37+C38</f>
        <v/>
      </c>
      <c r="E38" s="5" t="n">
        <v>0</v>
      </c>
      <c r="F38" s="5">
        <f>F37+E38</f>
        <v/>
      </c>
      <c r="G38" s="5" t="n">
        <v>0</v>
      </c>
      <c r="H38" s="5">
        <f>I37*Assumptions!$B$66/12</f>
        <v/>
      </c>
      <c r="I38" s="5">
        <f>I37+G38+H38</f>
        <v/>
      </c>
      <c r="J38" t="n">
        <v>0</v>
      </c>
      <c r="K38" s="5">
        <f>J38*Assumptions!$B$47*(1+Assumptions!$B$49)^((A38-32)/12)</f>
        <v/>
      </c>
      <c r="L38" s="5">
        <f>J38*Assumptions!$B$48*0.5*(1+Assumptions!$B$49)^((A38-32)/12)</f>
        <v/>
      </c>
      <c r="M38" s="5">
        <f>J38*Assumptions!$B$45/12*(1+Assumptions!$B$49)^((A38-32)/12)</f>
        <v/>
      </c>
      <c r="N38" s="5">
        <f>K38+L38-M38</f>
        <v/>
      </c>
      <c r="O38" s="5" t="n">
        <v>0</v>
      </c>
      <c r="P38" s="5">
        <f>N38+O38-C38</f>
        <v/>
      </c>
    </row>
    <row r="39">
      <c r="A39" t="n">
        <v>31</v>
      </c>
      <c r="B39" t="inlineStr">
        <is>
          <t>2026-06</t>
        </is>
      </c>
      <c r="C39" s="5" t="n">
        <v>0</v>
      </c>
      <c r="D39" s="5">
        <f>D38+C39</f>
        <v/>
      </c>
      <c r="E39" s="5" t="n">
        <v>0</v>
      </c>
      <c r="F39" s="5">
        <f>F38+E39</f>
        <v/>
      </c>
      <c r="G39" s="5" t="n">
        <v>0</v>
      </c>
      <c r="H39" s="5">
        <f>I38*Assumptions!$B$66/12</f>
        <v/>
      </c>
      <c r="I39" s="5">
        <f>I38+G39+H39</f>
        <v/>
      </c>
      <c r="J39" t="n">
        <v>0</v>
      </c>
      <c r="K39" s="5">
        <f>J39*Assumptions!$B$47*(1+Assumptions!$B$49)^((A39-32)/12)</f>
        <v/>
      </c>
      <c r="L39" s="5">
        <f>J39*Assumptions!$B$48*0.5*(1+Assumptions!$B$49)^((A39-32)/12)</f>
        <v/>
      </c>
      <c r="M39" s="5">
        <f>J39*Assumptions!$B$45/12*(1+Assumptions!$B$49)^((A39-32)/12)</f>
        <v/>
      </c>
      <c r="N39" s="5">
        <f>K39+L39-M39</f>
        <v/>
      </c>
      <c r="O39" s="5" t="n">
        <v>0</v>
      </c>
      <c r="P39" s="5">
        <f>N39+O39-C39</f>
        <v/>
      </c>
    </row>
    <row r="40">
      <c r="A40" t="n">
        <v>32</v>
      </c>
      <c r="B40" t="inlineStr">
        <is>
          <t>2026-07</t>
        </is>
      </c>
      <c r="C40" s="5" t="n">
        <v>0</v>
      </c>
      <c r="D40" s="5">
        <f>D39+C40</f>
        <v/>
      </c>
      <c r="E40" s="5" t="n">
        <v>0</v>
      </c>
      <c r="F40" s="5">
        <f>F39+E40</f>
        <v/>
      </c>
      <c r="G40" s="5" t="n">
        <v>0</v>
      </c>
      <c r="H40" s="5">
        <f>I39*Assumptions!$B$66/12</f>
        <v/>
      </c>
      <c r="I40" s="5">
        <f>I39+G40+H40</f>
        <v/>
      </c>
      <c r="J40" t="n">
        <v>0</v>
      </c>
      <c r="K40" s="5">
        <f>J40*Assumptions!$B$47*(1+Assumptions!$B$49)^((A40-32)/12)</f>
        <v/>
      </c>
      <c r="L40" s="5">
        <f>J40*Assumptions!$B$48*0.5*(1+Assumptions!$B$49)^((A40-32)/12)</f>
        <v/>
      </c>
      <c r="M40" s="5">
        <f>J40*Assumptions!$B$45/12*(1+Assumptions!$B$49)^((A40-32)/12)</f>
        <v/>
      </c>
      <c r="N40" s="5">
        <f>K40+L40-M40</f>
        <v/>
      </c>
      <c r="O40" s="5" t="n">
        <v>0</v>
      </c>
      <c r="P40" s="5">
        <f>N40+O40-C40</f>
        <v/>
      </c>
    </row>
    <row r="41">
      <c r="A41" t="n">
        <v>33</v>
      </c>
      <c r="B41" t="inlineStr">
        <is>
          <t>2026-08</t>
        </is>
      </c>
      <c r="C41" s="5" t="n">
        <v>0</v>
      </c>
      <c r="D41" s="5">
        <f>D40+C41</f>
        <v/>
      </c>
      <c r="E41" s="5" t="n">
        <v>0</v>
      </c>
      <c r="F41" s="5">
        <f>F40+E41</f>
        <v/>
      </c>
      <c r="G41" s="5" t="n">
        <v>0</v>
      </c>
      <c r="H41" s="5">
        <f>I40*Assumptions!$B$66/12</f>
        <v/>
      </c>
      <c r="I41" s="5">
        <f>I40+G41+H41</f>
        <v/>
      </c>
      <c r="J41" t="n">
        <v>0</v>
      </c>
      <c r="K41" s="5">
        <f>J41*Assumptions!$B$47*(1+Assumptions!$B$49)^((A41-32)/12)</f>
        <v/>
      </c>
      <c r="L41" s="5">
        <f>J41*Assumptions!$B$48*0.5*(1+Assumptions!$B$49)^((A41-32)/12)</f>
        <v/>
      </c>
      <c r="M41" s="5">
        <f>J41*Assumptions!$B$45/12*(1+Assumptions!$B$49)^((A41-32)/12)</f>
        <v/>
      </c>
      <c r="N41" s="5">
        <f>K41+L41-M41</f>
        <v/>
      </c>
      <c r="O41" s="5" t="n">
        <v>0</v>
      </c>
      <c r="P41" s="5">
        <f>N41+O41-C41</f>
        <v/>
      </c>
    </row>
    <row r="42">
      <c r="A42" t="n">
        <v>34</v>
      </c>
      <c r="B42" t="inlineStr">
        <is>
          <t>2026-09</t>
        </is>
      </c>
      <c r="C42" s="5" t="n">
        <v>0</v>
      </c>
      <c r="D42" s="5">
        <f>D41+C42</f>
        <v/>
      </c>
      <c r="E42" s="5" t="n">
        <v>0</v>
      </c>
      <c r="F42" s="5">
        <f>F41+E42</f>
        <v/>
      </c>
      <c r="G42" s="5" t="n">
        <v>0</v>
      </c>
      <c r="H42" s="5">
        <f>I41*Assumptions!$B$66/12</f>
        <v/>
      </c>
      <c r="I42" s="5">
        <f>I41+G42+H42</f>
        <v/>
      </c>
      <c r="J42" t="n">
        <v>0</v>
      </c>
      <c r="K42" s="5">
        <f>J42*Assumptions!$B$47*(1+Assumptions!$B$49)^((A42-32)/12)</f>
        <v/>
      </c>
      <c r="L42" s="5">
        <f>J42*Assumptions!$B$48*0.5*(1+Assumptions!$B$49)^((A42-32)/12)</f>
        <v/>
      </c>
      <c r="M42" s="5">
        <f>J42*Assumptions!$B$45/12*(1+Assumptions!$B$49)^((A42-32)/12)</f>
        <v/>
      </c>
      <c r="N42" s="5">
        <f>K42+L42-M42</f>
        <v/>
      </c>
      <c r="O42" s="5" t="n">
        <v>0</v>
      </c>
      <c r="P42" s="5">
        <f>N42+O42-C42</f>
        <v/>
      </c>
    </row>
    <row r="43">
      <c r="A43" t="n">
        <v>35</v>
      </c>
      <c r="B43" t="inlineStr">
        <is>
          <t>2026-10</t>
        </is>
      </c>
      <c r="C43" s="5" t="n">
        <v>0</v>
      </c>
      <c r="D43" s="5">
        <f>D42+C43</f>
        <v/>
      </c>
      <c r="E43" s="5" t="n">
        <v>0</v>
      </c>
      <c r="F43" s="5">
        <f>F42+E43</f>
        <v/>
      </c>
      <c r="G43" s="5" t="n">
        <v>0</v>
      </c>
      <c r="H43" s="5">
        <f>I42*Assumptions!$B$66/12</f>
        <v/>
      </c>
      <c r="I43" s="5">
        <f>I42+G43+H43</f>
        <v/>
      </c>
      <c r="J43" t="n">
        <v>0</v>
      </c>
      <c r="K43" s="5">
        <f>J43*Assumptions!$B$47*(1+Assumptions!$B$49)^((A43-32)/12)</f>
        <v/>
      </c>
      <c r="L43" s="5">
        <f>J43*Assumptions!$B$48*0.5*(1+Assumptions!$B$49)^((A43-32)/12)</f>
        <v/>
      </c>
      <c r="M43" s="5">
        <f>J43*Assumptions!$B$45/12*(1+Assumptions!$B$49)^((A43-32)/12)</f>
        <v/>
      </c>
      <c r="N43" s="5">
        <f>K43+L43-M43</f>
        <v/>
      </c>
      <c r="O43" s="5" t="n">
        <v>0</v>
      </c>
      <c r="P43" s="5">
        <f>N43+O43-C43</f>
        <v/>
      </c>
    </row>
    <row r="44">
      <c r="A44" t="n">
        <v>36</v>
      </c>
      <c r="B44" t="inlineStr">
        <is>
          <t>2026-11</t>
        </is>
      </c>
      <c r="C44" s="5" t="n">
        <v>0</v>
      </c>
      <c r="D44" s="5">
        <f>D43+C44</f>
        <v/>
      </c>
      <c r="E44" s="5" t="n">
        <v>0</v>
      </c>
      <c r="F44" s="5">
        <f>F43+E44</f>
        <v/>
      </c>
      <c r="G44" s="5" t="n">
        <v>0</v>
      </c>
      <c r="H44" s="5">
        <f>I43*Assumptions!$B$66/12</f>
        <v/>
      </c>
      <c r="I44" s="5">
        <f>I43+G44+H44</f>
        <v/>
      </c>
      <c r="J44" t="n">
        <v>0</v>
      </c>
      <c r="K44" s="5">
        <f>J44*Assumptions!$B$47*(1+Assumptions!$B$49)^((A44-32)/12)</f>
        <v/>
      </c>
      <c r="L44" s="5">
        <f>J44*Assumptions!$B$48*0.5*(1+Assumptions!$B$49)^((A44-32)/12)</f>
        <v/>
      </c>
      <c r="M44" s="5">
        <f>J44*Assumptions!$B$45/12*(1+Assumptions!$B$49)^((A44-32)/12)</f>
        <v/>
      </c>
      <c r="N44" s="5">
        <f>K44+L44-M44</f>
        <v/>
      </c>
      <c r="O44" s="5" t="n">
        <v>0</v>
      </c>
      <c r="P44" s="5">
        <f>N44+O44-C44</f>
        <v/>
      </c>
    </row>
    <row r="45">
      <c r="A45" t="n">
        <v>37</v>
      </c>
      <c r="B45" t="inlineStr">
        <is>
          <t>2026-12</t>
        </is>
      </c>
      <c r="C45" s="5" t="n">
        <v>10435895.32</v>
      </c>
      <c r="D45" s="5">
        <f>D44+C45</f>
        <v/>
      </c>
      <c r="E45" s="5" t="n">
        <v>10435895.32</v>
      </c>
      <c r="F45" s="5">
        <f>F44+E45</f>
        <v/>
      </c>
      <c r="G45" s="5" t="n">
        <v>0</v>
      </c>
      <c r="H45" s="5">
        <f>I44*Assumptions!$B$66/12</f>
        <v/>
      </c>
      <c r="I45" s="5">
        <f>I44+G45+H45</f>
        <v/>
      </c>
      <c r="J45" t="n">
        <v>0</v>
      </c>
      <c r="K45" s="5">
        <f>J45*Assumptions!$B$47*(1+Assumptions!$B$49)^((A45-32)/12)</f>
        <v/>
      </c>
      <c r="L45" s="5">
        <f>J45*Assumptions!$B$48*0.5*(1+Assumptions!$B$49)^((A45-32)/12)</f>
        <v/>
      </c>
      <c r="M45" s="5">
        <f>J45*Assumptions!$B$45/12*(1+Assumptions!$B$49)^((A45-32)/12)</f>
        <v/>
      </c>
      <c r="N45" s="5">
        <f>K45+L45-M45</f>
        <v/>
      </c>
      <c r="O45" s="5" t="n">
        <v>0</v>
      </c>
      <c r="P45" s="5">
        <f>N45+O45-C45</f>
        <v/>
      </c>
    </row>
    <row r="46">
      <c r="A46" t="n">
        <v>38</v>
      </c>
      <c r="B46" t="inlineStr">
        <is>
          <t>2027-01</t>
        </is>
      </c>
      <c r="C46" s="5" t="n">
        <v>3442179.04</v>
      </c>
      <c r="D46" s="5">
        <f>D45+C46</f>
        <v/>
      </c>
      <c r="E46" s="5" t="n">
        <v>3442179.04</v>
      </c>
      <c r="F46" s="5">
        <f>F45+E46</f>
        <v/>
      </c>
      <c r="G46" s="5" t="n">
        <v>0</v>
      </c>
      <c r="H46" s="5">
        <f>I45*Assumptions!$B$66/12</f>
        <v/>
      </c>
      <c r="I46" s="5">
        <f>I45+G46+H46</f>
        <v/>
      </c>
      <c r="J46" t="n">
        <v>0</v>
      </c>
      <c r="K46" s="5">
        <f>J46*Assumptions!$B$47*(1+Assumptions!$B$49)^((A46-32)/12)</f>
        <v/>
      </c>
      <c r="L46" s="5">
        <f>J46*Assumptions!$B$48*0.5*(1+Assumptions!$B$49)^((A46-32)/12)</f>
        <v/>
      </c>
      <c r="M46" s="5">
        <f>J46*Assumptions!$B$45/12*(1+Assumptions!$B$49)^((A46-32)/12)</f>
        <v/>
      </c>
      <c r="N46" s="5">
        <f>K46+L46-M46</f>
        <v/>
      </c>
      <c r="O46" s="5" t="n">
        <v>0</v>
      </c>
      <c r="P46" s="5">
        <f>N46+O46-C46</f>
        <v/>
      </c>
    </row>
    <row r="47">
      <c r="A47" t="n">
        <v>39</v>
      </c>
      <c r="B47" t="inlineStr">
        <is>
          <t>2027-02</t>
        </is>
      </c>
      <c r="C47" s="5" t="n">
        <v>5037335.19</v>
      </c>
      <c r="D47" s="5">
        <f>D46+C47</f>
        <v/>
      </c>
      <c r="E47" s="5" t="n">
        <v>5037335.19</v>
      </c>
      <c r="F47" s="5">
        <f>F46+E47</f>
        <v/>
      </c>
      <c r="G47" s="5" t="n">
        <v>0</v>
      </c>
      <c r="H47" s="5">
        <f>I46*Assumptions!$B$66/12</f>
        <v/>
      </c>
      <c r="I47" s="5">
        <f>I46+G47+H47</f>
        <v/>
      </c>
      <c r="J47" t="n">
        <v>0</v>
      </c>
      <c r="K47" s="5">
        <f>J47*Assumptions!$B$47*(1+Assumptions!$B$49)^((A47-32)/12)</f>
        <v/>
      </c>
      <c r="L47" s="5">
        <f>J47*Assumptions!$B$48*0.5*(1+Assumptions!$B$49)^((A47-32)/12)</f>
        <v/>
      </c>
      <c r="M47" s="5">
        <f>J47*Assumptions!$B$45/12*(1+Assumptions!$B$49)^((A47-32)/12)</f>
        <v/>
      </c>
      <c r="N47" s="5">
        <f>K47+L47-M47</f>
        <v/>
      </c>
      <c r="O47" s="5" t="n">
        <v>0</v>
      </c>
      <c r="P47" s="5">
        <f>N47+O47-C47</f>
        <v/>
      </c>
    </row>
    <row r="48">
      <c r="A48" t="n">
        <v>40</v>
      </c>
      <c r="B48" t="inlineStr">
        <is>
          <t>2027-03</t>
        </is>
      </c>
      <c r="C48" s="5" t="n">
        <v>6548535.74</v>
      </c>
      <c r="D48" s="5">
        <f>D47+C48</f>
        <v/>
      </c>
      <c r="E48" s="5" t="n">
        <v>6548535.74</v>
      </c>
      <c r="F48" s="5">
        <f>F47+E48</f>
        <v/>
      </c>
      <c r="G48" s="5" t="n">
        <v>0</v>
      </c>
      <c r="H48" s="5">
        <f>I47*Assumptions!$B$66/12</f>
        <v/>
      </c>
      <c r="I48" s="5">
        <f>I47+G48+H48</f>
        <v/>
      </c>
      <c r="J48" t="n">
        <v>0</v>
      </c>
      <c r="K48" s="5">
        <f>J48*Assumptions!$B$47*(1+Assumptions!$B$49)^((A48-32)/12)</f>
        <v/>
      </c>
      <c r="L48" s="5">
        <f>J48*Assumptions!$B$48*0.5*(1+Assumptions!$B$49)^((A48-32)/12)</f>
        <v/>
      </c>
      <c r="M48" s="5">
        <f>J48*Assumptions!$B$45/12*(1+Assumptions!$B$49)^((A48-32)/12)</f>
        <v/>
      </c>
      <c r="N48" s="5">
        <f>K48+L48-M48</f>
        <v/>
      </c>
      <c r="O48" s="5" t="n">
        <v>0</v>
      </c>
      <c r="P48" s="5">
        <f>N48+O48-C48</f>
        <v/>
      </c>
    </row>
    <row r="49">
      <c r="A49" t="n">
        <v>41</v>
      </c>
      <c r="B49" t="inlineStr">
        <is>
          <t>2027-04</t>
        </is>
      </c>
      <c r="C49" s="5" t="n">
        <v>7975780.71</v>
      </c>
      <c r="D49" s="5">
        <f>D48+C49</f>
        <v/>
      </c>
      <c r="E49" s="5" t="n">
        <v>7975780.71</v>
      </c>
      <c r="F49" s="5">
        <f>F48+E49</f>
        <v/>
      </c>
      <c r="G49" s="5" t="n">
        <v>0</v>
      </c>
      <c r="H49" s="5">
        <f>I48*Assumptions!$B$66/12</f>
        <v/>
      </c>
      <c r="I49" s="5">
        <f>I48+G49+H49</f>
        <v/>
      </c>
      <c r="J49" t="n">
        <v>0</v>
      </c>
      <c r="K49" s="5">
        <f>J49*Assumptions!$B$47*(1+Assumptions!$B$49)^((A49-32)/12)</f>
        <v/>
      </c>
      <c r="L49" s="5">
        <f>J49*Assumptions!$B$48*0.5*(1+Assumptions!$B$49)^((A49-32)/12)</f>
        <v/>
      </c>
      <c r="M49" s="5">
        <f>J49*Assumptions!$B$45/12*(1+Assumptions!$B$49)^((A49-32)/12)</f>
        <v/>
      </c>
      <c r="N49" s="5">
        <f>K49+L49-M49</f>
        <v/>
      </c>
      <c r="O49" s="5" t="n">
        <v>0</v>
      </c>
      <c r="P49" s="5">
        <f>N49+O49-C49</f>
        <v/>
      </c>
    </row>
    <row r="50">
      <c r="A50" t="n">
        <v>42</v>
      </c>
      <c r="B50" t="inlineStr">
        <is>
          <t>2027-05</t>
        </is>
      </c>
      <c r="C50" s="5" t="n">
        <v>9319070.1</v>
      </c>
      <c r="D50" s="5">
        <f>D49+C50</f>
        <v/>
      </c>
      <c r="E50" s="5" t="n">
        <v>9319070.1</v>
      </c>
      <c r="F50" s="5">
        <f>F49+E50</f>
        <v/>
      </c>
      <c r="G50" s="5" t="n">
        <v>0</v>
      </c>
      <c r="H50" s="5">
        <f>I49*Assumptions!$B$66/12</f>
        <v/>
      </c>
      <c r="I50" s="5">
        <f>I49+G50+H50</f>
        <v/>
      </c>
      <c r="J50" t="n">
        <v>0</v>
      </c>
      <c r="K50" s="5">
        <f>J50*Assumptions!$B$47*(1+Assumptions!$B$49)^((A50-32)/12)</f>
        <v/>
      </c>
      <c r="L50" s="5">
        <f>J50*Assumptions!$B$48*0.5*(1+Assumptions!$B$49)^((A50-32)/12)</f>
        <v/>
      </c>
      <c r="M50" s="5">
        <f>J50*Assumptions!$B$45/12*(1+Assumptions!$B$49)^((A50-32)/12)</f>
        <v/>
      </c>
      <c r="N50" s="5">
        <f>K50+L50-M50</f>
        <v/>
      </c>
      <c r="O50" s="5" t="n">
        <v>0</v>
      </c>
      <c r="P50" s="5">
        <f>N50+O50-C50</f>
        <v/>
      </c>
    </row>
    <row r="51">
      <c r="A51" t="n">
        <v>43</v>
      </c>
      <c r="B51" t="inlineStr">
        <is>
          <t>2027-06</t>
        </is>
      </c>
      <c r="C51" s="5" t="n">
        <v>10578403.89</v>
      </c>
      <c r="D51" s="5">
        <f>D50+C51</f>
        <v/>
      </c>
      <c r="E51" s="5" t="n">
        <v>10578403.89</v>
      </c>
      <c r="F51" s="5">
        <f>F50+E51</f>
        <v/>
      </c>
      <c r="G51" s="5" t="n">
        <v>0</v>
      </c>
      <c r="H51" s="5">
        <f>I50*Assumptions!$B$66/12</f>
        <v/>
      </c>
      <c r="I51" s="5">
        <f>I50+G51+H51</f>
        <v/>
      </c>
      <c r="J51" t="n">
        <v>0</v>
      </c>
      <c r="K51" s="5">
        <f>J51*Assumptions!$B$47*(1+Assumptions!$B$49)^((A51-32)/12)</f>
        <v/>
      </c>
      <c r="L51" s="5">
        <f>J51*Assumptions!$B$48*0.5*(1+Assumptions!$B$49)^((A51-32)/12)</f>
        <v/>
      </c>
      <c r="M51" s="5">
        <f>J51*Assumptions!$B$45/12*(1+Assumptions!$B$49)^((A51-32)/12)</f>
        <v/>
      </c>
      <c r="N51" s="5">
        <f>K51+L51-M51</f>
        <v/>
      </c>
      <c r="O51" s="5" t="n">
        <v>0</v>
      </c>
      <c r="P51" s="5">
        <f>N51+O51-C51</f>
        <v/>
      </c>
    </row>
    <row r="52">
      <c r="A52" t="n">
        <v>44</v>
      </c>
      <c r="B52" t="inlineStr">
        <is>
          <t>2027-07</t>
        </is>
      </c>
      <c r="C52" s="5" t="n">
        <v>11753782.1</v>
      </c>
      <c r="D52" s="5">
        <f>D51+C52</f>
        <v/>
      </c>
      <c r="E52" s="5" t="n">
        <v>11753782.1</v>
      </c>
      <c r="F52" s="5">
        <f>F51+E52</f>
        <v/>
      </c>
      <c r="G52" s="5" t="n">
        <v>0</v>
      </c>
      <c r="H52" s="5">
        <f>I51*Assumptions!$B$66/12</f>
        <v/>
      </c>
      <c r="I52" s="5">
        <f>I51+G52+H52</f>
        <v/>
      </c>
      <c r="J52" t="n">
        <v>0</v>
      </c>
      <c r="K52" s="5">
        <f>J52*Assumptions!$B$47*(1+Assumptions!$B$49)^((A52-32)/12)</f>
        <v/>
      </c>
      <c r="L52" s="5">
        <f>J52*Assumptions!$B$48*0.5*(1+Assumptions!$B$49)^((A52-32)/12)</f>
        <v/>
      </c>
      <c r="M52" s="5">
        <f>J52*Assumptions!$B$45/12*(1+Assumptions!$B$49)^((A52-32)/12)</f>
        <v/>
      </c>
      <c r="N52" s="5">
        <f>K52+L52-M52</f>
        <v/>
      </c>
      <c r="O52" s="5" t="n">
        <v>0</v>
      </c>
      <c r="P52" s="5">
        <f>N52+O52-C52</f>
        <v/>
      </c>
    </row>
    <row r="53">
      <c r="A53" t="n">
        <v>45</v>
      </c>
      <c r="B53" t="inlineStr">
        <is>
          <t>2027-08</t>
        </is>
      </c>
      <c r="C53" s="5" t="n">
        <v>12845204.73</v>
      </c>
      <c r="D53" s="5">
        <f>D52+C53</f>
        <v/>
      </c>
      <c r="E53" s="5" t="n">
        <v>12845204.73</v>
      </c>
      <c r="F53" s="5">
        <f>F52+E53</f>
        <v/>
      </c>
      <c r="G53" s="5" t="n">
        <v>0</v>
      </c>
      <c r="H53" s="5">
        <f>I52*Assumptions!$B$66/12</f>
        <v/>
      </c>
      <c r="I53" s="5">
        <f>I52+G53+H53</f>
        <v/>
      </c>
      <c r="J53" t="n">
        <v>0</v>
      </c>
      <c r="K53" s="5">
        <f>J53*Assumptions!$B$47*(1+Assumptions!$B$49)^((A53-32)/12)</f>
        <v/>
      </c>
      <c r="L53" s="5">
        <f>J53*Assumptions!$B$48*0.5*(1+Assumptions!$B$49)^((A53-32)/12)</f>
        <v/>
      </c>
      <c r="M53" s="5">
        <f>J53*Assumptions!$B$45/12*(1+Assumptions!$B$49)^((A53-32)/12)</f>
        <v/>
      </c>
      <c r="N53" s="5">
        <f>K53+L53-M53</f>
        <v/>
      </c>
      <c r="O53" s="5" t="n">
        <v>0</v>
      </c>
      <c r="P53" s="5">
        <f>N53+O53-C53</f>
        <v/>
      </c>
    </row>
    <row r="54">
      <c r="A54" t="n">
        <v>46</v>
      </c>
      <c r="B54" t="inlineStr">
        <is>
          <t>2027-09</t>
        </is>
      </c>
      <c r="C54" s="5" t="n">
        <v>13852671.77</v>
      </c>
      <c r="D54" s="5">
        <f>D53+C54</f>
        <v/>
      </c>
      <c r="E54" s="5" t="n">
        <v>13852671.77</v>
      </c>
      <c r="F54" s="5">
        <f>F53+E54</f>
        <v/>
      </c>
      <c r="G54" s="5" t="n">
        <v>0</v>
      </c>
      <c r="H54" s="5">
        <f>I53*Assumptions!$B$66/12</f>
        <v/>
      </c>
      <c r="I54" s="5">
        <f>I53+G54+H54</f>
        <v/>
      </c>
      <c r="J54" t="n">
        <v>0</v>
      </c>
      <c r="K54" s="5">
        <f>J54*Assumptions!$B$47*(1+Assumptions!$B$49)^((A54-32)/12)</f>
        <v/>
      </c>
      <c r="L54" s="5">
        <f>J54*Assumptions!$B$48*0.5*(1+Assumptions!$B$49)^((A54-32)/12)</f>
        <v/>
      </c>
      <c r="M54" s="5">
        <f>J54*Assumptions!$B$45/12*(1+Assumptions!$B$49)^((A54-32)/12)</f>
        <v/>
      </c>
      <c r="N54" s="5">
        <f>K54+L54-M54</f>
        <v/>
      </c>
      <c r="O54" s="5" t="n">
        <v>0</v>
      </c>
      <c r="P54" s="5">
        <f>N54+O54-C54</f>
        <v/>
      </c>
    </row>
    <row r="55">
      <c r="A55" t="n">
        <v>47</v>
      </c>
      <c r="B55" t="inlineStr">
        <is>
          <t>2027-10</t>
        </is>
      </c>
      <c r="C55" s="5" t="n">
        <v>14776183.22</v>
      </c>
      <c r="D55" s="5">
        <f>D54+C55</f>
        <v/>
      </c>
      <c r="E55" s="5" t="n">
        <v>14776183.22</v>
      </c>
      <c r="F55" s="5">
        <f>F54+E55</f>
        <v/>
      </c>
      <c r="G55" s="5" t="n">
        <v>0</v>
      </c>
      <c r="H55" s="5">
        <f>I54*Assumptions!$B$66/12</f>
        <v/>
      </c>
      <c r="I55" s="5">
        <f>I54+G55+H55</f>
        <v/>
      </c>
      <c r="J55" t="n">
        <v>0</v>
      </c>
      <c r="K55" s="5">
        <f>J55*Assumptions!$B$47*(1+Assumptions!$B$49)^((A55-32)/12)</f>
        <v/>
      </c>
      <c r="L55" s="5">
        <f>J55*Assumptions!$B$48*0.5*(1+Assumptions!$B$49)^((A55-32)/12)</f>
        <v/>
      </c>
      <c r="M55" s="5">
        <f>J55*Assumptions!$B$45/12*(1+Assumptions!$B$49)^((A55-32)/12)</f>
        <v/>
      </c>
      <c r="N55" s="5">
        <f>K55+L55-M55</f>
        <v/>
      </c>
      <c r="O55" s="5" t="n">
        <v>0</v>
      </c>
      <c r="P55" s="5">
        <f>N55+O55-C55</f>
        <v/>
      </c>
    </row>
    <row r="56">
      <c r="A56" t="n">
        <v>48</v>
      </c>
      <c r="B56" t="inlineStr">
        <is>
          <t>2027-11</t>
        </is>
      </c>
      <c r="C56" s="5" t="n">
        <v>15615739.08</v>
      </c>
      <c r="D56" s="5">
        <f>D55+C56</f>
        <v/>
      </c>
      <c r="E56" s="5" t="n">
        <v>15615739.08</v>
      </c>
      <c r="F56" s="5">
        <f>F55+E56</f>
        <v/>
      </c>
      <c r="G56" s="5" t="n">
        <v>0</v>
      </c>
      <c r="H56" s="5">
        <f>I55*Assumptions!$B$66/12</f>
        <v/>
      </c>
      <c r="I56" s="5">
        <f>I55+G56+H56</f>
        <v/>
      </c>
      <c r="J56" t="n">
        <v>0</v>
      </c>
      <c r="K56" s="5">
        <f>J56*Assumptions!$B$47*(1+Assumptions!$B$49)^((A56-32)/12)</f>
        <v/>
      </c>
      <c r="L56" s="5">
        <f>J56*Assumptions!$B$48*0.5*(1+Assumptions!$B$49)^((A56-32)/12)</f>
        <v/>
      </c>
      <c r="M56" s="5">
        <f>J56*Assumptions!$B$45/12*(1+Assumptions!$B$49)^((A56-32)/12)</f>
        <v/>
      </c>
      <c r="N56" s="5">
        <f>K56+L56-M56</f>
        <v/>
      </c>
      <c r="O56" s="5" t="n">
        <v>0</v>
      </c>
      <c r="P56" s="5">
        <f>N56+O56-C56</f>
        <v/>
      </c>
    </row>
    <row r="57">
      <c r="A57" t="n">
        <v>49</v>
      </c>
      <c r="B57" t="inlineStr">
        <is>
          <t>2027-12</t>
        </is>
      </c>
      <c r="C57" s="5" t="n">
        <v>16371339.36</v>
      </c>
      <c r="D57" s="5">
        <f>D56+C57</f>
        <v/>
      </c>
      <c r="E57" s="5" t="n">
        <v>16371339.36</v>
      </c>
      <c r="F57" s="5">
        <f>F56+E57</f>
        <v/>
      </c>
      <c r="G57" s="5" t="n">
        <v>0</v>
      </c>
      <c r="H57" s="5">
        <f>I56*Assumptions!$B$66/12</f>
        <v/>
      </c>
      <c r="I57" s="5">
        <f>I56+G57+H57</f>
        <v/>
      </c>
      <c r="J57" t="n">
        <v>0</v>
      </c>
      <c r="K57" s="5">
        <f>J57*Assumptions!$B$47*(1+Assumptions!$B$49)^((A57-32)/12)</f>
        <v/>
      </c>
      <c r="L57" s="5">
        <f>J57*Assumptions!$B$48*0.5*(1+Assumptions!$B$49)^((A57-32)/12)</f>
        <v/>
      </c>
      <c r="M57" s="5">
        <f>J57*Assumptions!$B$45/12*(1+Assumptions!$B$49)^((A57-32)/12)</f>
        <v/>
      </c>
      <c r="N57" s="5">
        <f>K57+L57-M57</f>
        <v/>
      </c>
      <c r="O57" s="5" t="n">
        <v>0</v>
      </c>
      <c r="P57" s="5">
        <f>N57+O57-C57</f>
        <v/>
      </c>
    </row>
    <row r="58">
      <c r="A58" t="n">
        <v>50</v>
      </c>
      <c r="B58" t="inlineStr">
        <is>
          <t>2028-01</t>
        </is>
      </c>
      <c r="C58" s="5" t="n">
        <v>17042984.05</v>
      </c>
      <c r="D58" s="5">
        <f>D57+C58</f>
        <v/>
      </c>
      <c r="E58" s="5" t="n">
        <v>17042984.05</v>
      </c>
      <c r="F58" s="5">
        <f>F57+E58</f>
        <v/>
      </c>
      <c r="G58" s="5" t="n">
        <v>0</v>
      </c>
      <c r="H58" s="5">
        <f>I57*Assumptions!$B$66/12</f>
        <v/>
      </c>
      <c r="I58" s="5">
        <f>I57+G58+H58</f>
        <v/>
      </c>
      <c r="J58" t="n">
        <v>0</v>
      </c>
      <c r="K58" s="5">
        <f>J58*Assumptions!$B$47*(1+Assumptions!$B$49)^((A58-32)/12)</f>
        <v/>
      </c>
      <c r="L58" s="5">
        <f>J58*Assumptions!$B$48*0.5*(1+Assumptions!$B$49)^((A58-32)/12)</f>
        <v/>
      </c>
      <c r="M58" s="5">
        <f>J58*Assumptions!$B$45/12*(1+Assumptions!$B$49)^((A58-32)/12)</f>
        <v/>
      </c>
      <c r="N58" s="5">
        <f>K58+L58-M58</f>
        <v/>
      </c>
      <c r="O58" s="5" t="n">
        <v>0</v>
      </c>
      <c r="P58" s="5">
        <f>N58+O58-C58</f>
        <v/>
      </c>
    </row>
    <row r="59">
      <c r="A59" t="n">
        <v>51</v>
      </c>
      <c r="B59" t="inlineStr">
        <is>
          <t>2028-02</t>
        </is>
      </c>
      <c r="C59" s="5" t="n">
        <v>17630673.16</v>
      </c>
      <c r="D59" s="5">
        <f>D58+C59</f>
        <v/>
      </c>
      <c r="E59" s="5" t="n">
        <v>17630673.16</v>
      </c>
      <c r="F59" s="5">
        <f>F58+E59</f>
        <v/>
      </c>
      <c r="G59" s="5" t="n">
        <v>0</v>
      </c>
      <c r="H59" s="5">
        <f>I58*Assumptions!$B$66/12</f>
        <v/>
      </c>
      <c r="I59" s="5">
        <f>I58+G59+H59</f>
        <v/>
      </c>
      <c r="J59" t="n">
        <v>0</v>
      </c>
      <c r="K59" s="5">
        <f>J59*Assumptions!$B$47*(1+Assumptions!$B$49)^((A59-32)/12)</f>
        <v/>
      </c>
      <c r="L59" s="5">
        <f>J59*Assumptions!$B$48*0.5*(1+Assumptions!$B$49)^((A59-32)/12)</f>
        <v/>
      </c>
      <c r="M59" s="5">
        <f>J59*Assumptions!$B$45/12*(1+Assumptions!$B$49)^((A59-32)/12)</f>
        <v/>
      </c>
      <c r="N59" s="5">
        <f>K59+L59-M59</f>
        <v/>
      </c>
      <c r="O59" s="5" t="n">
        <v>0</v>
      </c>
      <c r="P59" s="5">
        <f>N59+O59-C59</f>
        <v/>
      </c>
    </row>
    <row r="60">
      <c r="A60" t="n">
        <v>52</v>
      </c>
      <c r="B60" t="inlineStr">
        <is>
          <t>2028-03</t>
        </is>
      </c>
      <c r="C60" s="5" t="n">
        <v>18134406.67</v>
      </c>
      <c r="D60" s="5">
        <f>D59+C60</f>
        <v/>
      </c>
      <c r="E60" s="5" t="n">
        <v>18134406.67</v>
      </c>
      <c r="F60" s="5">
        <f>F59+E60</f>
        <v/>
      </c>
      <c r="G60" s="5" t="n">
        <v>0</v>
      </c>
      <c r="H60" s="5">
        <f>I59*Assumptions!$B$66/12</f>
        <v/>
      </c>
      <c r="I60" s="5">
        <f>I59+G60+H60</f>
        <v/>
      </c>
      <c r="J60" t="n">
        <v>0</v>
      </c>
      <c r="K60" s="5">
        <f>J60*Assumptions!$B$47*(1+Assumptions!$B$49)^((A60-32)/12)</f>
        <v/>
      </c>
      <c r="L60" s="5">
        <f>J60*Assumptions!$B$48*0.5*(1+Assumptions!$B$49)^((A60-32)/12)</f>
        <v/>
      </c>
      <c r="M60" s="5">
        <f>J60*Assumptions!$B$45/12*(1+Assumptions!$B$49)^((A60-32)/12)</f>
        <v/>
      </c>
      <c r="N60" s="5">
        <f>K60+L60-M60</f>
        <v/>
      </c>
      <c r="O60" s="5" t="n">
        <v>0</v>
      </c>
      <c r="P60" s="5">
        <f>N60+O60-C60</f>
        <v/>
      </c>
    </row>
    <row r="61">
      <c r="A61" t="n">
        <v>53</v>
      </c>
      <c r="B61" t="inlineStr">
        <is>
          <t>2028-04</t>
        </is>
      </c>
      <c r="C61" s="5" t="n">
        <v>18554184.61</v>
      </c>
      <c r="D61" s="5">
        <f>D60+C61</f>
        <v/>
      </c>
      <c r="E61" s="5" t="n">
        <v>6308698.48</v>
      </c>
      <c r="F61" s="5">
        <f>F60+E61</f>
        <v/>
      </c>
      <c r="G61" s="5" t="n">
        <v>12245486.13</v>
      </c>
      <c r="H61" s="5">
        <f>I60*Assumptions!$B$66/12</f>
        <v/>
      </c>
      <c r="I61" s="5">
        <f>I60+G61+H61</f>
        <v/>
      </c>
      <c r="J61" t="n">
        <v>0</v>
      </c>
      <c r="K61" s="5">
        <f>J61*Assumptions!$B$47*(1+Assumptions!$B$49)^((A61-32)/12)</f>
        <v/>
      </c>
      <c r="L61" s="5">
        <f>J61*Assumptions!$B$48*0.5*(1+Assumptions!$B$49)^((A61-32)/12)</f>
        <v/>
      </c>
      <c r="M61" s="5">
        <f>J61*Assumptions!$B$45/12*(1+Assumptions!$B$49)^((A61-32)/12)</f>
        <v/>
      </c>
      <c r="N61" s="5">
        <f>K61+L61-M61</f>
        <v/>
      </c>
      <c r="O61" s="5" t="n">
        <v>0</v>
      </c>
      <c r="P61" s="5">
        <f>N61+O61-C61</f>
        <v/>
      </c>
    </row>
    <row r="62">
      <c r="A62" t="n">
        <v>54</v>
      </c>
      <c r="B62" t="inlineStr">
        <is>
          <t>2028-05</t>
        </is>
      </c>
      <c r="C62" s="5" t="n">
        <v>18890006.95</v>
      </c>
      <c r="D62" s="5">
        <f>D61+C62</f>
        <v/>
      </c>
      <c r="E62" s="5" t="n">
        <v>0</v>
      </c>
      <c r="F62" s="5">
        <f>F61+E62</f>
        <v/>
      </c>
      <c r="G62" s="5" t="n">
        <v>18890006.95</v>
      </c>
      <c r="H62" s="5">
        <f>I61*Assumptions!$B$66/12</f>
        <v/>
      </c>
      <c r="I62" s="5">
        <f>I61+G62+H62</f>
        <v/>
      </c>
      <c r="J62" t="n">
        <v>0</v>
      </c>
      <c r="K62" s="5">
        <f>J62*Assumptions!$B$47*(1+Assumptions!$B$49)^((A62-32)/12)</f>
        <v/>
      </c>
      <c r="L62" s="5">
        <f>J62*Assumptions!$B$48*0.5*(1+Assumptions!$B$49)^((A62-32)/12)</f>
        <v/>
      </c>
      <c r="M62" s="5">
        <f>J62*Assumptions!$B$45/12*(1+Assumptions!$B$49)^((A62-32)/12)</f>
        <v/>
      </c>
      <c r="N62" s="5">
        <f>K62+L62-M62</f>
        <v/>
      </c>
      <c r="O62" s="5" t="n">
        <v>0</v>
      </c>
      <c r="P62" s="5">
        <f>N62+O62-C62</f>
        <v/>
      </c>
    </row>
    <row r="63">
      <c r="A63" t="n">
        <v>55</v>
      </c>
      <c r="B63" t="inlineStr">
        <is>
          <t>2028-06</t>
        </is>
      </c>
      <c r="C63" s="5" t="n">
        <v>19141873.71</v>
      </c>
      <c r="D63" s="5">
        <f>D62+C63</f>
        <v/>
      </c>
      <c r="E63" s="5" t="n">
        <v>0</v>
      </c>
      <c r="F63" s="5">
        <f>F62+E63</f>
        <v/>
      </c>
      <c r="G63" s="5" t="n">
        <v>19141873.71</v>
      </c>
      <c r="H63" s="5">
        <f>I62*Assumptions!$B$66/12</f>
        <v/>
      </c>
      <c r="I63" s="5">
        <f>I62+G63+H63</f>
        <v/>
      </c>
      <c r="J63" t="n">
        <v>0</v>
      </c>
      <c r="K63" s="5">
        <f>J63*Assumptions!$B$47*(1+Assumptions!$B$49)^((A63-32)/12)</f>
        <v/>
      </c>
      <c r="L63" s="5">
        <f>J63*Assumptions!$B$48*0.5*(1+Assumptions!$B$49)^((A63-32)/12)</f>
        <v/>
      </c>
      <c r="M63" s="5">
        <f>J63*Assumptions!$B$45/12*(1+Assumptions!$B$49)^((A63-32)/12)</f>
        <v/>
      </c>
      <c r="N63" s="5">
        <f>K63+L63-M63</f>
        <v/>
      </c>
      <c r="O63" s="5" t="n">
        <v>0</v>
      </c>
      <c r="P63" s="5">
        <f>N63+O63-C63</f>
        <v/>
      </c>
    </row>
    <row r="64">
      <c r="A64" t="n">
        <v>56</v>
      </c>
      <c r="B64" t="inlineStr">
        <is>
          <t>2028-07</t>
        </is>
      </c>
      <c r="C64" s="5" t="n">
        <v>19309784.88</v>
      </c>
      <c r="D64" s="5">
        <f>D63+C64</f>
        <v/>
      </c>
      <c r="E64" s="5" t="n">
        <v>0</v>
      </c>
      <c r="F64" s="5">
        <f>F63+E64</f>
        <v/>
      </c>
      <c r="G64" s="5" t="n">
        <v>19309784.88</v>
      </c>
      <c r="H64" s="5">
        <f>I63*Assumptions!$B$66/12</f>
        <v/>
      </c>
      <c r="I64" s="5">
        <f>I63+G64+H64</f>
        <v/>
      </c>
      <c r="J64" t="n">
        <v>0</v>
      </c>
      <c r="K64" s="5">
        <f>J64*Assumptions!$B$47*(1+Assumptions!$B$49)^((A64-32)/12)</f>
        <v/>
      </c>
      <c r="L64" s="5">
        <f>J64*Assumptions!$B$48*0.5*(1+Assumptions!$B$49)^((A64-32)/12)</f>
        <v/>
      </c>
      <c r="M64" s="5">
        <f>J64*Assumptions!$B$45/12*(1+Assumptions!$B$49)^((A64-32)/12)</f>
        <v/>
      </c>
      <c r="N64" s="5">
        <f>K64+L64-M64</f>
        <v/>
      </c>
      <c r="O64" s="5" t="n">
        <v>0</v>
      </c>
      <c r="P64" s="5">
        <f>N64+O64-C64</f>
        <v/>
      </c>
    </row>
    <row r="65">
      <c r="A65" t="n">
        <v>57</v>
      </c>
      <c r="B65" t="inlineStr">
        <is>
          <t>2028-08</t>
        </is>
      </c>
      <c r="C65" s="5" t="n">
        <v>19393740.47</v>
      </c>
      <c r="D65" s="5">
        <f>D64+C65</f>
        <v/>
      </c>
      <c r="E65" s="5" t="n">
        <v>0</v>
      </c>
      <c r="F65" s="5">
        <f>F64+E65</f>
        <v/>
      </c>
      <c r="G65" s="5" t="n">
        <v>19393740.47</v>
      </c>
      <c r="H65" s="5">
        <f>I64*Assumptions!$B$66/12</f>
        <v/>
      </c>
      <c r="I65" s="5">
        <f>I64+G65+H65</f>
        <v/>
      </c>
      <c r="J65" t="n">
        <v>0</v>
      </c>
      <c r="K65" s="5">
        <f>J65*Assumptions!$B$47*(1+Assumptions!$B$49)^((A65-32)/12)</f>
        <v/>
      </c>
      <c r="L65" s="5">
        <f>J65*Assumptions!$B$48*0.5*(1+Assumptions!$B$49)^((A65-32)/12)</f>
        <v/>
      </c>
      <c r="M65" s="5">
        <f>J65*Assumptions!$B$45/12*(1+Assumptions!$B$49)^((A65-32)/12)</f>
        <v/>
      </c>
      <c r="N65" s="5">
        <f>K65+L65-M65</f>
        <v/>
      </c>
      <c r="O65" s="5" t="n">
        <v>0</v>
      </c>
      <c r="P65" s="5">
        <f>N65+O65-C65</f>
        <v/>
      </c>
    </row>
    <row r="66">
      <c r="A66" t="n">
        <v>58</v>
      </c>
      <c r="B66" t="inlineStr">
        <is>
          <t>2028-09</t>
        </is>
      </c>
      <c r="C66" s="5" t="n">
        <v>19393740.47</v>
      </c>
      <c r="D66" s="5">
        <f>D65+C66</f>
        <v/>
      </c>
      <c r="E66" s="5" t="n">
        <v>0</v>
      </c>
      <c r="F66" s="5">
        <f>F65+E66</f>
        <v/>
      </c>
      <c r="G66" s="5" t="n">
        <v>19393740.47</v>
      </c>
      <c r="H66" s="5">
        <f>I65*Assumptions!$B$66/12</f>
        <v/>
      </c>
      <c r="I66" s="5">
        <f>I65+G66+H66</f>
        <v/>
      </c>
      <c r="J66" t="n">
        <v>0</v>
      </c>
      <c r="K66" s="5">
        <f>J66*Assumptions!$B$47*(1+Assumptions!$B$49)^((A66-32)/12)</f>
        <v/>
      </c>
      <c r="L66" s="5">
        <f>J66*Assumptions!$B$48*0.5*(1+Assumptions!$B$49)^((A66-32)/12)</f>
        <v/>
      </c>
      <c r="M66" s="5">
        <f>J66*Assumptions!$B$45/12*(1+Assumptions!$B$49)^((A66-32)/12)</f>
        <v/>
      </c>
      <c r="N66" s="5">
        <f>K66+L66-M66</f>
        <v/>
      </c>
      <c r="O66" s="5" t="n">
        <v>0</v>
      </c>
      <c r="P66" s="5">
        <f>N66+O66-C66</f>
        <v/>
      </c>
    </row>
    <row r="67">
      <c r="A67" t="n">
        <v>59</v>
      </c>
      <c r="B67" t="inlineStr">
        <is>
          <t>2028-10</t>
        </is>
      </c>
      <c r="C67" s="5" t="n">
        <v>19309784.88</v>
      </c>
      <c r="D67" s="5">
        <f>D66+C67</f>
        <v/>
      </c>
      <c r="E67" s="5" t="n">
        <v>0</v>
      </c>
      <c r="F67" s="5">
        <f>F66+E67</f>
        <v/>
      </c>
      <c r="G67" s="5" t="n">
        <v>19309784.88</v>
      </c>
      <c r="H67" s="5">
        <f>I66*Assumptions!$B$66/12</f>
        <v/>
      </c>
      <c r="I67" s="5">
        <f>I66+G67+H67</f>
        <v/>
      </c>
      <c r="J67" t="n">
        <v>0</v>
      </c>
      <c r="K67" s="5">
        <f>J67*Assumptions!$B$47*(1+Assumptions!$B$49)^((A67-32)/12)</f>
        <v/>
      </c>
      <c r="L67" s="5">
        <f>J67*Assumptions!$B$48*0.5*(1+Assumptions!$B$49)^((A67-32)/12)</f>
        <v/>
      </c>
      <c r="M67" s="5">
        <f>J67*Assumptions!$B$45/12*(1+Assumptions!$B$49)^((A67-32)/12)</f>
        <v/>
      </c>
      <c r="N67" s="5">
        <f>K67+L67-M67</f>
        <v/>
      </c>
      <c r="O67" s="5" t="n">
        <v>0</v>
      </c>
      <c r="P67" s="5">
        <f>N67+O67-C67</f>
        <v/>
      </c>
    </row>
    <row r="68">
      <c r="A68" t="n">
        <v>60</v>
      </c>
      <c r="B68" t="inlineStr">
        <is>
          <t>2028-11</t>
        </is>
      </c>
      <c r="C68" s="5" t="n">
        <v>19141873.71</v>
      </c>
      <c r="D68" s="5">
        <f>D67+C68</f>
        <v/>
      </c>
      <c r="E68" s="5" t="n">
        <v>0</v>
      </c>
      <c r="F68" s="5">
        <f>F67+E68</f>
        <v/>
      </c>
      <c r="G68" s="5" t="n">
        <v>19141873.71</v>
      </c>
      <c r="H68" s="5">
        <f>I67*Assumptions!$B$66/12</f>
        <v/>
      </c>
      <c r="I68" s="5">
        <f>I67+G68+H68</f>
        <v/>
      </c>
      <c r="J68" t="n">
        <v>0</v>
      </c>
      <c r="K68" s="5">
        <f>J68*Assumptions!$B$47*(1+Assumptions!$B$49)^((A68-32)/12)</f>
        <v/>
      </c>
      <c r="L68" s="5">
        <f>J68*Assumptions!$B$48*0.5*(1+Assumptions!$B$49)^((A68-32)/12)</f>
        <v/>
      </c>
      <c r="M68" s="5">
        <f>J68*Assumptions!$B$45/12*(1+Assumptions!$B$49)^((A68-32)/12)</f>
        <v/>
      </c>
      <c r="N68" s="5">
        <f>K68+L68-M68</f>
        <v/>
      </c>
      <c r="O68" s="5" t="n">
        <v>0</v>
      </c>
      <c r="P68" s="5">
        <f>N68+O68-C68</f>
        <v/>
      </c>
    </row>
    <row r="69">
      <c r="A69" t="n">
        <v>61</v>
      </c>
      <c r="B69" t="inlineStr">
        <is>
          <t>2028-12</t>
        </is>
      </c>
      <c r="C69" s="5" t="n">
        <v>18890006.95</v>
      </c>
      <c r="D69" s="5">
        <f>D68+C69</f>
        <v/>
      </c>
      <c r="E69" s="5" t="n">
        <v>0</v>
      </c>
      <c r="F69" s="5">
        <f>F68+E69</f>
        <v/>
      </c>
      <c r="G69" s="5" t="n">
        <v>18890006.95</v>
      </c>
      <c r="H69" s="5">
        <f>I68*Assumptions!$B$66/12</f>
        <v/>
      </c>
      <c r="I69" s="5">
        <f>I68+G69+H69</f>
        <v/>
      </c>
      <c r="J69" t="n">
        <v>0</v>
      </c>
      <c r="K69" s="5">
        <f>J69*Assumptions!$B$47*(1+Assumptions!$B$49)^((A69-32)/12)</f>
        <v/>
      </c>
      <c r="L69" s="5">
        <f>J69*Assumptions!$B$48*0.5*(1+Assumptions!$B$49)^((A69-32)/12)</f>
        <v/>
      </c>
      <c r="M69" s="5">
        <f>J69*Assumptions!$B$45/12*(1+Assumptions!$B$49)^((A69-32)/12)</f>
        <v/>
      </c>
      <c r="N69" s="5">
        <f>K69+L69-M69</f>
        <v/>
      </c>
      <c r="O69" s="5" t="n">
        <v>0</v>
      </c>
      <c r="P69" s="5">
        <f>N69+O69-C69</f>
        <v/>
      </c>
    </row>
    <row r="70">
      <c r="A70" t="n">
        <v>62</v>
      </c>
      <c r="B70" t="inlineStr">
        <is>
          <t>2029-01</t>
        </is>
      </c>
      <c r="C70" s="5" t="n">
        <v>18554184.61</v>
      </c>
      <c r="D70" s="5">
        <f>D69+C70</f>
        <v/>
      </c>
      <c r="E70" s="5" t="n">
        <v>0</v>
      </c>
      <c r="F70" s="5">
        <f>F69+E70</f>
        <v/>
      </c>
      <c r="G70" s="5" t="n">
        <v>18554184.61</v>
      </c>
      <c r="H70" s="5">
        <f>I69*Assumptions!$B$66/12</f>
        <v/>
      </c>
      <c r="I70" s="5">
        <f>I69+G70+H70</f>
        <v/>
      </c>
      <c r="J70" t="n">
        <v>0</v>
      </c>
      <c r="K70" s="5">
        <f>J70*Assumptions!$B$47*(1+Assumptions!$B$49)^((A70-32)/12)</f>
        <v/>
      </c>
      <c r="L70" s="5">
        <f>J70*Assumptions!$B$48*0.5*(1+Assumptions!$B$49)^((A70-32)/12)</f>
        <v/>
      </c>
      <c r="M70" s="5">
        <f>J70*Assumptions!$B$45/12*(1+Assumptions!$B$49)^((A70-32)/12)</f>
        <v/>
      </c>
      <c r="N70" s="5">
        <f>K70+L70-M70</f>
        <v/>
      </c>
      <c r="O70" s="5" t="n">
        <v>0</v>
      </c>
      <c r="P70" s="5">
        <f>N70+O70-C70</f>
        <v/>
      </c>
    </row>
    <row r="71">
      <c r="A71" t="n">
        <v>63</v>
      </c>
      <c r="B71" t="inlineStr">
        <is>
          <t>2029-02</t>
        </is>
      </c>
      <c r="C71" s="5" t="n">
        <v>18134406.67</v>
      </c>
      <c r="D71" s="5">
        <f>D70+C71</f>
        <v/>
      </c>
      <c r="E71" s="5" t="n">
        <v>0</v>
      </c>
      <c r="F71" s="5">
        <f>F70+E71</f>
        <v/>
      </c>
      <c r="G71" s="5" t="n">
        <v>18134406.67</v>
      </c>
      <c r="H71" s="5">
        <f>I70*Assumptions!$B$66/12</f>
        <v/>
      </c>
      <c r="I71" s="5">
        <f>I70+G71+H71</f>
        <v/>
      </c>
      <c r="J71" t="n">
        <v>0</v>
      </c>
      <c r="K71" s="5">
        <f>J71*Assumptions!$B$47*(1+Assumptions!$B$49)^((A71-32)/12)</f>
        <v/>
      </c>
      <c r="L71" s="5">
        <f>J71*Assumptions!$B$48*0.5*(1+Assumptions!$B$49)^((A71-32)/12)</f>
        <v/>
      </c>
      <c r="M71" s="5">
        <f>J71*Assumptions!$B$45/12*(1+Assumptions!$B$49)^((A71-32)/12)</f>
        <v/>
      </c>
      <c r="N71" s="5">
        <f>K71+L71-M71</f>
        <v/>
      </c>
      <c r="O71" s="5" t="n">
        <v>0</v>
      </c>
      <c r="P71" s="5">
        <f>N71+O71-C71</f>
        <v/>
      </c>
    </row>
    <row r="72">
      <c r="A72" t="n">
        <v>64</v>
      </c>
      <c r="B72" t="inlineStr">
        <is>
          <t>2029-03</t>
        </is>
      </c>
      <c r="C72" s="5" t="n">
        <v>17630673.16</v>
      </c>
      <c r="D72" s="5">
        <f>D71+C72</f>
        <v/>
      </c>
      <c r="E72" s="5" t="n">
        <v>0</v>
      </c>
      <c r="F72" s="5">
        <f>F71+E72</f>
        <v/>
      </c>
      <c r="G72" s="5" t="n">
        <v>17630673.16</v>
      </c>
      <c r="H72" s="5">
        <f>I71*Assumptions!$B$66/12</f>
        <v/>
      </c>
      <c r="I72" s="5">
        <f>I71+G72+H72</f>
        <v/>
      </c>
      <c r="J72" t="n">
        <v>0</v>
      </c>
      <c r="K72" s="5">
        <f>J72*Assumptions!$B$47*(1+Assumptions!$B$49)^((A72-32)/12)</f>
        <v/>
      </c>
      <c r="L72" s="5">
        <f>J72*Assumptions!$B$48*0.5*(1+Assumptions!$B$49)^((A72-32)/12)</f>
        <v/>
      </c>
      <c r="M72" s="5">
        <f>J72*Assumptions!$B$45/12*(1+Assumptions!$B$49)^((A72-32)/12)</f>
        <v/>
      </c>
      <c r="N72" s="5">
        <f>K72+L72-M72</f>
        <v/>
      </c>
      <c r="O72" s="5" t="n">
        <v>0</v>
      </c>
      <c r="P72" s="5">
        <f>N72+O72-C72</f>
        <v/>
      </c>
    </row>
    <row r="73">
      <c r="A73" t="n">
        <v>65</v>
      </c>
      <c r="B73" t="inlineStr">
        <is>
          <t>2029-04</t>
        </is>
      </c>
      <c r="C73" s="5" t="n">
        <v>17042984.05</v>
      </c>
      <c r="D73" s="5">
        <f>D72+C73</f>
        <v/>
      </c>
      <c r="E73" s="5" t="n">
        <v>0</v>
      </c>
      <c r="F73" s="5">
        <f>F72+E73</f>
        <v/>
      </c>
      <c r="G73" s="5" t="n">
        <v>17042984.05</v>
      </c>
      <c r="H73" s="5">
        <f>I72*Assumptions!$B$66/12</f>
        <v/>
      </c>
      <c r="I73" s="5">
        <f>I72+G73+H73</f>
        <v/>
      </c>
      <c r="J73" t="n">
        <v>0</v>
      </c>
      <c r="K73" s="5">
        <f>J73*Assumptions!$B$47*(1+Assumptions!$B$49)^((A73-32)/12)</f>
        <v/>
      </c>
      <c r="L73" s="5">
        <f>J73*Assumptions!$B$48*0.5*(1+Assumptions!$B$49)^((A73-32)/12)</f>
        <v/>
      </c>
      <c r="M73" s="5">
        <f>J73*Assumptions!$B$45/12*(1+Assumptions!$B$49)^((A73-32)/12)</f>
        <v/>
      </c>
      <c r="N73" s="5">
        <f>K73+L73-M73</f>
        <v/>
      </c>
      <c r="O73" s="5" t="n">
        <v>0</v>
      </c>
      <c r="P73" s="5">
        <f>N73+O73-C73</f>
        <v/>
      </c>
    </row>
    <row r="74">
      <c r="A74" t="n">
        <v>66</v>
      </c>
      <c r="B74" t="inlineStr">
        <is>
          <t>2029-05</t>
        </is>
      </c>
      <c r="C74" s="5" t="n">
        <v>16371339.36</v>
      </c>
      <c r="D74" s="5">
        <f>D73+C74</f>
        <v/>
      </c>
      <c r="E74" s="5" t="n">
        <v>0</v>
      </c>
      <c r="F74" s="5">
        <f>F73+E74</f>
        <v/>
      </c>
      <c r="G74" s="5" t="n">
        <v>16371339.36</v>
      </c>
      <c r="H74" s="5">
        <f>I73*Assumptions!$B$66/12</f>
        <v/>
      </c>
      <c r="I74" s="5">
        <f>I73+G74+H74</f>
        <v/>
      </c>
      <c r="J74" t="n">
        <v>0</v>
      </c>
      <c r="K74" s="5">
        <f>J74*Assumptions!$B$47*(1+Assumptions!$B$49)^((A74-32)/12)</f>
        <v/>
      </c>
      <c r="L74" s="5">
        <f>J74*Assumptions!$B$48*0.5*(1+Assumptions!$B$49)^((A74-32)/12)</f>
        <v/>
      </c>
      <c r="M74" s="5">
        <f>J74*Assumptions!$B$45/12*(1+Assumptions!$B$49)^((A74-32)/12)</f>
        <v/>
      </c>
      <c r="N74" s="5">
        <f>K74+L74-M74</f>
        <v/>
      </c>
      <c r="O74" s="5" t="n">
        <v>0</v>
      </c>
      <c r="P74" s="5">
        <f>N74+O74-C74</f>
        <v/>
      </c>
    </row>
    <row r="75">
      <c r="A75" t="n">
        <v>67</v>
      </c>
      <c r="B75" t="inlineStr">
        <is>
          <t>2029-06</t>
        </is>
      </c>
      <c r="C75" s="5" t="n">
        <v>15615739.08</v>
      </c>
      <c r="D75" s="5">
        <f>D74+C75</f>
        <v/>
      </c>
      <c r="E75" s="5" t="n">
        <v>0</v>
      </c>
      <c r="F75" s="5">
        <f>F74+E75</f>
        <v/>
      </c>
      <c r="G75" s="5" t="n">
        <v>15615739.08</v>
      </c>
      <c r="H75" s="5">
        <f>I74*Assumptions!$B$66/12</f>
        <v/>
      </c>
      <c r="I75" s="5">
        <f>I74+G75+H75</f>
        <v/>
      </c>
      <c r="J75" t="n">
        <v>0</v>
      </c>
      <c r="K75" s="5">
        <f>J75*Assumptions!$B$47*(1+Assumptions!$B$49)^((A75-32)/12)</f>
        <v/>
      </c>
      <c r="L75" s="5">
        <f>J75*Assumptions!$B$48*0.5*(1+Assumptions!$B$49)^((A75-32)/12)</f>
        <v/>
      </c>
      <c r="M75" s="5">
        <f>J75*Assumptions!$B$45/12*(1+Assumptions!$B$49)^((A75-32)/12)</f>
        <v/>
      </c>
      <c r="N75" s="5">
        <f>K75+L75-M75</f>
        <v/>
      </c>
      <c r="O75" s="5" t="n">
        <v>0</v>
      </c>
      <c r="P75" s="5">
        <f>N75+O75-C75</f>
        <v/>
      </c>
    </row>
    <row r="76">
      <c r="A76" t="n">
        <v>68</v>
      </c>
      <c r="B76" t="inlineStr">
        <is>
          <t>2029-07</t>
        </is>
      </c>
      <c r="C76" s="5" t="n">
        <v>14776183.22</v>
      </c>
      <c r="D76" s="5">
        <f>D75+C76</f>
        <v/>
      </c>
      <c r="E76" s="5" t="n">
        <v>0</v>
      </c>
      <c r="F76" s="5">
        <f>F75+E76</f>
        <v/>
      </c>
      <c r="G76" s="5" t="n">
        <v>14776183.22</v>
      </c>
      <c r="H76" s="5">
        <f>I75*Assumptions!$B$66/12</f>
        <v/>
      </c>
      <c r="I76" s="5">
        <f>I75+G76+H76</f>
        <v/>
      </c>
      <c r="J76" t="n">
        <v>0</v>
      </c>
      <c r="K76" s="5">
        <f>J76*Assumptions!$B$47*(1+Assumptions!$B$49)^((A76-32)/12)</f>
        <v/>
      </c>
      <c r="L76" s="5">
        <f>J76*Assumptions!$B$48*0.5*(1+Assumptions!$B$49)^((A76-32)/12)</f>
        <v/>
      </c>
      <c r="M76" s="5">
        <f>J76*Assumptions!$B$45/12*(1+Assumptions!$B$49)^((A76-32)/12)</f>
        <v/>
      </c>
      <c r="N76" s="5">
        <f>K76+L76-M76</f>
        <v/>
      </c>
      <c r="O76" s="5" t="n">
        <v>0</v>
      </c>
      <c r="P76" s="5">
        <f>N76+O76-C76</f>
        <v/>
      </c>
    </row>
    <row r="77">
      <c r="A77" t="n">
        <v>69</v>
      </c>
      <c r="B77" t="inlineStr">
        <is>
          <t>2029-08</t>
        </is>
      </c>
      <c r="C77" s="5" t="n">
        <v>13852671.77</v>
      </c>
      <c r="D77" s="5">
        <f>D76+C77</f>
        <v/>
      </c>
      <c r="E77" s="5" t="n">
        <v>0</v>
      </c>
      <c r="F77" s="5">
        <f>F76+E77</f>
        <v/>
      </c>
      <c r="G77" s="5" t="n">
        <v>13852671.77</v>
      </c>
      <c r="H77" s="5">
        <f>I76*Assumptions!$B$66/12</f>
        <v/>
      </c>
      <c r="I77" s="5">
        <f>I76+G77+H77</f>
        <v/>
      </c>
      <c r="J77" t="n">
        <v>0</v>
      </c>
      <c r="K77" s="5">
        <f>J77*Assumptions!$B$47*(1+Assumptions!$B$49)^((A77-32)/12)</f>
        <v/>
      </c>
      <c r="L77" s="5">
        <f>J77*Assumptions!$B$48*0.5*(1+Assumptions!$B$49)^((A77-32)/12)</f>
        <v/>
      </c>
      <c r="M77" s="5">
        <f>J77*Assumptions!$B$45/12*(1+Assumptions!$B$49)^((A77-32)/12)</f>
        <v/>
      </c>
      <c r="N77" s="5">
        <f>K77+L77-M77</f>
        <v/>
      </c>
      <c r="O77" s="5" t="n">
        <v>0</v>
      </c>
      <c r="P77" s="5">
        <f>N77+O77-C77</f>
        <v/>
      </c>
    </row>
    <row r="78">
      <c r="A78" t="n">
        <v>70</v>
      </c>
      <c r="B78" t="inlineStr">
        <is>
          <t>2029-09</t>
        </is>
      </c>
      <c r="C78" s="5" t="n">
        <v>12845204.73</v>
      </c>
      <c r="D78" s="5">
        <f>D77+C78</f>
        <v/>
      </c>
      <c r="E78" s="5" t="n">
        <v>0</v>
      </c>
      <c r="F78" s="5">
        <f>F77+E78</f>
        <v/>
      </c>
      <c r="G78" s="5" t="n">
        <v>12845204.73</v>
      </c>
      <c r="H78" s="5">
        <f>I77*Assumptions!$B$66/12</f>
        <v/>
      </c>
      <c r="I78" s="5">
        <f>I77+G78+H78</f>
        <v/>
      </c>
      <c r="J78" t="n">
        <v>0</v>
      </c>
      <c r="K78" s="5">
        <f>J78*Assumptions!$B$47*(1+Assumptions!$B$49)^((A78-32)/12)</f>
        <v/>
      </c>
      <c r="L78" s="5">
        <f>J78*Assumptions!$B$48*0.5*(1+Assumptions!$B$49)^((A78-32)/12)</f>
        <v/>
      </c>
      <c r="M78" s="5">
        <f>J78*Assumptions!$B$45/12*(1+Assumptions!$B$49)^((A78-32)/12)</f>
        <v/>
      </c>
      <c r="N78" s="5">
        <f>K78+L78-M78</f>
        <v/>
      </c>
      <c r="O78" s="5" t="n">
        <v>0</v>
      </c>
      <c r="P78" s="5">
        <f>N78+O78-C78</f>
        <v/>
      </c>
    </row>
    <row r="79">
      <c r="A79" t="n">
        <v>71</v>
      </c>
      <c r="B79" t="inlineStr">
        <is>
          <t>2029-10</t>
        </is>
      </c>
      <c r="C79" s="5" t="n">
        <v>11753782.1</v>
      </c>
      <c r="D79" s="5">
        <f>D78+C79</f>
        <v/>
      </c>
      <c r="E79" s="5" t="n">
        <v>0</v>
      </c>
      <c r="F79" s="5">
        <f>F78+E79</f>
        <v/>
      </c>
      <c r="G79" s="5" t="n">
        <v>6213125.79</v>
      </c>
      <c r="H79" s="5">
        <f>I78*Assumptions!$B$66/12</f>
        <v/>
      </c>
      <c r="I79" s="5">
        <f>I78+G79+H79</f>
        <v/>
      </c>
      <c r="J79" t="n">
        <v>0</v>
      </c>
      <c r="K79" s="5">
        <f>J79*Assumptions!$B$47*(1+Assumptions!$B$49)^((A79-32)/12)</f>
        <v/>
      </c>
      <c r="L79" s="5">
        <f>J79*Assumptions!$B$48*0.5*(1+Assumptions!$B$49)^((A79-32)/12)</f>
        <v/>
      </c>
      <c r="M79" s="5">
        <f>J79*Assumptions!$B$45/12*(1+Assumptions!$B$49)^((A79-32)/12)</f>
        <v/>
      </c>
      <c r="N79" s="5">
        <f>K79+L79-M79</f>
        <v/>
      </c>
      <c r="O79" s="5" t="n">
        <v>0</v>
      </c>
      <c r="P79" s="5">
        <f>N79+O79-C79</f>
        <v/>
      </c>
    </row>
    <row r="80">
      <c r="A80" t="n">
        <v>72</v>
      </c>
      <c r="B80" t="inlineStr">
        <is>
          <t>2029-11</t>
        </is>
      </c>
      <c r="C80" s="5" t="n">
        <v>10578403.89</v>
      </c>
      <c r="D80" s="5">
        <f>D79+C80</f>
        <v/>
      </c>
      <c r="E80" s="5" t="n">
        <v>0</v>
      </c>
      <c r="F80" s="5">
        <f>F79+E80</f>
        <v/>
      </c>
      <c r="G80" s="5" t="n">
        <v>0</v>
      </c>
      <c r="H80" s="5">
        <f>I79*Assumptions!$B$66/12</f>
        <v/>
      </c>
      <c r="I80" s="5">
        <f>I79+G80+H80</f>
        <v/>
      </c>
      <c r="J80" t="n">
        <v>0</v>
      </c>
      <c r="K80" s="5">
        <f>J80*Assumptions!$B$47*(1+Assumptions!$B$49)^((A80-32)/12)</f>
        <v/>
      </c>
      <c r="L80" s="5">
        <f>J80*Assumptions!$B$48*0.5*(1+Assumptions!$B$49)^((A80-32)/12)</f>
        <v/>
      </c>
      <c r="M80" s="5">
        <f>J80*Assumptions!$B$45/12*(1+Assumptions!$B$49)^((A80-32)/12)</f>
        <v/>
      </c>
      <c r="N80" s="5">
        <f>K80+L80-M80</f>
        <v/>
      </c>
      <c r="O80" s="5" t="n">
        <v>0</v>
      </c>
      <c r="P80" s="5">
        <f>N80+O80-C80</f>
        <v/>
      </c>
    </row>
    <row r="81">
      <c r="A81" t="n">
        <v>73</v>
      </c>
      <c r="B81" t="inlineStr">
        <is>
          <t>2029-12</t>
        </is>
      </c>
      <c r="C81" s="5" t="n">
        <v>9319070.1</v>
      </c>
      <c r="D81" s="5">
        <f>D80+C81</f>
        <v/>
      </c>
      <c r="E81" s="5" t="n">
        <v>0</v>
      </c>
      <c r="F81" s="5">
        <f>F80+E81</f>
        <v/>
      </c>
      <c r="G81" s="5" t="n">
        <v>0</v>
      </c>
      <c r="H81" s="5">
        <f>I80*Assumptions!$B$66/12</f>
        <v/>
      </c>
      <c r="I81" s="5">
        <f>I80+G81+H81</f>
        <v/>
      </c>
      <c r="J81" t="n">
        <v>0</v>
      </c>
      <c r="K81" s="5">
        <f>J81*Assumptions!$B$47*(1+Assumptions!$B$49)^((A81-32)/12)</f>
        <v/>
      </c>
      <c r="L81" s="5">
        <f>J81*Assumptions!$B$48*0.5*(1+Assumptions!$B$49)^((A81-32)/12)</f>
        <v/>
      </c>
      <c r="M81" s="5">
        <f>J81*Assumptions!$B$45/12*(1+Assumptions!$B$49)^((A81-32)/12)</f>
        <v/>
      </c>
      <c r="N81" s="5">
        <f>K81+L81-M81</f>
        <v/>
      </c>
      <c r="O81" s="5" t="n">
        <v>0</v>
      </c>
      <c r="P81" s="5">
        <f>N81+O81-C81</f>
        <v/>
      </c>
    </row>
    <row r="82">
      <c r="A82" t="n">
        <v>74</v>
      </c>
      <c r="B82" t="inlineStr">
        <is>
          <t>2030-01</t>
        </is>
      </c>
      <c r="C82" s="5" t="n">
        <v>7975780.71</v>
      </c>
      <c r="D82" s="5">
        <f>D81+C82</f>
        <v/>
      </c>
      <c r="E82" s="5" t="n">
        <v>0</v>
      </c>
      <c r="F82" s="5">
        <f>F81+E82</f>
        <v/>
      </c>
      <c r="G82" s="5" t="n">
        <v>0</v>
      </c>
      <c r="H82" s="5">
        <f>I81*Assumptions!$B$66/12</f>
        <v/>
      </c>
      <c r="I82" s="5">
        <f>I81+G82+H82</f>
        <v/>
      </c>
      <c r="J82" t="n">
        <v>0</v>
      </c>
      <c r="K82" s="5">
        <f>J82*Assumptions!$B$47*(1+Assumptions!$B$49)^((A82-32)/12)</f>
        <v/>
      </c>
      <c r="L82" s="5">
        <f>J82*Assumptions!$B$48*0.5*(1+Assumptions!$B$49)^((A82-32)/12)</f>
        <v/>
      </c>
      <c r="M82" s="5">
        <f>J82*Assumptions!$B$45/12*(1+Assumptions!$B$49)^((A82-32)/12)</f>
        <v/>
      </c>
      <c r="N82" s="5">
        <f>K82+L82-M82</f>
        <v/>
      </c>
      <c r="O82" s="5" t="n">
        <v>0</v>
      </c>
      <c r="P82" s="5">
        <f>N82+O82-C82</f>
        <v/>
      </c>
    </row>
    <row r="83">
      <c r="A83" t="n">
        <v>75</v>
      </c>
      <c r="B83" t="inlineStr">
        <is>
          <t>2030-02</t>
        </is>
      </c>
      <c r="C83" s="5" t="n">
        <v>6548535.74</v>
      </c>
      <c r="D83" s="5">
        <f>D82+C83</f>
        <v/>
      </c>
      <c r="E83" s="5" t="n">
        <v>0</v>
      </c>
      <c r="F83" s="5">
        <f>F82+E83</f>
        <v/>
      </c>
      <c r="G83" s="5" t="n">
        <v>0</v>
      </c>
      <c r="H83" s="5">
        <f>I82*Assumptions!$B$66/12</f>
        <v/>
      </c>
      <c r="I83" s="5">
        <f>I82+G83+H83</f>
        <v/>
      </c>
      <c r="J83" t="n">
        <v>0</v>
      </c>
      <c r="K83" s="5">
        <f>J83*Assumptions!$B$47*(1+Assumptions!$B$49)^((A83-32)/12)</f>
        <v/>
      </c>
      <c r="L83" s="5">
        <f>J83*Assumptions!$B$48*0.5*(1+Assumptions!$B$49)^((A83-32)/12)</f>
        <v/>
      </c>
      <c r="M83" s="5">
        <f>J83*Assumptions!$B$45/12*(1+Assumptions!$B$49)^((A83-32)/12)</f>
        <v/>
      </c>
      <c r="N83" s="5">
        <f>K83+L83-M83</f>
        <v/>
      </c>
      <c r="O83" s="5" t="n">
        <v>0</v>
      </c>
      <c r="P83" s="5">
        <f>N83+O83-C83</f>
        <v/>
      </c>
    </row>
    <row r="84">
      <c r="A84" t="n">
        <v>76</v>
      </c>
      <c r="B84" t="inlineStr">
        <is>
          <t>2030-03</t>
        </is>
      </c>
      <c r="C84" s="5" t="n">
        <v>5037335.19</v>
      </c>
      <c r="D84" s="5">
        <f>D83+C84</f>
        <v/>
      </c>
      <c r="E84" s="5" t="n">
        <v>0</v>
      </c>
      <c r="F84" s="5">
        <f>F83+E84</f>
        <v/>
      </c>
      <c r="G84" s="5" t="n">
        <v>0</v>
      </c>
      <c r="H84" s="5">
        <f>I83*Assumptions!$B$66/12</f>
        <v/>
      </c>
      <c r="I84" s="5">
        <f>I83+G84+H84</f>
        <v/>
      </c>
      <c r="J84" t="n">
        <v>0</v>
      </c>
      <c r="K84" s="5">
        <f>J84*Assumptions!$B$47*(1+Assumptions!$B$49)^((A84-32)/12)</f>
        <v/>
      </c>
      <c r="L84" s="5">
        <f>J84*Assumptions!$B$48*0.5*(1+Assumptions!$B$49)^((A84-32)/12)</f>
        <v/>
      </c>
      <c r="M84" s="5">
        <f>J84*Assumptions!$B$45/12*(1+Assumptions!$B$49)^((A84-32)/12)</f>
        <v/>
      </c>
      <c r="N84" s="5">
        <f>K84+L84-M84</f>
        <v/>
      </c>
      <c r="O84" s="5" t="n">
        <v>0</v>
      </c>
      <c r="P84" s="5">
        <f>N84+O84-C84</f>
        <v/>
      </c>
    </row>
    <row r="85">
      <c r="A85" t="n">
        <v>77</v>
      </c>
      <c r="B85" t="inlineStr">
        <is>
          <t>2030-04</t>
        </is>
      </c>
      <c r="C85" s="5" t="n">
        <v>3442179.04</v>
      </c>
      <c r="D85" s="5">
        <f>D84+C85</f>
        <v/>
      </c>
      <c r="E85" s="5" t="n">
        <v>0</v>
      </c>
      <c r="F85" s="5">
        <f>F84+E85</f>
        <v/>
      </c>
      <c r="G85" s="5" t="n">
        <v>0</v>
      </c>
      <c r="H85" s="5">
        <f>I84*Assumptions!$B$66/12</f>
        <v/>
      </c>
      <c r="I85" s="5">
        <f>I84+G85+H85</f>
        <v/>
      </c>
      <c r="J85" t="n">
        <v>0</v>
      </c>
      <c r="K85" s="5">
        <f>J85*Assumptions!$B$47*(1+Assumptions!$B$49)^((A85-32)/12)</f>
        <v/>
      </c>
      <c r="L85" s="5">
        <f>J85*Assumptions!$B$48*0.5*(1+Assumptions!$B$49)^((A85-32)/12)</f>
        <v/>
      </c>
      <c r="M85" s="5">
        <f>J85*Assumptions!$B$45/12*(1+Assumptions!$B$49)^((A85-32)/12)</f>
        <v/>
      </c>
      <c r="N85" s="5">
        <f>K85+L85-M85</f>
        <v/>
      </c>
      <c r="O85" s="5" t="n">
        <v>0</v>
      </c>
      <c r="P85" s="5">
        <f>N85+O85-C85</f>
        <v/>
      </c>
    </row>
    <row r="86">
      <c r="A86" t="n">
        <v>78</v>
      </c>
      <c r="B86" t="inlineStr">
        <is>
          <t>2030-05</t>
        </is>
      </c>
      <c r="C86" s="5" t="n">
        <v>1763067.32</v>
      </c>
      <c r="D86" s="5">
        <f>D85+C86</f>
        <v/>
      </c>
      <c r="E86" s="5" t="n">
        <v>0</v>
      </c>
      <c r="F86" s="5">
        <f>F85+E86</f>
        <v/>
      </c>
      <c r="G86" s="5" t="n">
        <v>0</v>
      </c>
      <c r="H86" s="5">
        <f>I85*Assumptions!$B$66/12</f>
        <v/>
      </c>
      <c r="I86" s="5">
        <f>I85+G86+H86</f>
        <v/>
      </c>
      <c r="J86" t="n">
        <v>0</v>
      </c>
      <c r="K86" s="5">
        <f>J86*Assumptions!$B$47*(1+Assumptions!$B$49)^((A86-32)/12)</f>
        <v/>
      </c>
      <c r="L86" s="5">
        <f>J86*Assumptions!$B$48*0.5*(1+Assumptions!$B$49)^((A86-32)/12)</f>
        <v/>
      </c>
      <c r="M86" s="5">
        <f>J86*Assumptions!$B$45/12*(1+Assumptions!$B$49)^((A86-32)/12)</f>
        <v/>
      </c>
      <c r="N86" s="5">
        <f>K86+L86-M86</f>
        <v/>
      </c>
      <c r="O86" s="5" t="n">
        <v>0</v>
      </c>
      <c r="P86" s="5">
        <f>N86+O86-C86</f>
        <v/>
      </c>
    </row>
    <row r="87">
      <c r="A87" t="n">
        <v>79</v>
      </c>
      <c r="B87" t="inlineStr">
        <is>
          <t>2030-06</t>
        </is>
      </c>
      <c r="C87" s="5" t="n">
        <v>3428954</v>
      </c>
      <c r="D87" s="5">
        <f>D86+C87</f>
        <v/>
      </c>
      <c r="E87" s="5" t="n">
        <v>0</v>
      </c>
      <c r="F87" s="5">
        <f>F86+E87</f>
        <v/>
      </c>
      <c r="G87" s="5" t="n">
        <v>0</v>
      </c>
      <c r="H87" s="5">
        <f>I86*Assumptions!$B$66/12</f>
        <v/>
      </c>
      <c r="I87" s="5">
        <f>I86+G87+H87</f>
        <v/>
      </c>
      <c r="J87" t="n">
        <v>16.4139</v>
      </c>
      <c r="K87" s="5">
        <f>J87*Assumptions!$B$47*(1+Assumptions!$B$49)^((A87-32)/12)</f>
        <v/>
      </c>
      <c r="L87" s="5">
        <f>J87*Assumptions!$B$48*0.5*(1+Assumptions!$B$49)^((A87-32)/12)</f>
        <v/>
      </c>
      <c r="M87" s="5">
        <f>J87*Assumptions!$B$45/12*(1+Assumptions!$B$49)^((A87-32)/12)</f>
        <v/>
      </c>
      <c r="N87" s="5">
        <f>K87+L87-M87</f>
        <v/>
      </c>
      <c r="O87" s="5" t="n">
        <v>5387833.29</v>
      </c>
      <c r="P87" s="5">
        <f>N87+O87-C87</f>
        <v/>
      </c>
    </row>
    <row r="88">
      <c r="A88" t="n">
        <v>80</v>
      </c>
      <c r="B88" t="inlineStr">
        <is>
          <t>2030-07</t>
        </is>
      </c>
      <c r="C88" s="5" t="n">
        <v>0</v>
      </c>
      <c r="D88" s="5">
        <f>D87+C88</f>
        <v/>
      </c>
      <c r="E88" s="5" t="n">
        <v>0</v>
      </c>
      <c r="F88" s="5">
        <f>F87+E88</f>
        <v/>
      </c>
      <c r="G88" s="5" t="n">
        <v>0</v>
      </c>
      <c r="H88" s="5">
        <f>I87*Assumptions!$B$66/12</f>
        <v/>
      </c>
      <c r="I88" s="5">
        <f>I87+G88+H88</f>
        <v/>
      </c>
      <c r="J88" t="n">
        <v>32.8278</v>
      </c>
      <c r="K88" s="5">
        <f>J88*Assumptions!$B$47*(1+Assumptions!$B$49)^((A88-32)/12)</f>
        <v/>
      </c>
      <c r="L88" s="5">
        <f>J88*Assumptions!$B$48*0.5*(1+Assumptions!$B$49)^((A88-32)/12)</f>
        <v/>
      </c>
      <c r="M88" s="5">
        <f>J88*Assumptions!$B$45/12*(1+Assumptions!$B$49)^((A88-32)/12)</f>
        <v/>
      </c>
      <c r="N88" s="5">
        <f>K88+L88-M88</f>
        <v/>
      </c>
      <c r="O88" s="5" t="n">
        <v>5387833.29</v>
      </c>
      <c r="P88" s="5">
        <f>N88+O88-C88</f>
        <v/>
      </c>
    </row>
    <row r="89">
      <c r="A89" t="n">
        <v>81</v>
      </c>
      <c r="B89" t="inlineStr">
        <is>
          <t>2030-08</t>
        </is>
      </c>
      <c r="C89" s="5" t="n">
        <v>0</v>
      </c>
      <c r="D89" s="5">
        <f>D88+C89</f>
        <v/>
      </c>
      <c r="E89" s="5" t="n">
        <v>0</v>
      </c>
      <c r="F89" s="5">
        <f>F88+E89</f>
        <v/>
      </c>
      <c r="G89" s="5" t="n">
        <v>0</v>
      </c>
      <c r="H89" s="5">
        <f>I88*Assumptions!$B$66/12</f>
        <v/>
      </c>
      <c r="I89" s="5">
        <f>I88+G89+H89</f>
        <v/>
      </c>
      <c r="J89" t="n">
        <v>49.2417</v>
      </c>
      <c r="K89" s="5">
        <f>J89*Assumptions!$B$47*(1+Assumptions!$B$49)^((A89-32)/12)</f>
        <v/>
      </c>
      <c r="L89" s="5">
        <f>J89*Assumptions!$B$48*0.5*(1+Assumptions!$B$49)^((A89-32)/12)</f>
        <v/>
      </c>
      <c r="M89" s="5">
        <f>J89*Assumptions!$B$45/12*(1+Assumptions!$B$49)^((A89-32)/12)</f>
        <v/>
      </c>
      <c r="N89" s="5">
        <f>K89+L89-M89</f>
        <v/>
      </c>
      <c r="O89" s="5" t="n">
        <v>5387833.29</v>
      </c>
      <c r="P89" s="5">
        <f>N89+O89-C89</f>
        <v/>
      </c>
    </row>
    <row r="90">
      <c r="A90" t="n">
        <v>82</v>
      </c>
      <c r="B90" t="inlineStr">
        <is>
          <t>2030-09</t>
        </is>
      </c>
      <c r="C90" s="5" t="n">
        <v>0</v>
      </c>
      <c r="D90" s="5">
        <f>D89+C90</f>
        <v/>
      </c>
      <c r="E90" s="5" t="n">
        <v>0</v>
      </c>
      <c r="F90" s="5">
        <f>F89+E90</f>
        <v/>
      </c>
      <c r="G90" s="5" t="n">
        <v>0</v>
      </c>
      <c r="H90" s="5">
        <f>I89*Assumptions!$B$66/12</f>
        <v/>
      </c>
      <c r="I90" s="5">
        <f>I89+G90+H90</f>
        <v/>
      </c>
      <c r="J90" t="n">
        <v>65.65560000000001</v>
      </c>
      <c r="K90" s="5">
        <f>J90*Assumptions!$B$47*(1+Assumptions!$B$49)^((A90-32)/12)</f>
        <v/>
      </c>
      <c r="L90" s="5">
        <f>J90*Assumptions!$B$48*0.5*(1+Assumptions!$B$49)^((A90-32)/12)</f>
        <v/>
      </c>
      <c r="M90" s="5">
        <f>J90*Assumptions!$B$45/12*(1+Assumptions!$B$49)^((A90-32)/12)</f>
        <v/>
      </c>
      <c r="N90" s="5">
        <f>K90+L90-M90</f>
        <v/>
      </c>
      <c r="O90" s="5" t="n">
        <v>5387833.29</v>
      </c>
      <c r="P90" s="5">
        <f>N90+O90-C90</f>
        <v/>
      </c>
    </row>
    <row r="91">
      <c r="A91" t="n">
        <v>83</v>
      </c>
      <c r="B91" t="inlineStr">
        <is>
          <t>2030-10</t>
        </is>
      </c>
      <c r="C91" s="5" t="n">
        <v>0</v>
      </c>
      <c r="D91" s="5">
        <f>D90+C91</f>
        <v/>
      </c>
      <c r="E91" s="5" t="n">
        <v>0</v>
      </c>
      <c r="F91" s="5">
        <f>F90+E91</f>
        <v/>
      </c>
      <c r="G91" s="5" t="n">
        <v>0</v>
      </c>
      <c r="H91" s="5">
        <f>I90*Assumptions!$B$66/12</f>
        <v/>
      </c>
      <c r="I91" s="5">
        <f>I90+G91+H91</f>
        <v/>
      </c>
      <c r="J91" t="n">
        <v>82.0694</v>
      </c>
      <c r="K91" s="5">
        <f>J91*Assumptions!$B$47*(1+Assumptions!$B$49)^((A91-32)/12)</f>
        <v/>
      </c>
      <c r="L91" s="5">
        <f>J91*Assumptions!$B$48*0.5*(1+Assumptions!$B$49)^((A91-32)/12)</f>
        <v/>
      </c>
      <c r="M91" s="5">
        <f>J91*Assumptions!$B$45/12*(1+Assumptions!$B$49)^((A91-32)/12)</f>
        <v/>
      </c>
      <c r="N91" s="5">
        <f>K91+L91-M91</f>
        <v/>
      </c>
      <c r="O91" s="5" t="n">
        <v>5387833.29</v>
      </c>
      <c r="P91" s="5">
        <f>N91+O91-C91</f>
        <v/>
      </c>
    </row>
    <row r="92">
      <c r="A92" t="n">
        <v>84</v>
      </c>
      <c r="B92" t="inlineStr">
        <is>
          <t>2030-11</t>
        </is>
      </c>
      <c r="C92" s="5" t="n">
        <v>0</v>
      </c>
      <c r="D92" s="5">
        <f>D91+C92</f>
        <v/>
      </c>
      <c r="E92" s="5" t="n">
        <v>0</v>
      </c>
      <c r="F92" s="5">
        <f>F91+E92</f>
        <v/>
      </c>
      <c r="G92" s="5" t="n">
        <v>0</v>
      </c>
      <c r="H92" s="5">
        <f>I91*Assumptions!$B$66/12</f>
        <v/>
      </c>
      <c r="I92" s="5">
        <f>I91+G92+H92</f>
        <v/>
      </c>
      <c r="J92" t="n">
        <v>98.4833</v>
      </c>
      <c r="K92" s="5">
        <f>J92*Assumptions!$B$47*(1+Assumptions!$B$49)^((A92-32)/12)</f>
        <v/>
      </c>
      <c r="L92" s="5">
        <f>J92*Assumptions!$B$48*0.5*(1+Assumptions!$B$49)^((A92-32)/12)</f>
        <v/>
      </c>
      <c r="M92" s="5">
        <f>J92*Assumptions!$B$45/12*(1+Assumptions!$B$49)^((A92-32)/12)</f>
        <v/>
      </c>
      <c r="N92" s="5">
        <f>K92+L92-M92</f>
        <v/>
      </c>
      <c r="O92" s="5" t="n">
        <v>5387833.29</v>
      </c>
      <c r="P92" s="5">
        <f>N92+O92-C92</f>
        <v/>
      </c>
    </row>
    <row r="93">
      <c r="A93" t="n">
        <v>85</v>
      </c>
      <c r="B93" t="inlineStr">
        <is>
          <t>2030-12</t>
        </is>
      </c>
      <c r="C93" s="5" t="n">
        <v>4116531</v>
      </c>
      <c r="D93" s="5">
        <f>D92+C93</f>
        <v/>
      </c>
      <c r="E93" s="5" t="n">
        <v>0</v>
      </c>
      <c r="F93" s="5">
        <f>F92+E93</f>
        <v/>
      </c>
      <c r="G93" s="5" t="n">
        <v>0</v>
      </c>
      <c r="H93" s="5">
        <f>I92*Assumptions!$B$66/12</f>
        <v/>
      </c>
      <c r="I93" s="5">
        <f>I92+G93+H93</f>
        <v/>
      </c>
      <c r="J93" t="n">
        <v>139.2278</v>
      </c>
      <c r="K93" s="5">
        <f>J93*Assumptions!$B$47*(1+Assumptions!$B$49)^((A93-32)/12)</f>
        <v/>
      </c>
      <c r="L93" s="5">
        <f>J93*Assumptions!$B$48*0.5*(1+Assumptions!$B$49)^((A93-32)/12)</f>
        <v/>
      </c>
      <c r="M93" s="5">
        <f>J93*Assumptions!$B$45/12*(1+Assumptions!$B$49)^((A93-32)/12)</f>
        <v/>
      </c>
      <c r="N93" s="5">
        <f>K93+L93-M93</f>
        <v/>
      </c>
      <c r="O93" s="5" t="n">
        <v>5387833.29</v>
      </c>
      <c r="P93" s="5">
        <f>N93+O93-C93</f>
        <v/>
      </c>
    </row>
    <row r="94">
      <c r="A94" t="n">
        <v>86</v>
      </c>
      <c r="B94" t="inlineStr">
        <is>
          <t>2031-01</t>
        </is>
      </c>
      <c r="C94" s="5" t="n">
        <v>0</v>
      </c>
      <c r="D94" s="5">
        <f>D93+C94</f>
        <v/>
      </c>
      <c r="E94" s="5" t="n">
        <v>0</v>
      </c>
      <c r="F94" s="5">
        <f>F93+E94</f>
        <v/>
      </c>
      <c r="G94" s="5" t="n">
        <v>0</v>
      </c>
      <c r="H94" s="5">
        <f>I93*Assumptions!$B$66/12</f>
        <v/>
      </c>
      <c r="I94" s="5">
        <f>I93+G94+H94</f>
        <v/>
      </c>
      <c r="J94" t="n">
        <v>179.9722</v>
      </c>
      <c r="K94" s="5">
        <f>J94*Assumptions!$B$47*(1+Assumptions!$B$49)^((A94-32)/12)</f>
        <v/>
      </c>
      <c r="L94" s="5">
        <f>J94*Assumptions!$B$48*0.5*(1+Assumptions!$B$49)^((A94-32)/12)</f>
        <v/>
      </c>
      <c r="M94" s="5">
        <f>J94*Assumptions!$B$45/12*(1+Assumptions!$B$49)^((A94-32)/12)</f>
        <v/>
      </c>
      <c r="N94" s="5">
        <f>K94+L94-M94</f>
        <v/>
      </c>
      <c r="O94" s="5" t="n">
        <v>5387833.29</v>
      </c>
      <c r="P94" s="5">
        <f>N94+O94-C94</f>
        <v/>
      </c>
    </row>
    <row r="95">
      <c r="A95" t="n">
        <v>87</v>
      </c>
      <c r="B95" t="inlineStr">
        <is>
          <t>2031-02</t>
        </is>
      </c>
      <c r="C95" s="5" t="n">
        <v>0</v>
      </c>
      <c r="D95" s="5">
        <f>D94+C95</f>
        <v/>
      </c>
      <c r="E95" s="5" t="n">
        <v>0</v>
      </c>
      <c r="F95" s="5">
        <f>F94+E95</f>
        <v/>
      </c>
      <c r="G95" s="5" t="n">
        <v>0</v>
      </c>
      <c r="H95" s="5">
        <f>I94*Assumptions!$B$66/12</f>
        <v/>
      </c>
      <c r="I95" s="5">
        <f>I94+G95+H95</f>
        <v/>
      </c>
      <c r="J95" t="n">
        <v>220.7167</v>
      </c>
      <c r="K95" s="5">
        <f>J95*Assumptions!$B$47*(1+Assumptions!$B$49)^((A95-32)/12)</f>
        <v/>
      </c>
      <c r="L95" s="5">
        <f>J95*Assumptions!$B$48*0.5*(1+Assumptions!$B$49)^((A95-32)/12)</f>
        <v/>
      </c>
      <c r="M95" s="5">
        <f>J95*Assumptions!$B$45/12*(1+Assumptions!$B$49)^((A95-32)/12)</f>
        <v/>
      </c>
      <c r="N95" s="5">
        <f>K95+L95-M95</f>
        <v/>
      </c>
      <c r="O95" s="5" t="n">
        <v>5387833.29</v>
      </c>
      <c r="P95" s="5">
        <f>N95+O95-C95</f>
        <v/>
      </c>
    </row>
    <row r="96">
      <c r="A96" t="n">
        <v>88</v>
      </c>
      <c r="B96" t="inlineStr">
        <is>
          <t>2031-03</t>
        </is>
      </c>
      <c r="C96" s="5" t="n">
        <v>0</v>
      </c>
      <c r="D96" s="5">
        <f>D95+C96</f>
        <v/>
      </c>
      <c r="E96" s="5" t="n">
        <v>0</v>
      </c>
      <c r="F96" s="5">
        <f>F95+E96</f>
        <v/>
      </c>
      <c r="G96" s="5" t="n">
        <v>0</v>
      </c>
      <c r="H96" s="5">
        <f>I95*Assumptions!$B$66/12</f>
        <v/>
      </c>
      <c r="I96" s="5">
        <f>I95+G96+H96</f>
        <v/>
      </c>
      <c r="J96" t="n">
        <v>261.4611</v>
      </c>
      <c r="K96" s="5">
        <f>J96*Assumptions!$B$47*(1+Assumptions!$B$49)^((A96-32)/12)</f>
        <v/>
      </c>
      <c r="L96" s="5">
        <f>J96*Assumptions!$B$48*0.5*(1+Assumptions!$B$49)^((A96-32)/12)</f>
        <v/>
      </c>
      <c r="M96" s="5">
        <f>J96*Assumptions!$B$45/12*(1+Assumptions!$B$49)^((A96-32)/12)</f>
        <v/>
      </c>
      <c r="N96" s="5">
        <f>K96+L96-M96</f>
        <v/>
      </c>
      <c r="O96" s="5" t="n">
        <v>5387833.29</v>
      </c>
      <c r="P96" s="5">
        <f>N96+O96-C96</f>
        <v/>
      </c>
    </row>
    <row r="97">
      <c r="A97" t="n">
        <v>89</v>
      </c>
      <c r="B97" t="inlineStr">
        <is>
          <t>2031-04</t>
        </is>
      </c>
      <c r="C97" s="5" t="n">
        <v>0</v>
      </c>
      <c r="D97" s="5">
        <f>D96+C97</f>
        <v/>
      </c>
      <c r="E97" s="5" t="n">
        <v>0</v>
      </c>
      <c r="F97" s="5">
        <f>F96+E97</f>
        <v/>
      </c>
      <c r="G97" s="5" t="n">
        <v>0</v>
      </c>
      <c r="H97" s="5">
        <f>I96*Assumptions!$B$66/12</f>
        <v/>
      </c>
      <c r="I97" s="5">
        <f>I96+G97+H97</f>
        <v/>
      </c>
      <c r="J97" t="n">
        <v>302.2056</v>
      </c>
      <c r="K97" s="5">
        <f>J97*Assumptions!$B$47*(1+Assumptions!$B$49)^((A97-32)/12)</f>
        <v/>
      </c>
      <c r="L97" s="5">
        <f>J97*Assumptions!$B$48*0.5*(1+Assumptions!$B$49)^((A97-32)/12)</f>
        <v/>
      </c>
      <c r="M97" s="5">
        <f>J97*Assumptions!$B$45/12*(1+Assumptions!$B$49)^((A97-32)/12)</f>
        <v/>
      </c>
      <c r="N97" s="5">
        <f>K97+L97-M97</f>
        <v/>
      </c>
      <c r="O97" s="5" t="n">
        <v>5387833.29</v>
      </c>
      <c r="P97" s="5">
        <f>N97+O97-C97</f>
        <v/>
      </c>
    </row>
    <row r="98">
      <c r="A98" t="n">
        <v>90</v>
      </c>
      <c r="B98" t="inlineStr">
        <is>
          <t>2031-05</t>
        </is>
      </c>
      <c r="C98" s="5" t="n">
        <v>0</v>
      </c>
      <c r="D98" s="5">
        <f>D97+C98</f>
        <v/>
      </c>
      <c r="E98" s="5" t="n">
        <v>0</v>
      </c>
      <c r="F98" s="5">
        <f>F97+E98</f>
        <v/>
      </c>
      <c r="G98" s="5" t="n">
        <v>0</v>
      </c>
      <c r="H98" s="5">
        <f>I97*Assumptions!$B$66/12</f>
        <v/>
      </c>
      <c r="I98" s="5">
        <f>I97+G98+H98</f>
        <v/>
      </c>
      <c r="J98" t="n">
        <v>342.95</v>
      </c>
      <c r="K98" s="5">
        <f>J98*Assumptions!$B$47*(1+Assumptions!$B$49)^((A98-32)/12)</f>
        <v/>
      </c>
      <c r="L98" s="5">
        <f>J98*Assumptions!$B$48*0.5*(1+Assumptions!$B$49)^((A98-32)/12)</f>
        <v/>
      </c>
      <c r="M98" s="5">
        <f>J98*Assumptions!$B$45/12*(1+Assumptions!$B$49)^((A98-32)/12)</f>
        <v/>
      </c>
      <c r="N98" s="5">
        <f>K98+L98-M98</f>
        <v/>
      </c>
      <c r="O98" s="5" t="n">
        <v>5387833.29</v>
      </c>
      <c r="P98" s="5">
        <f>N98+O98-C98</f>
        <v/>
      </c>
    </row>
    <row r="99">
      <c r="A99" t="n">
        <v>91</v>
      </c>
      <c r="B99" t="inlineStr">
        <is>
          <t>2031-06</t>
        </is>
      </c>
      <c r="C99" s="5" t="n">
        <v>0</v>
      </c>
      <c r="D99" s="5">
        <f>D98+C99</f>
        <v/>
      </c>
      <c r="E99" s="5" t="n">
        <v>0</v>
      </c>
      <c r="F99" s="5">
        <f>F98+E99</f>
        <v/>
      </c>
      <c r="G99" s="5" t="n">
        <v>0</v>
      </c>
      <c r="H99" s="5">
        <f>I98*Assumptions!$B$66/12</f>
        <v/>
      </c>
      <c r="I99" s="5">
        <f>I98+G99+H99</f>
        <v/>
      </c>
      <c r="J99" t="n">
        <v>383.6944</v>
      </c>
      <c r="K99" s="5">
        <f>J99*Assumptions!$B$47*(1+Assumptions!$B$49)^((A99-32)/12)</f>
        <v/>
      </c>
      <c r="L99" s="5">
        <f>J99*Assumptions!$B$48*0.5*(1+Assumptions!$B$49)^((A99-32)/12)</f>
        <v/>
      </c>
      <c r="M99" s="5">
        <f>J99*Assumptions!$B$45/12*(1+Assumptions!$B$49)^((A99-32)/12)</f>
        <v/>
      </c>
      <c r="N99" s="5">
        <f>K99+L99-M99</f>
        <v/>
      </c>
      <c r="O99" s="5" t="n">
        <v>5387833.29</v>
      </c>
      <c r="P99" s="5">
        <f>N99+O99-C99</f>
        <v/>
      </c>
    </row>
    <row r="100">
      <c r="A100" t="n">
        <v>92</v>
      </c>
      <c r="B100" t="inlineStr">
        <is>
          <t>2031-07</t>
        </is>
      </c>
      <c r="C100" s="5" t="n">
        <v>0</v>
      </c>
      <c r="D100" s="5">
        <f>D99+C100</f>
        <v/>
      </c>
      <c r="E100" s="5" t="n">
        <v>0</v>
      </c>
      <c r="F100" s="5">
        <f>F99+E100</f>
        <v/>
      </c>
      <c r="G100" s="5" t="n">
        <v>0</v>
      </c>
      <c r="H100" s="5">
        <f>I99*Assumptions!$B$66/12</f>
        <v/>
      </c>
      <c r="I100" s="5">
        <f>I99+G100+H100</f>
        <v/>
      </c>
      <c r="J100" t="n">
        <v>424.4389</v>
      </c>
      <c r="K100" s="5">
        <f>J100*Assumptions!$B$47*(1+Assumptions!$B$49)^((A100-32)/12)</f>
        <v/>
      </c>
      <c r="L100" s="5">
        <f>J100*Assumptions!$B$48*0.5*(1+Assumptions!$B$49)^((A100-32)/12)</f>
        <v/>
      </c>
      <c r="M100" s="5">
        <f>J100*Assumptions!$B$45/12*(1+Assumptions!$B$49)^((A100-32)/12)</f>
        <v/>
      </c>
      <c r="N100" s="5">
        <f>K100+L100-M100</f>
        <v/>
      </c>
      <c r="O100" s="5" t="n">
        <v>5387833.29</v>
      </c>
      <c r="P100" s="5">
        <f>N100+O100-C100</f>
        <v/>
      </c>
    </row>
    <row r="101">
      <c r="A101" t="n">
        <v>93</v>
      </c>
      <c r="B101" t="inlineStr">
        <is>
          <t>2031-08</t>
        </is>
      </c>
      <c r="C101" s="5" t="n">
        <v>0</v>
      </c>
      <c r="D101" s="5">
        <f>D100+C101</f>
        <v/>
      </c>
      <c r="E101" s="5" t="n">
        <v>0</v>
      </c>
      <c r="F101" s="5">
        <f>F100+E101</f>
        <v/>
      </c>
      <c r="G101" s="5" t="n">
        <v>0</v>
      </c>
      <c r="H101" s="5">
        <f>I100*Assumptions!$B$66/12</f>
        <v/>
      </c>
      <c r="I101" s="5">
        <f>I100+G101+H101</f>
        <v/>
      </c>
      <c r="J101" t="n">
        <v>465.1833</v>
      </c>
      <c r="K101" s="5">
        <f>J101*Assumptions!$B$47*(1+Assumptions!$B$49)^((A101-32)/12)</f>
        <v/>
      </c>
      <c r="L101" s="5">
        <f>J101*Assumptions!$B$48*0.5*(1+Assumptions!$B$49)^((A101-32)/12)</f>
        <v/>
      </c>
      <c r="M101" s="5">
        <f>J101*Assumptions!$B$45/12*(1+Assumptions!$B$49)^((A101-32)/12)</f>
        <v/>
      </c>
      <c r="N101" s="5">
        <f>K101+L101-M101</f>
        <v/>
      </c>
      <c r="O101" s="5" t="n">
        <v>5387833.29</v>
      </c>
      <c r="P101" s="5">
        <f>N101+O101-C101</f>
        <v/>
      </c>
    </row>
    <row r="102">
      <c r="A102" t="n">
        <v>94</v>
      </c>
      <c r="B102" t="inlineStr">
        <is>
          <t>2031-09</t>
        </is>
      </c>
      <c r="C102" s="5" t="n">
        <v>0</v>
      </c>
      <c r="D102" s="5">
        <f>D101+C102</f>
        <v/>
      </c>
      <c r="E102" s="5" t="n">
        <v>0</v>
      </c>
      <c r="F102" s="5">
        <f>F101+E102</f>
        <v/>
      </c>
      <c r="G102" s="5" t="n">
        <v>0</v>
      </c>
      <c r="H102" s="5">
        <f>I101*Assumptions!$B$66/12</f>
        <v/>
      </c>
      <c r="I102" s="5">
        <f>I101+G102+H102</f>
        <v/>
      </c>
      <c r="J102" t="n">
        <v>505.9278</v>
      </c>
      <c r="K102" s="5">
        <f>J102*Assumptions!$B$47*(1+Assumptions!$B$49)^((A102-32)/12)</f>
        <v/>
      </c>
      <c r="L102" s="5">
        <f>J102*Assumptions!$B$48*0.5*(1+Assumptions!$B$49)^((A102-32)/12)</f>
        <v/>
      </c>
      <c r="M102" s="5">
        <f>J102*Assumptions!$B$45/12*(1+Assumptions!$B$49)^((A102-32)/12)</f>
        <v/>
      </c>
      <c r="N102" s="5">
        <f>K102+L102-M102</f>
        <v/>
      </c>
      <c r="O102" s="5" t="n">
        <v>5387833.29</v>
      </c>
      <c r="P102" s="5">
        <f>N102+O102-C102</f>
        <v/>
      </c>
    </row>
    <row r="103">
      <c r="A103" t="n">
        <v>95</v>
      </c>
      <c r="B103" t="inlineStr">
        <is>
          <t>2031-10</t>
        </is>
      </c>
      <c r="C103" s="5" t="n">
        <v>0</v>
      </c>
      <c r="D103" s="5">
        <f>D102+C103</f>
        <v/>
      </c>
      <c r="E103" s="5" t="n">
        <v>0</v>
      </c>
      <c r="F103" s="5">
        <f>F102+E103</f>
        <v/>
      </c>
      <c r="G103" s="5" t="n">
        <v>0</v>
      </c>
      <c r="H103" s="5">
        <f>I102*Assumptions!$B$66/12</f>
        <v/>
      </c>
      <c r="I103" s="5">
        <f>I102+G103+H103</f>
        <v/>
      </c>
      <c r="J103" t="n">
        <v>546.6722</v>
      </c>
      <c r="K103" s="5">
        <f>J103*Assumptions!$B$47*(1+Assumptions!$B$49)^((A103-32)/12)</f>
        <v/>
      </c>
      <c r="L103" s="5">
        <f>J103*Assumptions!$B$48*0.5*(1+Assumptions!$B$49)^((A103-32)/12)</f>
        <v/>
      </c>
      <c r="M103" s="5">
        <f>J103*Assumptions!$B$45/12*(1+Assumptions!$B$49)^((A103-32)/12)</f>
        <v/>
      </c>
      <c r="N103" s="5">
        <f>K103+L103-M103</f>
        <v/>
      </c>
      <c r="O103" s="5" t="n">
        <v>5387833.29</v>
      </c>
      <c r="P103" s="5">
        <f>N103+O103-C103</f>
        <v/>
      </c>
    </row>
    <row r="104">
      <c r="A104" t="n">
        <v>96</v>
      </c>
      <c r="B104" t="inlineStr">
        <is>
          <t>2031-11</t>
        </is>
      </c>
      <c r="C104" s="5" t="n">
        <v>0</v>
      </c>
      <c r="D104" s="5">
        <f>D103+C104</f>
        <v/>
      </c>
      <c r="E104" s="5" t="n">
        <v>0</v>
      </c>
      <c r="F104" s="5">
        <f>F103+E104</f>
        <v/>
      </c>
      <c r="G104" s="5" t="n">
        <v>0</v>
      </c>
      <c r="H104" s="5">
        <f>I103*Assumptions!$B$66/12</f>
        <v/>
      </c>
      <c r="I104" s="5">
        <f>I103+G104+H104</f>
        <v/>
      </c>
      <c r="J104" t="n">
        <v>587.4167</v>
      </c>
      <c r="K104" s="5">
        <f>J104*Assumptions!$B$47*(1+Assumptions!$B$49)^((A104-32)/12)</f>
        <v/>
      </c>
      <c r="L104" s="5">
        <f>J104*Assumptions!$B$48*0.5*(1+Assumptions!$B$49)^((A104-32)/12)</f>
        <v/>
      </c>
      <c r="M104" s="5">
        <f>J104*Assumptions!$B$45/12*(1+Assumptions!$B$49)^((A104-32)/12)</f>
        <v/>
      </c>
      <c r="N104" s="5">
        <f>K104+L104-M104</f>
        <v/>
      </c>
      <c r="O104" s="5" t="n">
        <v>5387833.29</v>
      </c>
      <c r="P104" s="5">
        <f>N104+O104-C104</f>
        <v/>
      </c>
    </row>
    <row r="105">
      <c r="A105" t="n">
        <v>97</v>
      </c>
      <c r="B105" t="inlineStr">
        <is>
          <t>2031-12</t>
        </is>
      </c>
      <c r="C105" s="5" t="n">
        <v>0</v>
      </c>
      <c r="D105" s="5">
        <f>D104+C105</f>
        <v/>
      </c>
      <c r="E105" s="5" t="n">
        <v>0</v>
      </c>
      <c r="F105" s="5">
        <f>F104+E105</f>
        <v/>
      </c>
      <c r="G105" s="5" t="n">
        <v>0</v>
      </c>
      <c r="H105" s="5">
        <f>I104*Assumptions!$B$66/12</f>
        <v/>
      </c>
      <c r="I105" s="5">
        <f>I104+G105+H105</f>
        <v/>
      </c>
      <c r="J105" t="n">
        <v>611.7472</v>
      </c>
      <c r="K105" s="5">
        <f>J105*Assumptions!$B$47*(1+Assumptions!$B$49)^((A105-32)/12)</f>
        <v/>
      </c>
      <c r="L105" s="5">
        <f>J105*Assumptions!$B$48*0.5*(1+Assumptions!$B$49)^((A105-32)/12)</f>
        <v/>
      </c>
      <c r="M105" s="5">
        <f>J105*Assumptions!$B$45/12*(1+Assumptions!$B$49)^((A105-32)/12)</f>
        <v/>
      </c>
      <c r="N105" s="5">
        <f>K105+L105-M105</f>
        <v/>
      </c>
      <c r="O105" s="5" t="n">
        <v>5387833.29</v>
      </c>
      <c r="P105" s="5">
        <f>N105+O105-C105</f>
        <v/>
      </c>
    </row>
    <row r="106">
      <c r="A106" t="n">
        <v>98</v>
      </c>
      <c r="B106" t="inlineStr">
        <is>
          <t>2032-01</t>
        </is>
      </c>
      <c r="C106" s="5" t="n">
        <v>0</v>
      </c>
      <c r="D106" s="5">
        <f>D105+C106</f>
        <v/>
      </c>
      <c r="E106" s="5" t="n">
        <v>0</v>
      </c>
      <c r="F106" s="5">
        <f>F105+E106</f>
        <v/>
      </c>
      <c r="G106" s="5" t="n">
        <v>0</v>
      </c>
      <c r="H106" s="5">
        <f>I105*Assumptions!$B$66/12</f>
        <v/>
      </c>
      <c r="I106" s="5">
        <f>I105+G106+H106</f>
        <v/>
      </c>
      <c r="J106" t="n">
        <v>636.0778</v>
      </c>
      <c r="K106" s="5">
        <f>J106*Assumptions!$B$47*(1+Assumptions!$B$49)^((A106-32)/12)</f>
        <v/>
      </c>
      <c r="L106" s="5">
        <f>J106*Assumptions!$B$48*0.5*(1+Assumptions!$B$49)^((A106-32)/12)</f>
        <v/>
      </c>
      <c r="M106" s="5">
        <f>J106*Assumptions!$B$45/12*(1+Assumptions!$B$49)^((A106-32)/12)</f>
        <v/>
      </c>
      <c r="N106" s="5">
        <f>K106+L106-M106</f>
        <v/>
      </c>
      <c r="O106" s="5" t="n">
        <v>5387833.29</v>
      </c>
      <c r="P106" s="5">
        <f>N106+O106-C106</f>
        <v/>
      </c>
    </row>
    <row r="107">
      <c r="A107" t="n">
        <v>99</v>
      </c>
      <c r="B107" t="inlineStr">
        <is>
          <t>2032-02</t>
        </is>
      </c>
      <c r="C107" s="5" t="n">
        <v>0</v>
      </c>
      <c r="D107" s="5">
        <f>D106+C107</f>
        <v/>
      </c>
      <c r="E107" s="5" t="n">
        <v>0</v>
      </c>
      <c r="F107" s="5">
        <f>F106+E107</f>
        <v/>
      </c>
      <c r="G107" s="5" t="n">
        <v>0</v>
      </c>
      <c r="H107" s="5">
        <f>I106*Assumptions!$B$66/12</f>
        <v/>
      </c>
      <c r="I107" s="5">
        <f>I106+G107+H107</f>
        <v/>
      </c>
      <c r="J107" t="n">
        <v>660.4083000000001</v>
      </c>
      <c r="K107" s="5">
        <f>J107*Assumptions!$B$47*(1+Assumptions!$B$49)^((A107-32)/12)</f>
        <v/>
      </c>
      <c r="L107" s="5">
        <f>J107*Assumptions!$B$48*0.5*(1+Assumptions!$B$49)^((A107-32)/12)</f>
        <v/>
      </c>
      <c r="M107" s="5">
        <f>J107*Assumptions!$B$45/12*(1+Assumptions!$B$49)^((A107-32)/12)</f>
        <v/>
      </c>
      <c r="N107" s="5">
        <f>K107+L107-M107</f>
        <v/>
      </c>
      <c r="O107" s="5" t="n">
        <v>5387833.29</v>
      </c>
      <c r="P107" s="5">
        <f>N107+O107-C107</f>
        <v/>
      </c>
    </row>
    <row r="108">
      <c r="A108" t="n">
        <v>100</v>
      </c>
      <c r="B108" t="inlineStr">
        <is>
          <t>2032-03</t>
        </is>
      </c>
      <c r="C108" s="5" t="n">
        <v>0</v>
      </c>
      <c r="D108" s="5">
        <f>D107+C108</f>
        <v/>
      </c>
      <c r="E108" s="5" t="n">
        <v>0</v>
      </c>
      <c r="F108" s="5">
        <f>F107+E108</f>
        <v/>
      </c>
      <c r="G108" s="5" t="n">
        <v>0</v>
      </c>
      <c r="H108" s="5">
        <f>I107*Assumptions!$B$66/12</f>
        <v/>
      </c>
      <c r="I108" s="5">
        <f>I107+G108+H108</f>
        <v/>
      </c>
      <c r="J108" t="n">
        <v>684.7388999999999</v>
      </c>
      <c r="K108" s="5">
        <f>J108*Assumptions!$B$47*(1+Assumptions!$B$49)^((A108-32)/12)</f>
        <v/>
      </c>
      <c r="L108" s="5">
        <f>J108*Assumptions!$B$48*0.5*(1+Assumptions!$B$49)^((A108-32)/12)</f>
        <v/>
      </c>
      <c r="M108" s="5">
        <f>J108*Assumptions!$B$45/12*(1+Assumptions!$B$49)^((A108-32)/12)</f>
        <v/>
      </c>
      <c r="N108" s="5">
        <f>K108+L108-M108</f>
        <v/>
      </c>
      <c r="O108" s="5" t="n">
        <v>5387833.29</v>
      </c>
      <c r="P108" s="5">
        <f>N108+O108-C108</f>
        <v/>
      </c>
    </row>
    <row r="109">
      <c r="A109" t="n">
        <v>101</v>
      </c>
      <c r="B109" t="inlineStr">
        <is>
          <t>2032-04</t>
        </is>
      </c>
      <c r="C109" s="5" t="n">
        <v>0</v>
      </c>
      <c r="D109" s="5">
        <f>D108+C109</f>
        <v/>
      </c>
      <c r="E109" s="5" t="n">
        <v>0</v>
      </c>
      <c r="F109" s="5">
        <f>F108+E109</f>
        <v/>
      </c>
      <c r="G109" s="5" t="n">
        <v>0</v>
      </c>
      <c r="H109" s="5">
        <f>I108*Assumptions!$B$66/12</f>
        <v/>
      </c>
      <c r="I109" s="5">
        <f>I108+G109+H109</f>
        <v/>
      </c>
      <c r="J109" t="n">
        <v>709.0694</v>
      </c>
      <c r="K109" s="5">
        <f>J109*Assumptions!$B$47*(1+Assumptions!$B$49)^((A109-32)/12)</f>
        <v/>
      </c>
      <c r="L109" s="5">
        <f>J109*Assumptions!$B$48*0.5*(1+Assumptions!$B$49)^((A109-32)/12)</f>
        <v/>
      </c>
      <c r="M109" s="5">
        <f>J109*Assumptions!$B$45/12*(1+Assumptions!$B$49)^((A109-32)/12)</f>
        <v/>
      </c>
      <c r="N109" s="5">
        <f>K109+L109-M109</f>
        <v/>
      </c>
      <c r="O109" s="5" t="n">
        <v>5387833.29</v>
      </c>
      <c r="P109" s="5">
        <f>N109+O109-C109</f>
        <v/>
      </c>
    </row>
    <row r="110">
      <c r="A110" t="n">
        <v>102</v>
      </c>
      <c r="B110" t="inlineStr">
        <is>
          <t>2032-05</t>
        </is>
      </c>
      <c r="C110" s="5" t="n">
        <v>0</v>
      </c>
      <c r="D110" s="5">
        <f>D109+C110</f>
        <v/>
      </c>
      <c r="E110" s="5" t="n">
        <v>0</v>
      </c>
      <c r="F110" s="5">
        <f>F109+E110</f>
        <v/>
      </c>
      <c r="G110" s="5" t="n">
        <v>0</v>
      </c>
      <c r="H110" s="5">
        <f>I109*Assumptions!$B$66/12</f>
        <v/>
      </c>
      <c r="I110" s="5">
        <f>I109+G110+H110</f>
        <v/>
      </c>
      <c r="J110" t="n">
        <v>733.4</v>
      </c>
      <c r="K110" s="5">
        <f>J110*Assumptions!$B$47*(1+Assumptions!$B$49)^((A110-32)/12)</f>
        <v/>
      </c>
      <c r="L110" s="5">
        <f>J110*Assumptions!$B$48*0.5*(1+Assumptions!$B$49)^((A110-32)/12)</f>
        <v/>
      </c>
      <c r="M110" s="5">
        <f>J110*Assumptions!$B$45/12*(1+Assumptions!$B$49)^((A110-32)/12)</f>
        <v/>
      </c>
      <c r="N110" s="5">
        <f>K110+L110-M110</f>
        <v/>
      </c>
      <c r="O110" s="5" t="n">
        <v>5387833.29</v>
      </c>
      <c r="P110" s="5">
        <f>N110+O110-C110</f>
        <v/>
      </c>
    </row>
    <row r="111">
      <c r="A111" t="n">
        <v>103</v>
      </c>
      <c r="B111" t="inlineStr">
        <is>
          <t>2032-06</t>
        </is>
      </c>
      <c r="C111" s="5" t="n">
        <v>0</v>
      </c>
      <c r="D111" s="5">
        <f>D110+C111</f>
        <v/>
      </c>
      <c r="E111" s="5" t="n">
        <v>0</v>
      </c>
      <c r="F111" s="5">
        <f>F110+E111</f>
        <v/>
      </c>
      <c r="G111" s="5" t="n">
        <v>0</v>
      </c>
      <c r="H111" s="5">
        <f>I110*Assumptions!$B$66/12</f>
        <v/>
      </c>
      <c r="I111" s="5">
        <f>I110+G111+H111</f>
        <v/>
      </c>
      <c r="J111" t="n">
        <v>733.4</v>
      </c>
      <c r="K111" s="5">
        <f>J111*Assumptions!$B$47*(1+Assumptions!$B$49)^((A111-32)/12)</f>
        <v/>
      </c>
      <c r="L111" s="5">
        <f>J111*Assumptions!$B$48*0.5*(1+Assumptions!$B$49)^((A111-32)/12)</f>
        <v/>
      </c>
      <c r="M111" s="5">
        <f>J111*Assumptions!$B$45/12*(1+Assumptions!$B$49)^((A111-32)/12)</f>
        <v/>
      </c>
      <c r="N111" s="5">
        <f>K111+L111-M111</f>
        <v/>
      </c>
      <c r="O111" s="5" t="n">
        <v>0</v>
      </c>
      <c r="P111" s="5">
        <f>N111+O111-C111</f>
        <v/>
      </c>
    </row>
    <row r="112">
      <c r="A112" t="n">
        <v>104</v>
      </c>
      <c r="B112" t="inlineStr">
        <is>
          <t>2032-07</t>
        </is>
      </c>
      <c r="C112" s="5" t="n">
        <v>0</v>
      </c>
      <c r="D112" s="5">
        <f>D111+C112</f>
        <v/>
      </c>
      <c r="E112" s="5" t="n">
        <v>0</v>
      </c>
      <c r="F112" s="5">
        <f>F111+E112</f>
        <v/>
      </c>
      <c r="G112" s="5" t="n">
        <v>0</v>
      </c>
      <c r="H112" s="5">
        <f>I111*Assumptions!$B$66/12</f>
        <v/>
      </c>
      <c r="I112" s="5">
        <f>I111+G112+H112</f>
        <v/>
      </c>
      <c r="J112" t="n">
        <v>733.4</v>
      </c>
      <c r="K112" s="5">
        <f>J112*Assumptions!$B$47*(1+Assumptions!$B$49)^((A112-32)/12)</f>
        <v/>
      </c>
      <c r="L112" s="5">
        <f>J112*Assumptions!$B$48*0.5*(1+Assumptions!$B$49)^((A112-32)/12)</f>
        <v/>
      </c>
      <c r="M112" s="5">
        <f>J112*Assumptions!$B$45/12*(1+Assumptions!$B$49)^((A112-32)/12)</f>
        <v/>
      </c>
      <c r="N112" s="5">
        <f>K112+L112-M112</f>
        <v/>
      </c>
      <c r="O112" s="5" t="n">
        <v>0</v>
      </c>
      <c r="P112" s="5">
        <f>N112+O112-C112</f>
        <v/>
      </c>
    </row>
    <row r="113">
      <c r="A113" t="n">
        <v>105</v>
      </c>
      <c r="B113" t="inlineStr">
        <is>
          <t>2032-08</t>
        </is>
      </c>
      <c r="C113" s="5" t="n">
        <v>0</v>
      </c>
      <c r="D113" s="5">
        <f>D112+C113</f>
        <v/>
      </c>
      <c r="E113" s="5" t="n">
        <v>0</v>
      </c>
      <c r="F113" s="5">
        <f>F112+E113</f>
        <v/>
      </c>
      <c r="G113" s="5" t="n">
        <v>0</v>
      </c>
      <c r="H113" s="5">
        <f>I112*Assumptions!$B$66/12</f>
        <v/>
      </c>
      <c r="I113" s="5">
        <f>I112+G113+H113</f>
        <v/>
      </c>
      <c r="J113" t="n">
        <v>733.4</v>
      </c>
      <c r="K113" s="5">
        <f>J113*Assumptions!$B$47*(1+Assumptions!$B$49)^((A113-32)/12)</f>
        <v/>
      </c>
      <c r="L113" s="5">
        <f>J113*Assumptions!$B$48*0.5*(1+Assumptions!$B$49)^((A113-32)/12)</f>
        <v/>
      </c>
      <c r="M113" s="5">
        <f>J113*Assumptions!$B$45/12*(1+Assumptions!$B$49)^((A113-32)/12)</f>
        <v/>
      </c>
      <c r="N113" s="5">
        <f>K113+L113-M113</f>
        <v/>
      </c>
      <c r="O113" s="5" t="n">
        <v>0</v>
      </c>
      <c r="P113" s="5">
        <f>N113+O113-C113</f>
        <v/>
      </c>
    </row>
    <row r="114">
      <c r="A114" t="n">
        <v>106</v>
      </c>
      <c r="B114" t="inlineStr">
        <is>
          <t>2032-09</t>
        </is>
      </c>
      <c r="C114" s="5" t="n">
        <v>0</v>
      </c>
      <c r="D114" s="5">
        <f>D113+C114</f>
        <v/>
      </c>
      <c r="E114" s="5" t="n">
        <v>0</v>
      </c>
      <c r="F114" s="5">
        <f>F113+E114</f>
        <v/>
      </c>
      <c r="G114" s="5" t="n">
        <v>0</v>
      </c>
      <c r="H114" s="5">
        <f>I113*Assumptions!$B$66/12</f>
        <v/>
      </c>
      <c r="I114" s="5">
        <f>I113+G114+H114</f>
        <v/>
      </c>
      <c r="J114" t="n">
        <v>733.4</v>
      </c>
      <c r="K114" s="5">
        <f>J114*Assumptions!$B$47*(1+Assumptions!$B$49)^((A114-32)/12)</f>
        <v/>
      </c>
      <c r="L114" s="5">
        <f>J114*Assumptions!$B$48*0.5*(1+Assumptions!$B$49)^((A114-32)/12)</f>
        <v/>
      </c>
      <c r="M114" s="5">
        <f>J114*Assumptions!$B$45/12*(1+Assumptions!$B$49)^((A114-32)/12)</f>
        <v/>
      </c>
      <c r="N114" s="5">
        <f>K114+L114-M114</f>
        <v/>
      </c>
      <c r="O114" s="5" t="n">
        <v>0</v>
      </c>
      <c r="P114" s="5">
        <f>N114+O114-C114</f>
        <v/>
      </c>
    </row>
    <row r="115">
      <c r="A115" t="n">
        <v>107</v>
      </c>
      <c r="B115" t="inlineStr">
        <is>
          <t>2032-10</t>
        </is>
      </c>
      <c r="C115" s="5" t="n">
        <v>0</v>
      </c>
      <c r="D115" s="5">
        <f>D114+C115</f>
        <v/>
      </c>
      <c r="E115" s="5" t="n">
        <v>0</v>
      </c>
      <c r="F115" s="5">
        <f>F114+E115</f>
        <v/>
      </c>
      <c r="G115" s="5" t="n">
        <v>0</v>
      </c>
      <c r="H115" s="5">
        <f>I114*Assumptions!$B$66/12</f>
        <v/>
      </c>
      <c r="I115" s="5">
        <f>I114+G115+H115</f>
        <v/>
      </c>
      <c r="J115" t="n">
        <v>733.4</v>
      </c>
      <c r="K115" s="5">
        <f>J115*Assumptions!$B$47*(1+Assumptions!$B$49)^((A115-32)/12)</f>
        <v/>
      </c>
      <c r="L115" s="5">
        <f>J115*Assumptions!$B$48*0.5*(1+Assumptions!$B$49)^((A115-32)/12)</f>
        <v/>
      </c>
      <c r="M115" s="5">
        <f>J115*Assumptions!$B$45/12*(1+Assumptions!$B$49)^((A115-32)/12)</f>
        <v/>
      </c>
      <c r="N115" s="5">
        <f>K115+L115-M115</f>
        <v/>
      </c>
      <c r="O115" s="5" t="n">
        <v>0</v>
      </c>
      <c r="P115" s="5">
        <f>N115+O115-C115</f>
        <v/>
      </c>
    </row>
    <row r="116">
      <c r="A116" t="n">
        <v>108</v>
      </c>
      <c r="B116" t="inlineStr">
        <is>
          <t>2032-11</t>
        </is>
      </c>
      <c r="C116" s="5" t="n">
        <v>0</v>
      </c>
      <c r="D116" s="5">
        <f>D115+C116</f>
        <v/>
      </c>
      <c r="E116" s="5" t="n">
        <v>0</v>
      </c>
      <c r="F116" s="5">
        <f>F115+E116</f>
        <v/>
      </c>
      <c r="G116" s="5" t="n">
        <v>0</v>
      </c>
      <c r="H116" s="5">
        <f>I115*Assumptions!$B$66/12</f>
        <v/>
      </c>
      <c r="I116" s="5">
        <f>I115+G116+H116</f>
        <v/>
      </c>
      <c r="J116" t="n">
        <v>733.4</v>
      </c>
      <c r="K116" s="5">
        <f>J116*Assumptions!$B$47*(1+Assumptions!$B$49)^((A116-32)/12)</f>
        <v/>
      </c>
      <c r="L116" s="5">
        <f>J116*Assumptions!$B$48*0.5*(1+Assumptions!$B$49)^((A116-32)/12)</f>
        <v/>
      </c>
      <c r="M116" s="5">
        <f>J116*Assumptions!$B$45/12*(1+Assumptions!$B$49)^((A116-32)/12)</f>
        <v/>
      </c>
      <c r="N116" s="5">
        <f>K116+L116-M116</f>
        <v/>
      </c>
      <c r="O116" s="5" t="n">
        <v>0</v>
      </c>
      <c r="P116" s="5">
        <f>N116+O116-C116</f>
        <v/>
      </c>
    </row>
    <row r="117">
      <c r="A117" t="n">
        <v>109</v>
      </c>
      <c r="B117" t="inlineStr">
        <is>
          <t>2032-12</t>
        </is>
      </c>
      <c r="C117" s="5" t="n">
        <v>0</v>
      </c>
      <c r="D117" s="5">
        <f>D116+C117</f>
        <v/>
      </c>
      <c r="E117" s="5" t="n">
        <v>0</v>
      </c>
      <c r="F117" s="5">
        <f>F116+E117</f>
        <v/>
      </c>
      <c r="G117" s="5" t="n">
        <v>0</v>
      </c>
      <c r="H117" s="5">
        <f>I116*Assumptions!$B$66/12</f>
        <v/>
      </c>
      <c r="I117" s="5">
        <f>I116+G117+H117</f>
        <v/>
      </c>
      <c r="J117" t="n">
        <v>733.4</v>
      </c>
      <c r="K117" s="5">
        <f>J117*Assumptions!$B$47*(1+Assumptions!$B$49)^((A117-32)/12)</f>
        <v/>
      </c>
      <c r="L117" s="5">
        <f>J117*Assumptions!$B$48*0.5*(1+Assumptions!$B$49)^((A117-32)/12)</f>
        <v/>
      </c>
      <c r="M117" s="5">
        <f>J117*Assumptions!$B$45/12*(1+Assumptions!$B$49)^((A117-32)/12)</f>
        <v/>
      </c>
      <c r="N117" s="5">
        <f>K117+L117-M117</f>
        <v/>
      </c>
      <c r="O117" s="5" t="n">
        <v>0</v>
      </c>
      <c r="P117" s="5">
        <f>N117+O117-C117</f>
        <v/>
      </c>
    </row>
    <row r="118">
      <c r="A118" t="n">
        <v>110</v>
      </c>
      <c r="B118" t="inlineStr">
        <is>
          <t>2033-01</t>
        </is>
      </c>
      <c r="C118" s="5" t="n">
        <v>0</v>
      </c>
      <c r="D118" s="5">
        <f>D117+C118</f>
        <v/>
      </c>
      <c r="E118" s="5" t="n">
        <v>0</v>
      </c>
      <c r="F118" s="5">
        <f>F117+E118</f>
        <v/>
      </c>
      <c r="G118" s="5" t="n">
        <v>0</v>
      </c>
      <c r="H118" s="5">
        <f>I117*Assumptions!$B$66/12</f>
        <v/>
      </c>
      <c r="I118" s="5">
        <f>I117+G118+H118</f>
        <v/>
      </c>
      <c r="J118" t="n">
        <v>733.4</v>
      </c>
      <c r="K118" s="5">
        <f>J118*Assumptions!$B$47*(1+Assumptions!$B$49)^((A118-32)/12)</f>
        <v/>
      </c>
      <c r="L118" s="5">
        <f>J118*Assumptions!$B$48*0.5*(1+Assumptions!$B$49)^((A118-32)/12)</f>
        <v/>
      </c>
      <c r="M118" s="5">
        <f>J118*Assumptions!$B$45/12*(1+Assumptions!$B$49)^((A118-32)/12)</f>
        <v/>
      </c>
      <c r="N118" s="5">
        <f>K118+L118-M118</f>
        <v/>
      </c>
      <c r="O118" s="5" t="n">
        <v>0</v>
      </c>
      <c r="P118" s="5">
        <f>N118+O118-C118</f>
        <v/>
      </c>
    </row>
    <row r="119">
      <c r="A119" t="n">
        <v>111</v>
      </c>
      <c r="B119" t="inlineStr">
        <is>
          <t>2033-02</t>
        </is>
      </c>
      <c r="C119" s="5" t="n">
        <v>0</v>
      </c>
      <c r="D119" s="5">
        <f>D118+C119</f>
        <v/>
      </c>
      <c r="E119" s="5" t="n">
        <v>0</v>
      </c>
      <c r="F119" s="5">
        <f>F118+E119</f>
        <v/>
      </c>
      <c r="G119" s="5" t="n">
        <v>0</v>
      </c>
      <c r="H119" s="5">
        <f>I118*Assumptions!$B$66/12</f>
        <v/>
      </c>
      <c r="I119" s="5">
        <f>I118+G119+H119</f>
        <v/>
      </c>
      <c r="J119" t="n">
        <v>733.4</v>
      </c>
      <c r="K119" s="5">
        <f>J119*Assumptions!$B$47*(1+Assumptions!$B$49)^((A119-32)/12)</f>
        <v/>
      </c>
      <c r="L119" s="5">
        <f>J119*Assumptions!$B$48*0.5*(1+Assumptions!$B$49)^((A119-32)/12)</f>
        <v/>
      </c>
      <c r="M119" s="5">
        <f>J119*Assumptions!$B$45/12*(1+Assumptions!$B$49)^((A119-32)/12)</f>
        <v/>
      </c>
      <c r="N119" s="5">
        <f>K119+L119-M119</f>
        <v/>
      </c>
      <c r="O119" s="5" t="n">
        <v>0</v>
      </c>
      <c r="P119" s="5">
        <f>N119+O119-C119</f>
        <v/>
      </c>
    </row>
    <row r="120">
      <c r="A120" t="n">
        <v>112</v>
      </c>
      <c r="B120" t="inlineStr">
        <is>
          <t>2033-03</t>
        </is>
      </c>
      <c r="C120" s="5" t="n">
        <v>0</v>
      </c>
      <c r="D120" s="5">
        <f>D119+C120</f>
        <v/>
      </c>
      <c r="E120" s="5" t="n">
        <v>0</v>
      </c>
      <c r="F120" s="5">
        <f>F119+E120</f>
        <v/>
      </c>
      <c r="G120" s="5" t="n">
        <v>0</v>
      </c>
      <c r="H120" s="5">
        <f>I119*Assumptions!$B$66/12</f>
        <v/>
      </c>
      <c r="I120" s="5">
        <f>I119+G120+H120</f>
        <v/>
      </c>
      <c r="J120" t="n">
        <v>733.4</v>
      </c>
      <c r="K120" s="5">
        <f>J120*Assumptions!$B$47*(1+Assumptions!$B$49)^((A120-32)/12)</f>
        <v/>
      </c>
      <c r="L120" s="5">
        <f>J120*Assumptions!$B$48*0.5*(1+Assumptions!$B$49)^((A120-32)/12)</f>
        <v/>
      </c>
      <c r="M120" s="5">
        <f>J120*Assumptions!$B$45/12*(1+Assumptions!$B$49)^((A120-32)/12)</f>
        <v/>
      </c>
      <c r="N120" s="5">
        <f>K120+L120-M120</f>
        <v/>
      </c>
      <c r="O120" s="5" t="n">
        <v>0</v>
      </c>
      <c r="P120" s="5">
        <f>N120+O120-C120</f>
        <v/>
      </c>
    </row>
    <row r="121">
      <c r="A121" t="n">
        <v>113</v>
      </c>
      <c r="B121" t="inlineStr">
        <is>
          <t>2033-04</t>
        </is>
      </c>
      <c r="C121" s="5" t="n">
        <v>0</v>
      </c>
      <c r="D121" s="5">
        <f>D120+C121</f>
        <v/>
      </c>
      <c r="E121" s="5" t="n">
        <v>0</v>
      </c>
      <c r="F121" s="5">
        <f>F120+E121</f>
        <v/>
      </c>
      <c r="G121" s="5" t="n">
        <v>0</v>
      </c>
      <c r="H121" s="5">
        <f>I120*Assumptions!$B$66/12</f>
        <v/>
      </c>
      <c r="I121" s="5">
        <f>I120+G121+H121</f>
        <v/>
      </c>
      <c r="J121" t="n">
        <v>733.4</v>
      </c>
      <c r="K121" s="5">
        <f>J121*Assumptions!$B$47*(1+Assumptions!$B$49)^((A121-32)/12)</f>
        <v/>
      </c>
      <c r="L121" s="5">
        <f>J121*Assumptions!$B$48*0.5*(1+Assumptions!$B$49)^((A121-32)/12)</f>
        <v/>
      </c>
      <c r="M121" s="5">
        <f>J121*Assumptions!$B$45/12*(1+Assumptions!$B$49)^((A121-32)/12)</f>
        <v/>
      </c>
      <c r="N121" s="5">
        <f>K121+L121-M121</f>
        <v/>
      </c>
      <c r="O121" s="5" t="n">
        <v>0</v>
      </c>
      <c r="P121" s="5">
        <f>N121+O121-C121</f>
        <v/>
      </c>
    </row>
    <row r="122">
      <c r="A122" t="n">
        <v>114</v>
      </c>
      <c r="B122" t="inlineStr">
        <is>
          <t>2033-05</t>
        </is>
      </c>
      <c r="C122" s="5" t="n">
        <v>0</v>
      </c>
      <c r="D122" s="5">
        <f>D121+C122</f>
        <v/>
      </c>
      <c r="E122" s="5" t="n">
        <v>0</v>
      </c>
      <c r="F122" s="5">
        <f>F121+E122</f>
        <v/>
      </c>
      <c r="G122" s="5" t="n">
        <v>0</v>
      </c>
      <c r="H122" s="5">
        <f>I121*Assumptions!$B$66/12</f>
        <v/>
      </c>
      <c r="I122" s="5">
        <f>I121+G122+H122</f>
        <v/>
      </c>
      <c r="J122" t="n">
        <v>733.4</v>
      </c>
      <c r="K122" s="5">
        <f>J122*Assumptions!$B$47*(1+Assumptions!$B$49)^((A122-32)/12)</f>
        <v/>
      </c>
      <c r="L122" s="5">
        <f>J122*Assumptions!$B$48*0.5*(1+Assumptions!$B$49)^((A122-32)/12)</f>
        <v/>
      </c>
      <c r="M122" s="5">
        <f>J122*Assumptions!$B$45/12*(1+Assumptions!$B$49)^((A122-32)/12)</f>
        <v/>
      </c>
      <c r="N122" s="5">
        <f>K122+L122-M122</f>
        <v/>
      </c>
      <c r="O122" s="5" t="n">
        <v>0</v>
      </c>
      <c r="P122" s="5">
        <f>N122+O122-C122</f>
        <v/>
      </c>
    </row>
    <row r="123">
      <c r="A123" t="n">
        <v>115</v>
      </c>
      <c r="B123" t="inlineStr">
        <is>
          <t>2033-06</t>
        </is>
      </c>
      <c r="C123" s="5" t="n">
        <v>0</v>
      </c>
      <c r="D123" s="5">
        <f>D122+C123</f>
        <v/>
      </c>
      <c r="E123" s="5" t="n">
        <v>0</v>
      </c>
      <c r="F123" s="5">
        <f>F122+E123</f>
        <v/>
      </c>
      <c r="G123" s="5" t="n">
        <v>0</v>
      </c>
      <c r="H123" s="5">
        <f>I122*Assumptions!$B$66/12</f>
        <v/>
      </c>
      <c r="I123" s="5">
        <f>I122+G123+H123</f>
        <v/>
      </c>
      <c r="J123" t="n">
        <v>733.4</v>
      </c>
      <c r="K123" s="5">
        <f>J123*Assumptions!$B$47*(1+Assumptions!$B$49)^((A123-32)/12)</f>
        <v/>
      </c>
      <c r="L123" s="5">
        <f>J123*Assumptions!$B$48*0.5*(1+Assumptions!$B$49)^((A123-32)/12)</f>
        <v/>
      </c>
      <c r="M123" s="5">
        <f>J123*Assumptions!$B$45/12*(1+Assumptions!$B$49)^((A123-32)/12)</f>
        <v/>
      </c>
      <c r="N123" s="5">
        <f>K123+L123-M123</f>
        <v/>
      </c>
      <c r="O123" s="5" t="n">
        <v>0</v>
      </c>
      <c r="P123" s="5">
        <f>N123+O123-C123</f>
        <v/>
      </c>
    </row>
    <row r="124">
      <c r="A124" t="n">
        <v>116</v>
      </c>
      <c r="B124" t="inlineStr">
        <is>
          <t>2033-07</t>
        </is>
      </c>
      <c r="C124" s="5" t="n">
        <v>0</v>
      </c>
      <c r="D124" s="5">
        <f>D123+C124</f>
        <v/>
      </c>
      <c r="E124" s="5" t="n">
        <v>0</v>
      </c>
      <c r="F124" s="5">
        <f>F123+E124</f>
        <v/>
      </c>
      <c r="G124" s="5" t="n">
        <v>0</v>
      </c>
      <c r="H124" s="5">
        <f>I123*Assumptions!$B$66/12</f>
        <v/>
      </c>
      <c r="I124" s="5">
        <f>I123+G124+H124</f>
        <v/>
      </c>
      <c r="J124" t="n">
        <v>733.4</v>
      </c>
      <c r="K124" s="5">
        <f>J124*Assumptions!$B$47*(1+Assumptions!$B$49)^((A124-32)/12)</f>
        <v/>
      </c>
      <c r="L124" s="5">
        <f>J124*Assumptions!$B$48*0.5*(1+Assumptions!$B$49)^((A124-32)/12)</f>
        <v/>
      </c>
      <c r="M124" s="5">
        <f>J124*Assumptions!$B$45/12*(1+Assumptions!$B$49)^((A124-32)/12)</f>
        <v/>
      </c>
      <c r="N124" s="5">
        <f>K124+L124-M124</f>
        <v/>
      </c>
      <c r="O124" s="5" t="n">
        <v>0</v>
      </c>
      <c r="P124" s="5">
        <f>N124+O124-C124</f>
        <v/>
      </c>
    </row>
    <row r="125">
      <c r="A125" t="n">
        <v>117</v>
      </c>
      <c r="B125" t="inlineStr">
        <is>
          <t>2033-08</t>
        </is>
      </c>
      <c r="C125" s="5" t="n">
        <v>0</v>
      </c>
      <c r="D125" s="5">
        <f>D124+C125</f>
        <v/>
      </c>
      <c r="E125" s="5" t="n">
        <v>0</v>
      </c>
      <c r="F125" s="5">
        <f>F124+E125</f>
        <v/>
      </c>
      <c r="G125" s="5" t="n">
        <v>0</v>
      </c>
      <c r="H125" s="5">
        <f>I124*Assumptions!$B$66/12</f>
        <v/>
      </c>
      <c r="I125" s="5">
        <f>I124+G125+H125</f>
        <v/>
      </c>
      <c r="J125" t="n">
        <v>733.4</v>
      </c>
      <c r="K125" s="5">
        <f>J125*Assumptions!$B$47*(1+Assumptions!$B$49)^((A125-32)/12)</f>
        <v/>
      </c>
      <c r="L125" s="5">
        <f>J125*Assumptions!$B$48*0.5*(1+Assumptions!$B$49)^((A125-32)/12)</f>
        <v/>
      </c>
      <c r="M125" s="5">
        <f>J125*Assumptions!$B$45/12*(1+Assumptions!$B$49)^((A125-32)/12)</f>
        <v/>
      </c>
      <c r="N125" s="5">
        <f>K125+L125-M125</f>
        <v/>
      </c>
      <c r="O125" s="5" t="n">
        <v>0</v>
      </c>
      <c r="P125" s="5">
        <f>N125+O125-C125</f>
        <v/>
      </c>
    </row>
    <row r="126">
      <c r="A126" t="n">
        <v>118</v>
      </c>
      <c r="B126" t="inlineStr">
        <is>
          <t>2033-09</t>
        </is>
      </c>
      <c r="C126" s="5" t="n">
        <v>0</v>
      </c>
      <c r="D126" s="5">
        <f>D125+C126</f>
        <v/>
      </c>
      <c r="E126" s="5" t="n">
        <v>0</v>
      </c>
      <c r="F126" s="5">
        <f>F125+E126</f>
        <v/>
      </c>
      <c r="G126" s="5" t="n">
        <v>0</v>
      </c>
      <c r="H126" s="5">
        <f>I125*Assumptions!$B$66/12</f>
        <v/>
      </c>
      <c r="I126" s="5">
        <f>I125+G126+H126</f>
        <v/>
      </c>
      <c r="J126" t="n">
        <v>733.4</v>
      </c>
      <c r="K126" s="5">
        <f>J126*Assumptions!$B$47*(1+Assumptions!$B$49)^((A126-32)/12)</f>
        <v/>
      </c>
      <c r="L126" s="5">
        <f>J126*Assumptions!$B$48*0.5*(1+Assumptions!$B$49)^((A126-32)/12)</f>
        <v/>
      </c>
      <c r="M126" s="5">
        <f>J126*Assumptions!$B$45/12*(1+Assumptions!$B$49)^((A126-32)/12)</f>
        <v/>
      </c>
      <c r="N126" s="5">
        <f>K126+L126-M126</f>
        <v/>
      </c>
      <c r="O126" s="5" t="n">
        <v>0</v>
      </c>
      <c r="P126" s="5">
        <f>N126+O126-C126</f>
        <v/>
      </c>
    </row>
    <row r="127">
      <c r="A127" t="n">
        <v>119</v>
      </c>
      <c r="B127" t="inlineStr">
        <is>
          <t>2033-10</t>
        </is>
      </c>
      <c r="C127" s="5" t="n">
        <v>0</v>
      </c>
      <c r="D127" s="5">
        <f>D126+C127</f>
        <v/>
      </c>
      <c r="E127" s="5" t="n">
        <v>0</v>
      </c>
      <c r="F127" s="5">
        <f>F126+E127</f>
        <v/>
      </c>
      <c r="G127" s="5" t="n">
        <v>0</v>
      </c>
      <c r="H127" s="5">
        <f>I126*Assumptions!$B$66/12</f>
        <v/>
      </c>
      <c r="I127" s="5">
        <f>I126+G127+H127</f>
        <v/>
      </c>
      <c r="J127" t="n">
        <v>733.4</v>
      </c>
      <c r="K127" s="5">
        <f>J127*Assumptions!$B$47*(1+Assumptions!$B$49)^((A127-32)/12)</f>
        <v/>
      </c>
      <c r="L127" s="5">
        <f>J127*Assumptions!$B$48*0.5*(1+Assumptions!$B$49)^((A127-32)/12)</f>
        <v/>
      </c>
      <c r="M127" s="5">
        <f>J127*Assumptions!$B$45/12*(1+Assumptions!$B$49)^((A127-32)/12)</f>
        <v/>
      </c>
      <c r="N127" s="5">
        <f>K127+L127-M127</f>
        <v/>
      </c>
      <c r="O127" s="5" t="n">
        <v>0</v>
      </c>
      <c r="P127" s="5">
        <f>N127+O127-C127</f>
        <v/>
      </c>
    </row>
    <row r="128">
      <c r="A128" t="n">
        <v>120</v>
      </c>
      <c r="B128" t="inlineStr">
        <is>
          <t>2033-11</t>
        </is>
      </c>
      <c r="C128" s="5" t="n">
        <v>0</v>
      </c>
      <c r="D128" s="5">
        <f>D127+C128</f>
        <v/>
      </c>
      <c r="E128" s="5" t="n">
        <v>0</v>
      </c>
      <c r="F128" s="5">
        <f>F127+E128</f>
        <v/>
      </c>
      <c r="G128" s="5" t="n">
        <v>0</v>
      </c>
      <c r="H128" s="5">
        <f>I127*Assumptions!$B$66/12</f>
        <v/>
      </c>
      <c r="I128" s="5">
        <f>I127+G128+H128</f>
        <v/>
      </c>
      <c r="J128" t="n">
        <v>733.4</v>
      </c>
      <c r="K128" s="5">
        <f>J128*Assumptions!$B$47*(1+Assumptions!$B$49)^((A128-32)/12)</f>
        <v/>
      </c>
      <c r="L128" s="5">
        <f>J128*Assumptions!$B$48*0.5*(1+Assumptions!$B$49)^((A128-32)/12)</f>
        <v/>
      </c>
      <c r="M128" s="5">
        <f>J128*Assumptions!$B$45/12*(1+Assumptions!$B$49)^((A128-32)/12)</f>
        <v/>
      </c>
      <c r="N128" s="5">
        <f>K128+L128-M128</f>
        <v/>
      </c>
      <c r="O128" s="5" t="n">
        <v>0</v>
      </c>
      <c r="P128" s="5">
        <f>N128+O128-C128</f>
        <v/>
      </c>
    </row>
    <row r="129">
      <c r="A129" t="n">
        <v>121</v>
      </c>
      <c r="B129" t="inlineStr">
        <is>
          <t>2033-12</t>
        </is>
      </c>
      <c r="C129" s="5" t="n">
        <v>0</v>
      </c>
      <c r="D129" s="5">
        <f>D128+C129</f>
        <v/>
      </c>
      <c r="E129" s="5" t="n">
        <v>0</v>
      </c>
      <c r="F129" s="5">
        <f>F128+E129</f>
        <v/>
      </c>
      <c r="G129" s="5" t="n">
        <v>0</v>
      </c>
      <c r="H129" s="5">
        <f>I128*Assumptions!$B$66/12</f>
        <v/>
      </c>
      <c r="I129" s="5">
        <f>I128+G129+H129</f>
        <v/>
      </c>
      <c r="J129" t="n">
        <v>733.4</v>
      </c>
      <c r="K129" s="5">
        <f>J129*Assumptions!$B$47*(1+Assumptions!$B$49)^((A129-32)/12)</f>
        <v/>
      </c>
      <c r="L129" s="5">
        <f>J129*Assumptions!$B$48*0.5*(1+Assumptions!$B$49)^((A129-32)/12)</f>
        <v/>
      </c>
      <c r="M129" s="5">
        <f>J129*Assumptions!$B$45/12*(1+Assumptions!$B$49)^((A129-32)/12)</f>
        <v/>
      </c>
      <c r="N129" s="5">
        <f>K129+L129-M129</f>
        <v/>
      </c>
      <c r="O129" s="5" t="n">
        <v>0</v>
      </c>
      <c r="P129" s="5">
        <f>N129+O129-C129</f>
        <v/>
      </c>
    </row>
    <row r="130">
      <c r="A130" t="n">
        <v>122</v>
      </c>
      <c r="B130" t="inlineStr">
        <is>
          <t>2034-01</t>
        </is>
      </c>
      <c r="C130" s="5" t="n">
        <v>0</v>
      </c>
      <c r="D130" s="5">
        <f>D129+C130</f>
        <v/>
      </c>
      <c r="E130" s="5" t="n">
        <v>0</v>
      </c>
      <c r="F130" s="5">
        <f>F129+E130</f>
        <v/>
      </c>
      <c r="G130" s="5" t="n">
        <v>0</v>
      </c>
      <c r="H130" s="5">
        <f>I129*Assumptions!$B$66/12</f>
        <v/>
      </c>
      <c r="I130" s="5">
        <f>I129+G130+H130</f>
        <v/>
      </c>
      <c r="J130" t="n">
        <v>733.4</v>
      </c>
      <c r="K130" s="5">
        <f>J130*Assumptions!$B$47*(1+Assumptions!$B$49)^((A130-32)/12)</f>
        <v/>
      </c>
      <c r="L130" s="5">
        <f>J130*Assumptions!$B$48*0.5*(1+Assumptions!$B$49)^((A130-32)/12)</f>
        <v/>
      </c>
      <c r="M130" s="5">
        <f>J130*Assumptions!$B$45/12*(1+Assumptions!$B$49)^((A130-32)/12)</f>
        <v/>
      </c>
      <c r="N130" s="5">
        <f>K130+L130-M130</f>
        <v/>
      </c>
      <c r="O130" s="5" t="n">
        <v>0</v>
      </c>
      <c r="P130" s="5">
        <f>N130+O130-C130</f>
        <v/>
      </c>
    </row>
    <row r="131">
      <c r="A131" t="n">
        <v>123</v>
      </c>
      <c r="B131" t="inlineStr">
        <is>
          <t>2034-02</t>
        </is>
      </c>
      <c r="C131" s="5" t="n">
        <v>0</v>
      </c>
      <c r="D131" s="5">
        <f>D130+C131</f>
        <v/>
      </c>
      <c r="E131" s="5" t="n">
        <v>0</v>
      </c>
      <c r="F131" s="5">
        <f>F130+E131</f>
        <v/>
      </c>
      <c r="G131" s="5" t="n">
        <v>0</v>
      </c>
      <c r="H131" s="5">
        <f>I130*Assumptions!$B$66/12</f>
        <v/>
      </c>
      <c r="I131" s="5">
        <f>I130+G131+H131</f>
        <v/>
      </c>
      <c r="J131" t="n">
        <v>733.4</v>
      </c>
      <c r="K131" s="5">
        <f>J131*Assumptions!$B$47*(1+Assumptions!$B$49)^((A131-32)/12)</f>
        <v/>
      </c>
      <c r="L131" s="5">
        <f>J131*Assumptions!$B$48*0.5*(1+Assumptions!$B$49)^((A131-32)/12)</f>
        <v/>
      </c>
      <c r="M131" s="5">
        <f>J131*Assumptions!$B$45/12*(1+Assumptions!$B$49)^((A131-32)/12)</f>
        <v/>
      </c>
      <c r="N131" s="5">
        <f>K131+L131-M131</f>
        <v/>
      </c>
      <c r="O131" s="5" t="n">
        <v>0</v>
      </c>
      <c r="P131" s="5">
        <f>N131+O131-C131</f>
        <v/>
      </c>
    </row>
    <row r="132">
      <c r="A132" t="n">
        <v>124</v>
      </c>
      <c r="B132" t="inlineStr">
        <is>
          <t>2034-03</t>
        </is>
      </c>
      <c r="C132" s="5" t="n">
        <v>0</v>
      </c>
      <c r="D132" s="5">
        <f>D131+C132</f>
        <v/>
      </c>
      <c r="E132" s="5" t="n">
        <v>0</v>
      </c>
      <c r="F132" s="5">
        <f>F131+E132</f>
        <v/>
      </c>
      <c r="G132" s="5" t="n">
        <v>0</v>
      </c>
      <c r="H132" s="5">
        <f>I131*Assumptions!$B$66/12</f>
        <v/>
      </c>
      <c r="I132" s="5">
        <f>I131+G132+H132</f>
        <v/>
      </c>
      <c r="J132" t="n">
        <v>733.4</v>
      </c>
      <c r="K132" s="5">
        <f>J132*Assumptions!$B$47*(1+Assumptions!$B$49)^((A132-32)/12)</f>
        <v/>
      </c>
      <c r="L132" s="5">
        <f>J132*Assumptions!$B$48*0.5*(1+Assumptions!$B$49)^((A132-32)/12)</f>
        <v/>
      </c>
      <c r="M132" s="5">
        <f>J132*Assumptions!$B$45/12*(1+Assumptions!$B$49)^((A132-32)/12)</f>
        <v/>
      </c>
      <c r="N132" s="5">
        <f>K132+L132-M132</f>
        <v/>
      </c>
      <c r="O132" s="5" t="n">
        <v>0</v>
      </c>
      <c r="P132" s="5">
        <f>N132+O132-C132</f>
        <v/>
      </c>
    </row>
    <row r="133">
      <c r="A133" t="n">
        <v>125</v>
      </c>
      <c r="B133" t="inlineStr">
        <is>
          <t>2034-04</t>
        </is>
      </c>
      <c r="C133" s="5" t="n">
        <v>0</v>
      </c>
      <c r="D133" s="5">
        <f>D132+C133</f>
        <v/>
      </c>
      <c r="E133" s="5" t="n">
        <v>0</v>
      </c>
      <c r="F133" s="5">
        <f>F132+E133</f>
        <v/>
      </c>
      <c r="G133" s="5" t="n">
        <v>0</v>
      </c>
      <c r="H133" s="5">
        <f>I132*Assumptions!$B$66/12</f>
        <v/>
      </c>
      <c r="I133" s="5">
        <f>I132+G133+H133</f>
        <v/>
      </c>
      <c r="J133" t="n">
        <v>733.4</v>
      </c>
      <c r="K133" s="5">
        <f>J133*Assumptions!$B$47*(1+Assumptions!$B$49)^((A133-32)/12)</f>
        <v/>
      </c>
      <c r="L133" s="5">
        <f>J133*Assumptions!$B$48*0.5*(1+Assumptions!$B$49)^((A133-32)/12)</f>
        <v/>
      </c>
      <c r="M133" s="5">
        <f>J133*Assumptions!$B$45/12*(1+Assumptions!$B$49)^((A133-32)/12)</f>
        <v/>
      </c>
      <c r="N133" s="5">
        <f>K133+L133-M133</f>
        <v/>
      </c>
      <c r="O133" s="5" t="n">
        <v>0</v>
      </c>
      <c r="P133" s="5">
        <f>N133+O133-C133</f>
        <v/>
      </c>
    </row>
    <row r="134">
      <c r="A134" t="n">
        <v>126</v>
      </c>
      <c r="B134" t="inlineStr">
        <is>
          <t>2034-05</t>
        </is>
      </c>
      <c r="C134" s="5" t="n">
        <v>0</v>
      </c>
      <c r="D134" s="5">
        <f>D133+C134</f>
        <v/>
      </c>
      <c r="E134" s="5" t="n">
        <v>0</v>
      </c>
      <c r="F134" s="5">
        <f>F133+E134</f>
        <v/>
      </c>
      <c r="G134" s="5" t="n">
        <v>0</v>
      </c>
      <c r="H134" s="5">
        <f>I133*Assumptions!$B$66/12</f>
        <v/>
      </c>
      <c r="I134" s="5">
        <f>I133+G134+H134</f>
        <v/>
      </c>
      <c r="J134" t="n">
        <v>733.4</v>
      </c>
      <c r="K134" s="5">
        <f>J134*Assumptions!$B$47*(1+Assumptions!$B$49)^((A134-32)/12)</f>
        <v/>
      </c>
      <c r="L134" s="5">
        <f>J134*Assumptions!$B$48*0.5*(1+Assumptions!$B$49)^((A134-32)/12)</f>
        <v/>
      </c>
      <c r="M134" s="5">
        <f>J134*Assumptions!$B$45/12*(1+Assumptions!$B$49)^((A134-32)/12)</f>
        <v/>
      </c>
      <c r="N134" s="5">
        <f>K134+L134-M134</f>
        <v/>
      </c>
      <c r="O134" s="5" t="n">
        <v>0</v>
      </c>
      <c r="P134" s="5">
        <f>N134+O134-C134</f>
        <v/>
      </c>
    </row>
    <row r="135">
      <c r="A135" t="n">
        <v>127</v>
      </c>
      <c r="B135" t="inlineStr">
        <is>
          <t>2034-06</t>
        </is>
      </c>
      <c r="C135" s="5" t="n">
        <v>0</v>
      </c>
      <c r="D135" s="5">
        <f>D134+C135</f>
        <v/>
      </c>
      <c r="E135" s="5" t="n">
        <v>0</v>
      </c>
      <c r="F135" s="5">
        <f>F134+E135</f>
        <v/>
      </c>
      <c r="G135" s="5" t="n">
        <v>0</v>
      </c>
      <c r="H135" s="5">
        <f>I134*Assumptions!$B$66/12</f>
        <v/>
      </c>
      <c r="I135" s="5">
        <f>I134+G135+H135</f>
        <v/>
      </c>
      <c r="J135" t="n">
        <v>733.4</v>
      </c>
      <c r="K135" s="5">
        <f>J135*Assumptions!$B$47*(1+Assumptions!$B$49)^((A135-32)/12)</f>
        <v/>
      </c>
      <c r="L135" s="5">
        <f>J135*Assumptions!$B$48*0.5*(1+Assumptions!$B$49)^((A135-32)/12)</f>
        <v/>
      </c>
      <c r="M135" s="5">
        <f>J135*Assumptions!$B$45/12*(1+Assumptions!$B$49)^((A135-32)/12)</f>
        <v/>
      </c>
      <c r="N135" s="5">
        <f>K135+L135-M135</f>
        <v/>
      </c>
      <c r="O135" s="5" t="n">
        <v>0</v>
      </c>
      <c r="P135" s="5">
        <f>N135+O135-C135</f>
        <v/>
      </c>
    </row>
    <row r="136">
      <c r="A136" t="n">
        <v>128</v>
      </c>
      <c r="B136" t="inlineStr">
        <is>
          <t>2034-07</t>
        </is>
      </c>
      <c r="C136" s="5" t="n">
        <v>0</v>
      </c>
      <c r="D136" s="5">
        <f>D135+C136</f>
        <v/>
      </c>
      <c r="E136" s="5" t="n">
        <v>0</v>
      </c>
      <c r="F136" s="5">
        <f>F135+E136</f>
        <v/>
      </c>
      <c r="G136" s="5" t="n">
        <v>0</v>
      </c>
      <c r="H136" s="5">
        <f>I135*Assumptions!$B$66/12</f>
        <v/>
      </c>
      <c r="I136" s="5">
        <f>I135+G136+H136</f>
        <v/>
      </c>
      <c r="J136" t="n">
        <v>733.4</v>
      </c>
      <c r="K136" s="5">
        <f>J136*Assumptions!$B$47*(1+Assumptions!$B$49)^((A136-32)/12)</f>
        <v/>
      </c>
      <c r="L136" s="5">
        <f>J136*Assumptions!$B$48*0.5*(1+Assumptions!$B$49)^((A136-32)/12)</f>
        <v/>
      </c>
      <c r="M136" s="5">
        <f>J136*Assumptions!$B$45/12*(1+Assumptions!$B$49)^((A136-32)/12)</f>
        <v/>
      </c>
      <c r="N136" s="5">
        <f>K136+L136-M136</f>
        <v/>
      </c>
      <c r="O136" s="5" t="n">
        <v>0</v>
      </c>
      <c r="P136" s="5">
        <f>N136+O136-C136</f>
        <v/>
      </c>
    </row>
    <row r="137">
      <c r="A137" t="n">
        <v>129</v>
      </c>
      <c r="B137" t="inlineStr">
        <is>
          <t>2034-08</t>
        </is>
      </c>
      <c r="C137" s="5" t="n">
        <v>0</v>
      </c>
      <c r="D137" s="5">
        <f>D136+C137</f>
        <v/>
      </c>
      <c r="E137" s="5" t="n">
        <v>0</v>
      </c>
      <c r="F137" s="5">
        <f>F136+E137</f>
        <v/>
      </c>
      <c r="G137" s="5" t="n">
        <v>0</v>
      </c>
      <c r="H137" s="5">
        <f>I136*Assumptions!$B$66/12</f>
        <v/>
      </c>
      <c r="I137" s="5">
        <f>I136+G137+H137</f>
        <v/>
      </c>
      <c r="J137" t="n">
        <v>733.4</v>
      </c>
      <c r="K137" s="5">
        <f>J137*Assumptions!$B$47*(1+Assumptions!$B$49)^((A137-32)/12)</f>
        <v/>
      </c>
      <c r="L137" s="5">
        <f>J137*Assumptions!$B$48*0.5*(1+Assumptions!$B$49)^((A137-32)/12)</f>
        <v/>
      </c>
      <c r="M137" s="5">
        <f>J137*Assumptions!$B$45/12*(1+Assumptions!$B$49)^((A137-32)/12)</f>
        <v/>
      </c>
      <c r="N137" s="5">
        <f>K137+L137-M137</f>
        <v/>
      </c>
      <c r="O137" s="5" t="n">
        <v>0</v>
      </c>
      <c r="P137" s="5">
        <f>N137+O137-C137</f>
        <v/>
      </c>
    </row>
    <row r="138">
      <c r="A138" t="n">
        <v>130</v>
      </c>
      <c r="B138" t="inlineStr">
        <is>
          <t>2034-09</t>
        </is>
      </c>
      <c r="C138" s="5" t="n">
        <v>0</v>
      </c>
      <c r="D138" s="5">
        <f>D137+C138</f>
        <v/>
      </c>
      <c r="E138" s="5" t="n">
        <v>0</v>
      </c>
      <c r="F138" s="5">
        <f>F137+E138</f>
        <v/>
      </c>
      <c r="G138" s="5" t="n">
        <v>0</v>
      </c>
      <c r="H138" s="5">
        <f>I137*Assumptions!$B$66/12</f>
        <v/>
      </c>
      <c r="I138" s="5">
        <f>I137+G138+H138</f>
        <v/>
      </c>
      <c r="J138" t="n">
        <v>733.4</v>
      </c>
      <c r="K138" s="5">
        <f>J138*Assumptions!$B$47*(1+Assumptions!$B$49)^((A138-32)/12)</f>
        <v/>
      </c>
      <c r="L138" s="5">
        <f>J138*Assumptions!$B$48*0.5*(1+Assumptions!$B$49)^((A138-32)/12)</f>
        <v/>
      </c>
      <c r="M138" s="5">
        <f>J138*Assumptions!$B$45/12*(1+Assumptions!$B$49)^((A138-32)/12)</f>
        <v/>
      </c>
      <c r="N138" s="5">
        <f>K138+L138-M138</f>
        <v/>
      </c>
      <c r="O138" s="5" t="n">
        <v>0</v>
      </c>
      <c r="P138" s="5">
        <f>N138+O138-C138</f>
        <v/>
      </c>
    </row>
    <row r="139">
      <c r="A139" t="n">
        <v>131</v>
      </c>
      <c r="B139" t="inlineStr">
        <is>
          <t>2034-10</t>
        </is>
      </c>
      <c r="C139" s="5" t="n">
        <v>0</v>
      </c>
      <c r="D139" s="5">
        <f>D138+C139</f>
        <v/>
      </c>
      <c r="E139" s="5" t="n">
        <v>0</v>
      </c>
      <c r="F139" s="5">
        <f>F138+E139</f>
        <v/>
      </c>
      <c r="G139" s="5" t="n">
        <v>0</v>
      </c>
      <c r="H139" s="5">
        <f>I138*Assumptions!$B$66/12</f>
        <v/>
      </c>
      <c r="I139" s="5">
        <f>I138+G139+H139</f>
        <v/>
      </c>
      <c r="J139" t="n">
        <v>733.4</v>
      </c>
      <c r="K139" s="5">
        <f>J139*Assumptions!$B$47*(1+Assumptions!$B$49)^((A139-32)/12)</f>
        <v/>
      </c>
      <c r="L139" s="5">
        <f>J139*Assumptions!$B$48*0.5*(1+Assumptions!$B$49)^((A139-32)/12)</f>
        <v/>
      </c>
      <c r="M139" s="5">
        <f>J139*Assumptions!$B$45/12*(1+Assumptions!$B$49)^((A139-32)/12)</f>
        <v/>
      </c>
      <c r="N139" s="5">
        <f>K139+L139-M139</f>
        <v/>
      </c>
      <c r="O139" s="5" t="n">
        <v>0</v>
      </c>
      <c r="P139" s="5">
        <f>N139+O139-C139</f>
        <v/>
      </c>
    </row>
    <row r="140">
      <c r="A140" t="n">
        <v>132</v>
      </c>
      <c r="B140" t="inlineStr">
        <is>
          <t>2034-11</t>
        </is>
      </c>
      <c r="C140" s="5" t="n">
        <v>0</v>
      </c>
      <c r="D140" s="5">
        <f>D139+C140</f>
        <v/>
      </c>
      <c r="E140" s="5" t="n">
        <v>0</v>
      </c>
      <c r="F140" s="5">
        <f>F139+E140</f>
        <v/>
      </c>
      <c r="G140" s="5" t="n">
        <v>0</v>
      </c>
      <c r="H140" s="5">
        <f>I139*Assumptions!$B$66/12</f>
        <v/>
      </c>
      <c r="I140" s="5">
        <f>I139+G140+H140</f>
        <v/>
      </c>
      <c r="J140" t="n">
        <v>733.4</v>
      </c>
      <c r="K140" s="5">
        <f>J140*Assumptions!$B$47*(1+Assumptions!$B$49)^((A140-32)/12)</f>
        <v/>
      </c>
      <c r="L140" s="5">
        <f>J140*Assumptions!$B$48*0.5*(1+Assumptions!$B$49)^((A140-32)/12)</f>
        <v/>
      </c>
      <c r="M140" s="5">
        <f>J140*Assumptions!$B$45/12*(1+Assumptions!$B$49)^((A140-32)/12)</f>
        <v/>
      </c>
      <c r="N140" s="5">
        <f>K140+L140-M140</f>
        <v/>
      </c>
      <c r="O140" s="5" t="n">
        <v>0</v>
      </c>
      <c r="P140" s="5">
        <f>N140+O140-C140</f>
        <v/>
      </c>
    </row>
    <row r="141">
      <c r="A141" t="n">
        <v>133</v>
      </c>
      <c r="B141" t="inlineStr">
        <is>
          <t>2034-12</t>
        </is>
      </c>
      <c r="C141" s="5" t="n">
        <v>0</v>
      </c>
      <c r="D141" s="5">
        <f>D140+C141</f>
        <v/>
      </c>
      <c r="E141" s="5" t="n">
        <v>0</v>
      </c>
      <c r="F141" s="5">
        <f>F140+E141</f>
        <v/>
      </c>
      <c r="G141" s="5" t="n">
        <v>0</v>
      </c>
      <c r="H141" s="5">
        <f>I140*Assumptions!$B$66/12</f>
        <v/>
      </c>
      <c r="I141" s="5">
        <f>I140+G141+H141</f>
        <v/>
      </c>
      <c r="J141" t="n">
        <v>733.4</v>
      </c>
      <c r="K141" s="5">
        <f>J141*Assumptions!$B$47*(1+Assumptions!$B$49)^((A141-32)/12)</f>
        <v/>
      </c>
      <c r="L141" s="5">
        <f>J141*Assumptions!$B$48*0.5*(1+Assumptions!$B$49)^((A141-32)/12)</f>
        <v/>
      </c>
      <c r="M141" s="5">
        <f>J141*Assumptions!$B$45/12*(1+Assumptions!$B$49)^((A141-32)/12)</f>
        <v/>
      </c>
      <c r="N141" s="5">
        <f>K141+L141-M141</f>
        <v/>
      </c>
      <c r="O141" s="5" t="n">
        <v>0</v>
      </c>
      <c r="P141" s="5">
        <f>N141+O141-C141</f>
        <v/>
      </c>
    </row>
    <row r="142">
      <c r="A142" t="n">
        <v>134</v>
      </c>
      <c r="B142" t="inlineStr">
        <is>
          <t>2035-01</t>
        </is>
      </c>
      <c r="C142" s="5" t="n">
        <v>0</v>
      </c>
      <c r="D142" s="5">
        <f>D141+C142</f>
        <v/>
      </c>
      <c r="E142" s="5" t="n">
        <v>0</v>
      </c>
      <c r="F142" s="5">
        <f>F141+E142</f>
        <v/>
      </c>
      <c r="G142" s="5" t="n">
        <v>0</v>
      </c>
      <c r="H142" s="5">
        <f>I141*Assumptions!$B$66/12</f>
        <v/>
      </c>
      <c r="I142" s="5">
        <f>I141+G142+H142</f>
        <v/>
      </c>
      <c r="J142" t="n">
        <v>733.4</v>
      </c>
      <c r="K142" s="5">
        <f>J142*Assumptions!$B$47*(1+Assumptions!$B$49)^((A142-32)/12)</f>
        <v/>
      </c>
      <c r="L142" s="5">
        <f>J142*Assumptions!$B$48*0.5*(1+Assumptions!$B$49)^((A142-32)/12)</f>
        <v/>
      </c>
      <c r="M142" s="5">
        <f>J142*Assumptions!$B$45/12*(1+Assumptions!$B$49)^((A142-32)/12)</f>
        <v/>
      </c>
      <c r="N142" s="5">
        <f>K142+L142-M142</f>
        <v/>
      </c>
      <c r="O142" s="5" t="n">
        <v>0</v>
      </c>
      <c r="P142" s="5">
        <f>N142+O142-C142</f>
        <v/>
      </c>
    </row>
    <row r="143">
      <c r="A143" t="n">
        <v>135</v>
      </c>
      <c r="B143" t="inlineStr">
        <is>
          <t>2035-02</t>
        </is>
      </c>
      <c r="C143" s="5" t="n">
        <v>0</v>
      </c>
      <c r="D143" s="5">
        <f>D142+C143</f>
        <v/>
      </c>
      <c r="E143" s="5" t="n">
        <v>0</v>
      </c>
      <c r="F143" s="5">
        <f>F142+E143</f>
        <v/>
      </c>
      <c r="G143" s="5" t="n">
        <v>0</v>
      </c>
      <c r="H143" s="5">
        <f>I142*Assumptions!$B$66/12</f>
        <v/>
      </c>
      <c r="I143" s="5">
        <f>I142+G143+H143</f>
        <v/>
      </c>
      <c r="J143" t="n">
        <v>733.4</v>
      </c>
      <c r="K143" s="5">
        <f>J143*Assumptions!$B$47*(1+Assumptions!$B$49)^((A143-32)/12)</f>
        <v/>
      </c>
      <c r="L143" s="5">
        <f>J143*Assumptions!$B$48*0.5*(1+Assumptions!$B$49)^((A143-32)/12)</f>
        <v/>
      </c>
      <c r="M143" s="5">
        <f>J143*Assumptions!$B$45/12*(1+Assumptions!$B$49)^((A143-32)/12)</f>
        <v/>
      </c>
      <c r="N143" s="5">
        <f>K143+L143-M143</f>
        <v/>
      </c>
      <c r="O143" s="5" t="n">
        <v>0</v>
      </c>
      <c r="P143" s="5">
        <f>N143+O143-C143</f>
        <v/>
      </c>
    </row>
    <row r="144">
      <c r="A144" t="n">
        <v>136</v>
      </c>
      <c r="B144" t="inlineStr">
        <is>
          <t>2035-03</t>
        </is>
      </c>
      <c r="C144" s="5" t="n">
        <v>0</v>
      </c>
      <c r="D144" s="5">
        <f>D143+C144</f>
        <v/>
      </c>
      <c r="E144" s="5" t="n">
        <v>0</v>
      </c>
      <c r="F144" s="5">
        <f>F143+E144</f>
        <v/>
      </c>
      <c r="G144" s="5" t="n">
        <v>0</v>
      </c>
      <c r="H144" s="5">
        <f>I143*Assumptions!$B$66/12</f>
        <v/>
      </c>
      <c r="I144" s="5">
        <f>I143+G144+H144</f>
        <v/>
      </c>
      <c r="J144" t="n">
        <v>733.4</v>
      </c>
      <c r="K144" s="5">
        <f>J144*Assumptions!$B$47*(1+Assumptions!$B$49)^((A144-32)/12)</f>
        <v/>
      </c>
      <c r="L144" s="5">
        <f>J144*Assumptions!$B$48*0.5*(1+Assumptions!$B$49)^((A144-32)/12)</f>
        <v/>
      </c>
      <c r="M144" s="5">
        <f>J144*Assumptions!$B$45/12*(1+Assumptions!$B$49)^((A144-32)/12)</f>
        <v/>
      </c>
      <c r="N144" s="5">
        <f>K144+L144-M144</f>
        <v/>
      </c>
      <c r="O144" s="5" t="n">
        <v>0</v>
      </c>
      <c r="P144" s="5">
        <f>N144+O144-C144</f>
        <v/>
      </c>
    </row>
    <row r="145">
      <c r="A145" t="n">
        <v>137</v>
      </c>
      <c r="B145" t="inlineStr">
        <is>
          <t>2035-04</t>
        </is>
      </c>
      <c r="C145" s="5" t="n">
        <v>0</v>
      </c>
      <c r="D145" s="5">
        <f>D144+C145</f>
        <v/>
      </c>
      <c r="E145" s="5" t="n">
        <v>0</v>
      </c>
      <c r="F145" s="5">
        <f>F144+E145</f>
        <v/>
      </c>
      <c r="G145" s="5" t="n">
        <v>0</v>
      </c>
      <c r="H145" s="5">
        <f>I144*Assumptions!$B$66/12</f>
        <v/>
      </c>
      <c r="I145" s="5">
        <f>I144+G145+H145</f>
        <v/>
      </c>
      <c r="J145" t="n">
        <v>733.4</v>
      </c>
      <c r="K145" s="5">
        <f>J145*Assumptions!$B$47*(1+Assumptions!$B$49)^((A145-32)/12)</f>
        <v/>
      </c>
      <c r="L145" s="5">
        <f>J145*Assumptions!$B$48*0.5*(1+Assumptions!$B$49)^((A145-32)/12)</f>
        <v/>
      </c>
      <c r="M145" s="5">
        <f>J145*Assumptions!$B$45/12*(1+Assumptions!$B$49)^((A145-32)/12)</f>
        <v/>
      </c>
      <c r="N145" s="5">
        <f>K145+L145-M145</f>
        <v/>
      </c>
      <c r="O145" s="5" t="n">
        <v>0</v>
      </c>
      <c r="P145" s="5">
        <f>N145+O145-C145</f>
        <v/>
      </c>
    </row>
    <row r="146">
      <c r="A146" t="n">
        <v>138</v>
      </c>
      <c r="B146" t="inlineStr">
        <is>
          <t>2035-05</t>
        </is>
      </c>
      <c r="C146" s="5" t="n">
        <v>0</v>
      </c>
      <c r="D146" s="5">
        <f>D145+C146</f>
        <v/>
      </c>
      <c r="E146" s="5" t="n">
        <v>0</v>
      </c>
      <c r="F146" s="5">
        <f>F145+E146</f>
        <v/>
      </c>
      <c r="G146" s="5" t="n">
        <v>0</v>
      </c>
      <c r="H146" s="5">
        <f>I145*Assumptions!$B$66/12</f>
        <v/>
      </c>
      <c r="I146" s="5">
        <f>I145+G146+H146</f>
        <v/>
      </c>
      <c r="J146" t="n">
        <v>733.4</v>
      </c>
      <c r="K146" s="5">
        <f>J146*Assumptions!$B$47*(1+Assumptions!$B$49)^((A146-32)/12)</f>
        <v/>
      </c>
      <c r="L146" s="5">
        <f>J146*Assumptions!$B$48*0.5*(1+Assumptions!$B$49)^((A146-32)/12)</f>
        <v/>
      </c>
      <c r="M146" s="5">
        <f>J146*Assumptions!$B$45/12*(1+Assumptions!$B$49)^((A146-32)/12)</f>
        <v/>
      </c>
      <c r="N146" s="5">
        <f>K146+L146-M146</f>
        <v/>
      </c>
      <c r="O146" s="5" t="n">
        <v>0</v>
      </c>
      <c r="P146" s="5">
        <f>N146+O146-C146</f>
        <v/>
      </c>
    </row>
    <row r="147">
      <c r="A147" t="n">
        <v>139</v>
      </c>
      <c r="B147" t="inlineStr">
        <is>
          <t>2035-06</t>
        </is>
      </c>
      <c r="C147" s="5" t="n">
        <v>0</v>
      </c>
      <c r="D147" s="5">
        <f>D146+C147</f>
        <v/>
      </c>
      <c r="E147" s="5" t="n">
        <v>0</v>
      </c>
      <c r="F147" s="5">
        <f>F146+E147</f>
        <v/>
      </c>
      <c r="G147" s="5" t="n">
        <v>0</v>
      </c>
      <c r="H147" s="5">
        <f>I146*Assumptions!$B$66/12</f>
        <v/>
      </c>
      <c r="I147" s="5">
        <f>I146+G147+H147</f>
        <v/>
      </c>
      <c r="J147" t="n">
        <v>733.4</v>
      </c>
      <c r="K147" s="5">
        <f>J147*Assumptions!$B$47*(1+Assumptions!$B$49)^((A147-32)/12)</f>
        <v/>
      </c>
      <c r="L147" s="5">
        <f>J147*Assumptions!$B$48*0.5*(1+Assumptions!$B$49)^((A147-32)/12)</f>
        <v/>
      </c>
      <c r="M147" s="5">
        <f>J147*Assumptions!$B$45/12*(1+Assumptions!$B$49)^((A147-32)/12)</f>
        <v/>
      </c>
      <c r="N147" s="5">
        <f>K147+L147-M147</f>
        <v/>
      </c>
      <c r="O147" s="5" t="n">
        <v>0</v>
      </c>
      <c r="P147" s="5">
        <f>N147+O147-C147</f>
        <v/>
      </c>
    </row>
    <row r="148">
      <c r="A148" t="n">
        <v>140</v>
      </c>
      <c r="B148" t="inlineStr">
        <is>
          <t>2035-07</t>
        </is>
      </c>
      <c r="C148" s="5" t="n">
        <v>0</v>
      </c>
      <c r="D148" s="5">
        <f>D147+C148</f>
        <v/>
      </c>
      <c r="E148" s="5" t="n">
        <v>0</v>
      </c>
      <c r="F148" s="5">
        <f>F147+E148</f>
        <v/>
      </c>
      <c r="G148" s="5" t="n">
        <v>0</v>
      </c>
      <c r="H148" s="5">
        <f>I147*Assumptions!$B$66/12</f>
        <v/>
      </c>
      <c r="I148" s="5">
        <f>I147+G148+H148</f>
        <v/>
      </c>
      <c r="J148" t="n">
        <v>733.4</v>
      </c>
      <c r="K148" s="5">
        <f>J148*Assumptions!$B$47*(1+Assumptions!$B$49)^((A148-32)/12)</f>
        <v/>
      </c>
      <c r="L148" s="5">
        <f>J148*Assumptions!$B$48*0.5*(1+Assumptions!$B$49)^((A148-32)/12)</f>
        <v/>
      </c>
      <c r="M148" s="5">
        <f>J148*Assumptions!$B$45/12*(1+Assumptions!$B$49)^((A148-32)/12)</f>
        <v/>
      </c>
      <c r="N148" s="5">
        <f>K148+L148-M148</f>
        <v/>
      </c>
      <c r="O148" s="5" t="n">
        <v>0</v>
      </c>
      <c r="P148" s="5">
        <f>N148+O148-C148</f>
        <v/>
      </c>
    </row>
    <row r="149">
      <c r="A149" t="n">
        <v>141</v>
      </c>
      <c r="B149" t="inlineStr">
        <is>
          <t>2035-08</t>
        </is>
      </c>
      <c r="C149" s="5" t="n">
        <v>0</v>
      </c>
      <c r="D149" s="5">
        <f>D148+C149</f>
        <v/>
      </c>
      <c r="E149" s="5" t="n">
        <v>0</v>
      </c>
      <c r="F149" s="5">
        <f>F148+E149</f>
        <v/>
      </c>
      <c r="G149" s="5" t="n">
        <v>0</v>
      </c>
      <c r="H149" s="5">
        <f>I148*Assumptions!$B$66/12</f>
        <v/>
      </c>
      <c r="I149" s="5">
        <f>I148+G149+H149</f>
        <v/>
      </c>
      <c r="J149" t="n">
        <v>733.4</v>
      </c>
      <c r="K149" s="5">
        <f>J149*Assumptions!$B$47*(1+Assumptions!$B$49)^((A149-32)/12)</f>
        <v/>
      </c>
      <c r="L149" s="5">
        <f>J149*Assumptions!$B$48*0.5*(1+Assumptions!$B$49)^((A149-32)/12)</f>
        <v/>
      </c>
      <c r="M149" s="5">
        <f>J149*Assumptions!$B$45/12*(1+Assumptions!$B$49)^((A149-32)/12)</f>
        <v/>
      </c>
      <c r="N149" s="5">
        <f>K149+L149-M149</f>
        <v/>
      </c>
      <c r="O149" s="5" t="n">
        <v>0</v>
      </c>
      <c r="P149" s="5">
        <f>N149+O149-C149</f>
        <v/>
      </c>
    </row>
    <row r="150">
      <c r="A150" t="n">
        <v>142</v>
      </c>
      <c r="B150" t="inlineStr">
        <is>
          <t>2035-09</t>
        </is>
      </c>
      <c r="C150" s="5" t="n">
        <v>0</v>
      </c>
      <c r="D150" s="5">
        <f>D149+C150</f>
        <v/>
      </c>
      <c r="E150" s="5" t="n">
        <v>0</v>
      </c>
      <c r="F150" s="5">
        <f>F149+E150</f>
        <v/>
      </c>
      <c r="G150" s="5" t="n">
        <v>0</v>
      </c>
      <c r="H150" s="5">
        <f>I149*Assumptions!$B$66/12</f>
        <v/>
      </c>
      <c r="I150" s="5">
        <f>I149+G150+H150</f>
        <v/>
      </c>
      <c r="J150" t="n">
        <v>733.4</v>
      </c>
      <c r="K150" s="5">
        <f>J150*Assumptions!$B$47*(1+Assumptions!$B$49)^((A150-32)/12)</f>
        <v/>
      </c>
      <c r="L150" s="5">
        <f>J150*Assumptions!$B$48*0.5*(1+Assumptions!$B$49)^((A150-32)/12)</f>
        <v/>
      </c>
      <c r="M150" s="5">
        <f>J150*Assumptions!$B$45/12*(1+Assumptions!$B$49)^((A150-32)/12)</f>
        <v/>
      </c>
      <c r="N150" s="5">
        <f>K150+L150-M150</f>
        <v/>
      </c>
      <c r="O150" s="5" t="n">
        <v>0</v>
      </c>
      <c r="P150" s="5">
        <f>N150+O150-C150</f>
        <v/>
      </c>
    </row>
    <row r="151">
      <c r="A151" t="n">
        <v>143</v>
      </c>
      <c r="B151" t="inlineStr">
        <is>
          <t>2035-10</t>
        </is>
      </c>
      <c r="C151" s="5" t="n">
        <v>0</v>
      </c>
      <c r="D151" s="5">
        <f>D150+C151</f>
        <v/>
      </c>
      <c r="E151" s="5" t="n">
        <v>0</v>
      </c>
      <c r="F151" s="5">
        <f>F150+E151</f>
        <v/>
      </c>
      <c r="G151" s="5" t="n">
        <v>0</v>
      </c>
      <c r="H151" s="5">
        <f>I150*Assumptions!$B$66/12</f>
        <v/>
      </c>
      <c r="I151" s="5">
        <f>I150+G151+H151</f>
        <v/>
      </c>
      <c r="J151" t="n">
        <v>733.4</v>
      </c>
      <c r="K151" s="5">
        <f>J151*Assumptions!$B$47*(1+Assumptions!$B$49)^((A151-32)/12)</f>
        <v/>
      </c>
      <c r="L151" s="5">
        <f>J151*Assumptions!$B$48*0.5*(1+Assumptions!$B$49)^((A151-32)/12)</f>
        <v/>
      </c>
      <c r="M151" s="5">
        <f>J151*Assumptions!$B$45/12*(1+Assumptions!$B$49)^((A151-32)/12)</f>
        <v/>
      </c>
      <c r="N151" s="5">
        <f>K151+L151-M151</f>
        <v/>
      </c>
      <c r="O151" s="5" t="n">
        <v>0</v>
      </c>
      <c r="P151" s="5">
        <f>N151+O151-C151</f>
        <v/>
      </c>
    </row>
    <row r="152">
      <c r="A152" t="n">
        <v>144</v>
      </c>
      <c r="B152" t="inlineStr">
        <is>
          <t>2035-11</t>
        </is>
      </c>
      <c r="C152" s="5" t="n">
        <v>0</v>
      </c>
      <c r="D152" s="5">
        <f>D151+C152</f>
        <v/>
      </c>
      <c r="E152" s="5" t="n">
        <v>0</v>
      </c>
      <c r="F152" s="5">
        <f>F151+E152</f>
        <v/>
      </c>
      <c r="G152" s="5" t="n">
        <v>0</v>
      </c>
      <c r="H152" s="5">
        <f>I151*Assumptions!$B$66/12</f>
        <v/>
      </c>
      <c r="I152" s="5">
        <f>I151+G152+H152</f>
        <v/>
      </c>
      <c r="J152" t="n">
        <v>733.4</v>
      </c>
      <c r="K152" s="5">
        <f>J152*Assumptions!$B$47*(1+Assumptions!$B$49)^((A152-32)/12)</f>
        <v/>
      </c>
      <c r="L152" s="5">
        <f>J152*Assumptions!$B$48*0.5*(1+Assumptions!$B$49)^((A152-32)/12)</f>
        <v/>
      </c>
      <c r="M152" s="5">
        <f>J152*Assumptions!$B$45/12*(1+Assumptions!$B$49)^((A152-32)/12)</f>
        <v/>
      </c>
      <c r="N152" s="5">
        <f>K152+L152-M152</f>
        <v/>
      </c>
      <c r="O152" s="5" t="n">
        <v>0</v>
      </c>
      <c r="P152" s="5">
        <f>N152+O152-C152</f>
        <v/>
      </c>
    </row>
    <row r="153">
      <c r="A153" t="n">
        <v>145</v>
      </c>
      <c r="B153" t="inlineStr">
        <is>
          <t>2035-12</t>
        </is>
      </c>
      <c r="C153" s="5" t="n">
        <v>0</v>
      </c>
      <c r="D153" s="5">
        <f>D152+C153</f>
        <v/>
      </c>
      <c r="E153" s="5" t="n">
        <v>0</v>
      </c>
      <c r="F153" s="5">
        <f>F152+E153</f>
        <v/>
      </c>
      <c r="G153" s="5" t="n">
        <v>0</v>
      </c>
      <c r="H153" s="5">
        <f>I152*Assumptions!$B$66/12</f>
        <v/>
      </c>
      <c r="I153" s="5">
        <f>I152+G153+H153</f>
        <v/>
      </c>
      <c r="J153" t="n">
        <v>733.4</v>
      </c>
      <c r="K153" s="5">
        <f>J153*Assumptions!$B$47*(1+Assumptions!$B$49)^((A153-32)/12)</f>
        <v/>
      </c>
      <c r="L153" s="5">
        <f>J153*Assumptions!$B$48*0.5*(1+Assumptions!$B$49)^((A153-32)/12)</f>
        <v/>
      </c>
      <c r="M153" s="5">
        <f>J153*Assumptions!$B$45/12*(1+Assumptions!$B$49)^((A153-32)/12)</f>
        <v/>
      </c>
      <c r="N153" s="5">
        <f>K153+L153-M153</f>
        <v/>
      </c>
      <c r="O153" s="5" t="n">
        <v>0</v>
      </c>
      <c r="P153" s="5">
        <f>N153+O153-C153</f>
        <v/>
      </c>
    </row>
    <row r="154">
      <c r="A154" t="n">
        <v>146</v>
      </c>
      <c r="B154" t="inlineStr">
        <is>
          <t>2036-01</t>
        </is>
      </c>
      <c r="C154" s="5" t="n">
        <v>0</v>
      </c>
      <c r="D154" s="5">
        <f>D153+C154</f>
        <v/>
      </c>
      <c r="E154" s="5" t="n">
        <v>0</v>
      </c>
      <c r="F154" s="5">
        <f>F153+E154</f>
        <v/>
      </c>
      <c r="G154" s="5" t="n">
        <v>0</v>
      </c>
      <c r="H154" s="5">
        <f>I153*Assumptions!$B$66/12</f>
        <v/>
      </c>
      <c r="I154" s="5">
        <f>I153+G154+H154</f>
        <v/>
      </c>
      <c r="J154" t="n">
        <v>733.4</v>
      </c>
      <c r="K154" s="5">
        <f>J154*Assumptions!$B$47*(1+Assumptions!$B$49)^((A154-32)/12)</f>
        <v/>
      </c>
      <c r="L154" s="5">
        <f>J154*Assumptions!$B$48*0.5*(1+Assumptions!$B$49)^((A154-32)/12)</f>
        <v/>
      </c>
      <c r="M154" s="5">
        <f>J154*Assumptions!$B$45/12*(1+Assumptions!$B$49)^((A154-32)/12)</f>
        <v/>
      </c>
      <c r="N154" s="5">
        <f>K154+L154-M154</f>
        <v/>
      </c>
      <c r="O154" s="5" t="n">
        <v>0</v>
      </c>
      <c r="P154" s="5">
        <f>N154+O154-C154</f>
        <v/>
      </c>
    </row>
    <row r="155">
      <c r="A155" t="n">
        <v>147</v>
      </c>
      <c r="B155" t="inlineStr">
        <is>
          <t>2036-02</t>
        </is>
      </c>
      <c r="C155" s="5" t="n">
        <v>0</v>
      </c>
      <c r="D155" s="5">
        <f>D154+C155</f>
        <v/>
      </c>
      <c r="E155" s="5" t="n">
        <v>0</v>
      </c>
      <c r="F155" s="5">
        <f>F154+E155</f>
        <v/>
      </c>
      <c r="G155" s="5" t="n">
        <v>0</v>
      </c>
      <c r="H155" s="5">
        <f>I154*Assumptions!$B$66/12</f>
        <v/>
      </c>
      <c r="I155" s="5">
        <f>I154+G155+H155</f>
        <v/>
      </c>
      <c r="J155" t="n">
        <v>733.4</v>
      </c>
      <c r="K155" s="5">
        <f>J155*Assumptions!$B$47*(1+Assumptions!$B$49)^((A155-32)/12)</f>
        <v/>
      </c>
      <c r="L155" s="5">
        <f>J155*Assumptions!$B$48*0.5*(1+Assumptions!$B$49)^((A155-32)/12)</f>
        <v/>
      </c>
      <c r="M155" s="5">
        <f>J155*Assumptions!$B$45/12*(1+Assumptions!$B$49)^((A155-32)/12)</f>
        <v/>
      </c>
      <c r="N155" s="5">
        <f>K155+L155-M155</f>
        <v/>
      </c>
      <c r="O155" s="5" t="n">
        <v>0</v>
      </c>
      <c r="P155" s="5">
        <f>N155+O155-C155</f>
        <v/>
      </c>
    </row>
    <row r="156">
      <c r="A156" t="n">
        <v>148</v>
      </c>
      <c r="B156" t="inlineStr">
        <is>
          <t>2036-03</t>
        </is>
      </c>
      <c r="C156" s="5" t="n">
        <v>0</v>
      </c>
      <c r="D156" s="5">
        <f>D155+C156</f>
        <v/>
      </c>
      <c r="E156" s="5" t="n">
        <v>0</v>
      </c>
      <c r="F156" s="5">
        <f>F155+E156</f>
        <v/>
      </c>
      <c r="G156" s="5" t="n">
        <v>0</v>
      </c>
      <c r="H156" s="5">
        <f>I155*Assumptions!$B$66/12</f>
        <v/>
      </c>
      <c r="I156" s="5">
        <f>I155+G156+H156</f>
        <v/>
      </c>
      <c r="J156" t="n">
        <v>733.4</v>
      </c>
      <c r="K156" s="5">
        <f>J156*Assumptions!$B$47*(1+Assumptions!$B$49)^((A156-32)/12)</f>
        <v/>
      </c>
      <c r="L156" s="5">
        <f>J156*Assumptions!$B$48*0.5*(1+Assumptions!$B$49)^((A156-32)/12)</f>
        <v/>
      </c>
      <c r="M156" s="5">
        <f>J156*Assumptions!$B$45/12*(1+Assumptions!$B$49)^((A156-32)/12)</f>
        <v/>
      </c>
      <c r="N156" s="5">
        <f>K156+L156-M156</f>
        <v/>
      </c>
      <c r="O156" s="5" t="n">
        <v>0</v>
      </c>
      <c r="P156" s="5">
        <f>N156+O156-C156</f>
        <v/>
      </c>
    </row>
    <row r="157">
      <c r="A157" t="n">
        <v>149</v>
      </c>
      <c r="B157" t="inlineStr">
        <is>
          <t>2036-04</t>
        </is>
      </c>
      <c r="C157" s="5" t="n">
        <v>0</v>
      </c>
      <c r="D157" s="5">
        <f>D156+C157</f>
        <v/>
      </c>
      <c r="E157" s="5" t="n">
        <v>0</v>
      </c>
      <c r="F157" s="5">
        <f>F156+E157</f>
        <v/>
      </c>
      <c r="G157" s="5" t="n">
        <v>0</v>
      </c>
      <c r="H157" s="5">
        <f>I156*Assumptions!$B$66/12</f>
        <v/>
      </c>
      <c r="I157" s="5">
        <f>I156+G157+H157</f>
        <v/>
      </c>
      <c r="J157" t="n">
        <v>733.4</v>
      </c>
      <c r="K157" s="5">
        <f>J157*Assumptions!$B$47*(1+Assumptions!$B$49)^((A157-32)/12)</f>
        <v/>
      </c>
      <c r="L157" s="5">
        <f>J157*Assumptions!$B$48*0.5*(1+Assumptions!$B$49)^((A157-32)/12)</f>
        <v/>
      </c>
      <c r="M157" s="5">
        <f>J157*Assumptions!$B$45/12*(1+Assumptions!$B$49)^((A157-32)/12)</f>
        <v/>
      </c>
      <c r="N157" s="5">
        <f>K157+L157-M157</f>
        <v/>
      </c>
      <c r="O157" s="5" t="n">
        <v>0</v>
      </c>
      <c r="P157" s="5">
        <f>N157+O157-C157</f>
        <v/>
      </c>
    </row>
    <row r="158">
      <c r="A158" t="n">
        <v>150</v>
      </c>
      <c r="B158" t="inlineStr">
        <is>
          <t>2036-05</t>
        </is>
      </c>
      <c r="C158" s="5" t="n">
        <v>0</v>
      </c>
      <c r="D158" s="5">
        <f>D157+C158</f>
        <v/>
      </c>
      <c r="E158" s="5" t="n">
        <v>0</v>
      </c>
      <c r="F158" s="5">
        <f>F157+E158</f>
        <v/>
      </c>
      <c r="G158" s="5" t="n">
        <v>0</v>
      </c>
      <c r="H158" s="5">
        <f>I157*Assumptions!$B$66/12</f>
        <v/>
      </c>
      <c r="I158" s="5">
        <f>I157+G158+H158</f>
        <v/>
      </c>
      <c r="J158" t="n">
        <v>733.4</v>
      </c>
      <c r="K158" s="5">
        <f>J158*Assumptions!$B$47*(1+Assumptions!$B$49)^((A158-32)/12)</f>
        <v/>
      </c>
      <c r="L158" s="5">
        <f>J158*Assumptions!$B$48*0.5*(1+Assumptions!$B$49)^((A158-32)/12)</f>
        <v/>
      </c>
      <c r="M158" s="5">
        <f>J158*Assumptions!$B$45/12*(1+Assumptions!$B$49)^((A158-32)/12)</f>
        <v/>
      </c>
      <c r="N158" s="5">
        <f>K158+L158-M158</f>
        <v/>
      </c>
      <c r="O158" s="5" t="n">
        <v>0</v>
      </c>
      <c r="P158" s="5">
        <f>N158+O158-C158</f>
        <v/>
      </c>
    </row>
    <row r="159">
      <c r="A159" t="n">
        <v>151</v>
      </c>
      <c r="B159" t="inlineStr">
        <is>
          <t>2036-06</t>
        </is>
      </c>
      <c r="C159" s="5" t="n">
        <v>0</v>
      </c>
      <c r="D159" s="5">
        <f>D158+C159</f>
        <v/>
      </c>
      <c r="E159" s="5" t="n">
        <v>0</v>
      </c>
      <c r="F159" s="5">
        <f>F158+E159</f>
        <v/>
      </c>
      <c r="G159" s="5" t="n">
        <v>0</v>
      </c>
      <c r="H159" s="5">
        <f>I158*Assumptions!$B$66/12</f>
        <v/>
      </c>
      <c r="I159" s="5">
        <f>I158+G159+H159</f>
        <v/>
      </c>
      <c r="J159" t="n">
        <v>733.4</v>
      </c>
      <c r="K159" s="5">
        <f>J159*Assumptions!$B$47*(1+Assumptions!$B$49)^((A159-32)/12)</f>
        <v/>
      </c>
      <c r="L159" s="5">
        <f>J159*Assumptions!$B$48*0.5*(1+Assumptions!$B$49)^((A159-32)/12)</f>
        <v/>
      </c>
      <c r="M159" s="5">
        <f>J159*Assumptions!$B$45/12*(1+Assumptions!$B$49)^((A159-32)/12)</f>
        <v/>
      </c>
      <c r="N159" s="5">
        <f>K159+L159-M159</f>
        <v/>
      </c>
      <c r="O159" s="5" t="n">
        <v>0</v>
      </c>
      <c r="P159" s="5">
        <f>N159+O159-C159</f>
        <v/>
      </c>
    </row>
    <row r="160">
      <c r="A160" t="n">
        <v>152</v>
      </c>
      <c r="B160" t="inlineStr">
        <is>
          <t>2036-07</t>
        </is>
      </c>
      <c r="C160" s="5" t="n">
        <v>0</v>
      </c>
      <c r="D160" s="5">
        <f>D159+C160</f>
        <v/>
      </c>
      <c r="E160" s="5" t="n">
        <v>0</v>
      </c>
      <c r="F160" s="5">
        <f>F159+E160</f>
        <v/>
      </c>
      <c r="G160" s="5" t="n">
        <v>0</v>
      </c>
      <c r="H160" s="5">
        <f>I159*Assumptions!$B$66/12</f>
        <v/>
      </c>
      <c r="I160" s="5">
        <f>I159+G160+H160</f>
        <v/>
      </c>
      <c r="J160" t="n">
        <v>733.4</v>
      </c>
      <c r="K160" s="5">
        <f>J160*Assumptions!$B$47*(1+Assumptions!$B$49)^((A160-32)/12)</f>
        <v/>
      </c>
      <c r="L160" s="5">
        <f>J160*Assumptions!$B$48*0.5*(1+Assumptions!$B$49)^((A160-32)/12)</f>
        <v/>
      </c>
      <c r="M160" s="5">
        <f>J160*Assumptions!$B$45/12*(1+Assumptions!$B$49)^((A160-32)/12)</f>
        <v/>
      </c>
      <c r="N160" s="5">
        <f>K160+L160-M160</f>
        <v/>
      </c>
      <c r="O160" s="5" t="n">
        <v>0</v>
      </c>
      <c r="P160" s="5">
        <f>N160+O160-C160</f>
        <v/>
      </c>
    </row>
    <row r="161">
      <c r="A161" t="n">
        <v>153</v>
      </c>
      <c r="B161" t="inlineStr">
        <is>
          <t>2036-08</t>
        </is>
      </c>
      <c r="C161" s="5" t="n">
        <v>0</v>
      </c>
      <c r="D161" s="5">
        <f>D160+C161</f>
        <v/>
      </c>
      <c r="E161" s="5" t="n">
        <v>0</v>
      </c>
      <c r="F161" s="5">
        <f>F160+E161</f>
        <v/>
      </c>
      <c r="G161" s="5" t="n">
        <v>0</v>
      </c>
      <c r="H161" s="5">
        <f>I160*Assumptions!$B$66/12</f>
        <v/>
      </c>
      <c r="I161" s="5">
        <f>I160+G161+H161</f>
        <v/>
      </c>
      <c r="J161" t="n">
        <v>733.4</v>
      </c>
      <c r="K161" s="5">
        <f>J161*Assumptions!$B$47*(1+Assumptions!$B$49)^((A161-32)/12)</f>
        <v/>
      </c>
      <c r="L161" s="5">
        <f>J161*Assumptions!$B$48*0.5*(1+Assumptions!$B$49)^((A161-32)/12)</f>
        <v/>
      </c>
      <c r="M161" s="5">
        <f>J161*Assumptions!$B$45/12*(1+Assumptions!$B$49)^((A161-32)/12)</f>
        <v/>
      </c>
      <c r="N161" s="5">
        <f>K161+L161-M161</f>
        <v/>
      </c>
      <c r="O161" s="5" t="n">
        <v>0</v>
      </c>
      <c r="P161" s="5">
        <f>N161+O161-C161</f>
        <v/>
      </c>
    </row>
    <row r="162">
      <c r="A162" t="n">
        <v>154</v>
      </c>
      <c r="B162" t="inlineStr">
        <is>
          <t>2036-09</t>
        </is>
      </c>
      <c r="C162" s="5" t="n">
        <v>0</v>
      </c>
      <c r="D162" s="5">
        <f>D161+C162</f>
        <v/>
      </c>
      <c r="E162" s="5" t="n">
        <v>0</v>
      </c>
      <c r="F162" s="5">
        <f>F161+E162</f>
        <v/>
      </c>
      <c r="G162" s="5" t="n">
        <v>0</v>
      </c>
      <c r="H162" s="5">
        <f>I161*Assumptions!$B$66/12</f>
        <v/>
      </c>
      <c r="I162" s="5">
        <f>I161+G162+H162</f>
        <v/>
      </c>
      <c r="J162" t="n">
        <v>733.4</v>
      </c>
      <c r="K162" s="5">
        <f>J162*Assumptions!$B$47*(1+Assumptions!$B$49)^((A162-32)/12)</f>
        <v/>
      </c>
      <c r="L162" s="5">
        <f>J162*Assumptions!$B$48*0.5*(1+Assumptions!$B$49)^((A162-32)/12)</f>
        <v/>
      </c>
      <c r="M162" s="5">
        <f>J162*Assumptions!$B$45/12*(1+Assumptions!$B$49)^((A162-32)/12)</f>
        <v/>
      </c>
      <c r="N162" s="5">
        <f>K162+L162-M162</f>
        <v/>
      </c>
      <c r="O162" s="5" t="n">
        <v>0</v>
      </c>
      <c r="P162" s="5">
        <f>N162+O162-C162</f>
        <v/>
      </c>
    </row>
    <row r="163">
      <c r="A163" t="n">
        <v>155</v>
      </c>
      <c r="B163" t="inlineStr">
        <is>
          <t>2036-10</t>
        </is>
      </c>
      <c r="C163" s="5" t="n">
        <v>0</v>
      </c>
      <c r="D163" s="5">
        <f>D162+C163</f>
        <v/>
      </c>
      <c r="E163" s="5" t="n">
        <v>0</v>
      </c>
      <c r="F163" s="5">
        <f>F162+E163</f>
        <v/>
      </c>
      <c r="G163" s="5" t="n">
        <v>0</v>
      </c>
      <c r="H163" s="5">
        <f>I162*Assumptions!$B$66/12</f>
        <v/>
      </c>
      <c r="I163" s="5">
        <f>I162+G163+H163</f>
        <v/>
      </c>
      <c r="J163" t="n">
        <v>733.4</v>
      </c>
      <c r="K163" s="5">
        <f>J163*Assumptions!$B$47*(1+Assumptions!$B$49)^((A163-32)/12)</f>
        <v/>
      </c>
      <c r="L163" s="5">
        <f>J163*Assumptions!$B$48*0.5*(1+Assumptions!$B$49)^((A163-32)/12)</f>
        <v/>
      </c>
      <c r="M163" s="5">
        <f>J163*Assumptions!$B$45/12*(1+Assumptions!$B$49)^((A163-32)/12)</f>
        <v/>
      </c>
      <c r="N163" s="5">
        <f>K163+L163-M163</f>
        <v/>
      </c>
      <c r="O163" s="5" t="n">
        <v>0</v>
      </c>
      <c r="P163" s="5">
        <f>N163+O163-C163</f>
        <v/>
      </c>
    </row>
    <row r="164">
      <c r="A164" t="n">
        <v>156</v>
      </c>
      <c r="B164" t="inlineStr">
        <is>
          <t>2036-11</t>
        </is>
      </c>
      <c r="C164" s="5" t="n">
        <v>0</v>
      </c>
      <c r="D164" s="5">
        <f>D163+C164</f>
        <v/>
      </c>
      <c r="E164" s="5" t="n">
        <v>0</v>
      </c>
      <c r="F164" s="5">
        <f>F163+E164</f>
        <v/>
      </c>
      <c r="G164" s="5" t="n">
        <v>0</v>
      </c>
      <c r="H164" s="5">
        <f>I163*Assumptions!$B$66/12</f>
        <v/>
      </c>
      <c r="I164" s="5">
        <f>I163+G164+H164</f>
        <v/>
      </c>
      <c r="J164" t="n">
        <v>733.4</v>
      </c>
      <c r="K164" s="5">
        <f>J164*Assumptions!$B$47*(1+Assumptions!$B$49)^((A164-32)/12)</f>
        <v/>
      </c>
      <c r="L164" s="5">
        <f>J164*Assumptions!$B$48*0.5*(1+Assumptions!$B$49)^((A164-32)/12)</f>
        <v/>
      </c>
      <c r="M164" s="5">
        <f>J164*Assumptions!$B$45/12*(1+Assumptions!$B$49)^((A164-32)/12)</f>
        <v/>
      </c>
      <c r="N164" s="5">
        <f>K164+L164-M164</f>
        <v/>
      </c>
      <c r="O164" s="5" t="n">
        <v>0</v>
      </c>
      <c r="P164" s="5">
        <f>N164+O164-C164</f>
        <v/>
      </c>
    </row>
    <row r="165">
      <c r="A165" t="n">
        <v>157</v>
      </c>
      <c r="B165" t="inlineStr">
        <is>
          <t>2036-12</t>
        </is>
      </c>
      <c r="C165" s="5" t="n">
        <v>0</v>
      </c>
      <c r="D165" s="5">
        <f>D164+C165</f>
        <v/>
      </c>
      <c r="E165" s="5" t="n">
        <v>0</v>
      </c>
      <c r="F165" s="5">
        <f>F164+E165</f>
        <v/>
      </c>
      <c r="G165" s="5" t="n">
        <v>0</v>
      </c>
      <c r="H165" s="5">
        <f>I164*Assumptions!$B$66/12</f>
        <v/>
      </c>
      <c r="I165" s="5">
        <f>I164+G165+H165</f>
        <v/>
      </c>
      <c r="J165" t="n">
        <v>733.4</v>
      </c>
      <c r="K165" s="5">
        <f>J165*Assumptions!$B$47*(1+Assumptions!$B$49)^((A165-32)/12)</f>
        <v/>
      </c>
      <c r="L165" s="5">
        <f>J165*Assumptions!$B$48*0.5*(1+Assumptions!$B$49)^((A165-32)/12)</f>
        <v/>
      </c>
      <c r="M165" s="5">
        <f>J165*Assumptions!$B$45/12*(1+Assumptions!$B$49)^((A165-32)/12)</f>
        <v/>
      </c>
      <c r="N165" s="5">
        <f>K165+L165-M165</f>
        <v/>
      </c>
      <c r="O165" s="5" t="n">
        <v>0</v>
      </c>
      <c r="P165" s="5">
        <f>N165+O165-C165</f>
        <v/>
      </c>
    </row>
    <row r="166">
      <c r="A166" t="n">
        <v>158</v>
      </c>
      <c r="B166" t="inlineStr">
        <is>
          <t>2037-01</t>
        </is>
      </c>
      <c r="C166" s="5" t="n">
        <v>0</v>
      </c>
      <c r="D166" s="5">
        <f>D165+C166</f>
        <v/>
      </c>
      <c r="E166" s="5" t="n">
        <v>0</v>
      </c>
      <c r="F166" s="5">
        <f>F165+E166</f>
        <v/>
      </c>
      <c r="G166" s="5" t="n">
        <v>0</v>
      </c>
      <c r="H166" s="5">
        <f>I165*Assumptions!$B$66/12</f>
        <v/>
      </c>
      <c r="I166" s="5">
        <f>I165+G166+H166</f>
        <v/>
      </c>
      <c r="J166" t="n">
        <v>733.4</v>
      </c>
      <c r="K166" s="5">
        <f>J166*Assumptions!$B$47*(1+Assumptions!$B$49)^((A166-32)/12)</f>
        <v/>
      </c>
      <c r="L166" s="5">
        <f>J166*Assumptions!$B$48*0.5*(1+Assumptions!$B$49)^((A166-32)/12)</f>
        <v/>
      </c>
      <c r="M166" s="5">
        <f>J166*Assumptions!$B$45/12*(1+Assumptions!$B$49)^((A166-32)/12)</f>
        <v/>
      </c>
      <c r="N166" s="5">
        <f>K166+L166-M166</f>
        <v/>
      </c>
      <c r="O166" s="5" t="n">
        <v>0</v>
      </c>
      <c r="P166" s="5">
        <f>N166+O166-C166</f>
        <v/>
      </c>
    </row>
    <row r="167">
      <c r="A167" t="n">
        <v>159</v>
      </c>
      <c r="B167" t="inlineStr">
        <is>
          <t>2037-02</t>
        </is>
      </c>
      <c r="C167" s="5" t="n">
        <v>0</v>
      </c>
      <c r="D167" s="5">
        <f>D166+C167</f>
        <v/>
      </c>
      <c r="E167" s="5" t="n">
        <v>0</v>
      </c>
      <c r="F167" s="5">
        <f>F166+E167</f>
        <v/>
      </c>
      <c r="G167" s="5" t="n">
        <v>0</v>
      </c>
      <c r="H167" s="5">
        <f>I166*Assumptions!$B$66/12</f>
        <v/>
      </c>
      <c r="I167" s="5">
        <f>I166+G167+H167</f>
        <v/>
      </c>
      <c r="J167" t="n">
        <v>733.4</v>
      </c>
      <c r="K167" s="5">
        <f>J167*Assumptions!$B$47*(1+Assumptions!$B$49)^((A167-32)/12)</f>
        <v/>
      </c>
      <c r="L167" s="5">
        <f>J167*Assumptions!$B$48*0.5*(1+Assumptions!$B$49)^((A167-32)/12)</f>
        <v/>
      </c>
      <c r="M167" s="5">
        <f>J167*Assumptions!$B$45/12*(1+Assumptions!$B$49)^((A167-32)/12)</f>
        <v/>
      </c>
      <c r="N167" s="5">
        <f>K167+L167-M167</f>
        <v/>
      </c>
      <c r="O167" s="5" t="n">
        <v>0</v>
      </c>
      <c r="P167" s="5">
        <f>N167+O167-C167</f>
        <v/>
      </c>
    </row>
    <row r="168">
      <c r="A168" t="n">
        <v>160</v>
      </c>
      <c r="B168" t="inlineStr">
        <is>
          <t>2037-03</t>
        </is>
      </c>
      <c r="C168" s="5" t="n">
        <v>0</v>
      </c>
      <c r="D168" s="5">
        <f>D167+C168</f>
        <v/>
      </c>
      <c r="E168" s="5" t="n">
        <v>0</v>
      </c>
      <c r="F168" s="5">
        <f>F167+E168</f>
        <v/>
      </c>
      <c r="G168" s="5" t="n">
        <v>0</v>
      </c>
      <c r="H168" s="5">
        <f>I167*Assumptions!$B$66/12</f>
        <v/>
      </c>
      <c r="I168" s="5">
        <f>I167+G168+H168</f>
        <v/>
      </c>
      <c r="J168" t="n">
        <v>733.4</v>
      </c>
      <c r="K168" s="5">
        <f>J168*Assumptions!$B$47*(1+Assumptions!$B$49)^((A168-32)/12)</f>
        <v/>
      </c>
      <c r="L168" s="5">
        <f>J168*Assumptions!$B$48*0.5*(1+Assumptions!$B$49)^((A168-32)/12)</f>
        <v/>
      </c>
      <c r="M168" s="5">
        <f>J168*Assumptions!$B$45/12*(1+Assumptions!$B$49)^((A168-32)/12)</f>
        <v/>
      </c>
      <c r="N168" s="5">
        <f>K168+L168-M168</f>
        <v/>
      </c>
      <c r="O168" s="5" t="n">
        <v>0</v>
      </c>
      <c r="P168" s="5">
        <f>N168+O168-C168</f>
        <v/>
      </c>
    </row>
    <row r="169">
      <c r="A169" t="n">
        <v>161</v>
      </c>
      <c r="B169" t="inlineStr">
        <is>
          <t>2037-04</t>
        </is>
      </c>
      <c r="C169" s="5" t="n">
        <v>0</v>
      </c>
      <c r="D169" s="5">
        <f>D168+C169</f>
        <v/>
      </c>
      <c r="E169" s="5" t="n">
        <v>0</v>
      </c>
      <c r="F169" s="5">
        <f>F168+E169</f>
        <v/>
      </c>
      <c r="G169" s="5" t="n">
        <v>0</v>
      </c>
      <c r="H169" s="5">
        <f>I168*Assumptions!$B$66/12</f>
        <v/>
      </c>
      <c r="I169" s="5">
        <f>I168+G169+H169</f>
        <v/>
      </c>
      <c r="J169" t="n">
        <v>733.4</v>
      </c>
      <c r="K169" s="5">
        <f>J169*Assumptions!$B$47*(1+Assumptions!$B$49)^((A169-32)/12)</f>
        <v/>
      </c>
      <c r="L169" s="5">
        <f>J169*Assumptions!$B$48*0.5*(1+Assumptions!$B$49)^((A169-32)/12)</f>
        <v/>
      </c>
      <c r="M169" s="5">
        <f>J169*Assumptions!$B$45/12*(1+Assumptions!$B$49)^((A169-32)/12)</f>
        <v/>
      </c>
      <c r="N169" s="5">
        <f>K169+L169-M169</f>
        <v/>
      </c>
      <c r="O169" s="5" t="n">
        <v>0</v>
      </c>
      <c r="P169" s="5">
        <f>N169+O169-C169</f>
        <v/>
      </c>
    </row>
    <row r="170">
      <c r="A170" t="n">
        <v>162</v>
      </c>
      <c r="B170" t="inlineStr">
        <is>
          <t>2037-05</t>
        </is>
      </c>
      <c r="C170" s="5" t="n">
        <v>0</v>
      </c>
      <c r="D170" s="5">
        <f>D169+C170</f>
        <v/>
      </c>
      <c r="E170" s="5" t="n">
        <v>0</v>
      </c>
      <c r="F170" s="5">
        <f>F169+E170</f>
        <v/>
      </c>
      <c r="G170" s="5" t="n">
        <v>0</v>
      </c>
      <c r="H170" s="5">
        <f>I169*Assumptions!$B$66/12</f>
        <v/>
      </c>
      <c r="I170" s="5">
        <f>I169+G170+H170</f>
        <v/>
      </c>
      <c r="J170" t="n">
        <v>733.4</v>
      </c>
      <c r="K170" s="5">
        <f>J170*Assumptions!$B$47*(1+Assumptions!$B$49)^((A170-32)/12)</f>
        <v/>
      </c>
      <c r="L170" s="5">
        <f>J170*Assumptions!$B$48*0.5*(1+Assumptions!$B$49)^((A170-32)/12)</f>
        <v/>
      </c>
      <c r="M170" s="5">
        <f>J170*Assumptions!$B$45/12*(1+Assumptions!$B$49)^((A170-32)/12)</f>
        <v/>
      </c>
      <c r="N170" s="5">
        <f>K170+L170-M170</f>
        <v/>
      </c>
      <c r="O170" s="5" t="n">
        <v>0</v>
      </c>
      <c r="P170" s="5">
        <f>N170+O170-C170</f>
        <v/>
      </c>
    </row>
    <row r="171">
      <c r="A171" t="n">
        <v>163</v>
      </c>
      <c r="B171" t="inlineStr">
        <is>
          <t>2037-06</t>
        </is>
      </c>
      <c r="C171" s="5" t="n">
        <v>0</v>
      </c>
      <c r="D171" s="5">
        <f>D170+C171</f>
        <v/>
      </c>
      <c r="E171" s="5" t="n">
        <v>0</v>
      </c>
      <c r="F171" s="5">
        <f>F170+E171</f>
        <v/>
      </c>
      <c r="G171" s="5" t="n">
        <v>0</v>
      </c>
      <c r="H171" s="5">
        <f>I170*Assumptions!$B$66/12</f>
        <v/>
      </c>
      <c r="I171" s="5">
        <f>I170+G171+H171</f>
        <v/>
      </c>
      <c r="J171" t="n">
        <v>733.4</v>
      </c>
      <c r="K171" s="5">
        <f>J171*Assumptions!$B$47*(1+Assumptions!$B$49)^((A171-32)/12)</f>
        <v/>
      </c>
      <c r="L171" s="5">
        <f>J171*Assumptions!$B$48*0.5*(1+Assumptions!$B$49)^((A171-32)/12)</f>
        <v/>
      </c>
      <c r="M171" s="5">
        <f>J171*Assumptions!$B$45/12*(1+Assumptions!$B$49)^((A171-32)/12)</f>
        <v/>
      </c>
      <c r="N171" s="5">
        <f>K171+L171-M171</f>
        <v/>
      </c>
      <c r="O171" s="5" t="n">
        <v>0</v>
      </c>
      <c r="P171" s="5">
        <f>N171+O171-C171</f>
        <v/>
      </c>
    </row>
    <row r="172">
      <c r="A172" s="1" t="inlineStr">
        <is>
          <t>TOTAL</t>
        </is>
      </c>
      <c r="C172" s="9">
        <f>SUM(C8:C171)</f>
        <v/>
      </c>
      <c r="E172" s="9">
        <f>SUM(E8:E171)</f>
        <v/>
      </c>
      <c r="G172" s="9">
        <f>SUM(G8:G171)</f>
        <v/>
      </c>
      <c r="H172" s="9">
        <f>SUM(H8:H171)</f>
        <v/>
      </c>
      <c r="K172" s="9">
        <f>SUM(K8:K171)</f>
        <v/>
      </c>
      <c r="L172" s="9">
        <f>SUM(L8:L171)</f>
        <v/>
      </c>
      <c r="M172" s="9">
        <f>SUM(M8:M171)</f>
        <v/>
      </c>
      <c r="N172" s="9">
        <f>SUM(N8:N171)</f>
        <v/>
      </c>
      <c r="O172" s="9">
        <f>SUM(O8:O171)</f>
        <v/>
      </c>
      <c r="P172" s="9">
        <f>SUM(P8:P171)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8" t="inlineStr">
        <is>
          <t>SCENARIO A - merchant build, sell in lease-up (the Highlands precedent)</t>
        </is>
      </c>
    </row>
    <row r="2">
      <c r="A2" s="2" t="inlineStr">
        <is>
          <t>Priced on STABILIZED NOI over the County guideline cap, market factor 1.00. A lease-up sale is priced on what the asset will produce, not on in-place NOI.</t>
        </is>
      </c>
    </row>
    <row r="6">
      <c r="A6" s="4" t="inlineStr">
        <is>
          <t>Month #</t>
        </is>
      </c>
      <c r="B6" s="4" t="inlineStr">
        <is>
          <t>Date</t>
        </is>
      </c>
      <c r="C6" s="4" t="inlineStr">
        <is>
          <t>NOI</t>
        </is>
      </c>
      <c r="D6" s="4" t="inlineStr">
        <is>
          <t>Dev cost</t>
        </is>
      </c>
      <c r="E6" s="4" t="inlineStr">
        <is>
          <t>Loan draw</t>
        </is>
      </c>
      <c r="F6" s="4" t="inlineStr">
        <is>
          <t>Interest cap</t>
        </is>
      </c>
      <c r="G6" s="4" t="inlineStr">
        <is>
          <t>Loan bal EOP</t>
        </is>
      </c>
      <c r="H6" s="4" t="inlineStr">
        <is>
          <t>Proceeds</t>
        </is>
      </c>
      <c r="I6" s="4" t="inlineStr">
        <is>
          <t>Loan repay</t>
        </is>
      </c>
      <c r="J6" s="4" t="inlineStr">
        <is>
          <t>Equity CF</t>
        </is>
      </c>
    </row>
    <row r="7">
      <c r="A7" t="n">
        <v>0</v>
      </c>
      <c r="B7" t="inlineStr">
        <is>
          <t>2023-11</t>
        </is>
      </c>
      <c r="C7" s="5" t="n">
        <v>0</v>
      </c>
      <c r="D7" s="5" t="n">
        <v>52000000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-52000000</v>
      </c>
    </row>
    <row r="8">
      <c r="A8" t="n">
        <v>1</v>
      </c>
      <c r="B8" t="inlineStr">
        <is>
          <t>2023-12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</row>
    <row r="9">
      <c r="A9" t="n">
        <v>2</v>
      </c>
      <c r="B9" t="inlineStr">
        <is>
          <t>2024-01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</row>
    <row r="10">
      <c r="A10" t="n">
        <v>3</v>
      </c>
      <c r="B10" t="inlineStr">
        <is>
          <t>2024-02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t="n">
        <v>4</v>
      </c>
      <c r="B11" t="inlineStr">
        <is>
          <t>2024-03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</row>
    <row r="12">
      <c r="A12" t="n">
        <v>5</v>
      </c>
      <c r="B12" t="inlineStr">
        <is>
          <t>2024-04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</row>
    <row r="13">
      <c r="A13" t="n">
        <v>6</v>
      </c>
      <c r="B13" t="inlineStr">
        <is>
          <t>2024-05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</row>
    <row r="14">
      <c r="A14" t="n">
        <v>7</v>
      </c>
      <c r="B14" t="inlineStr">
        <is>
          <t>2024-06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</row>
    <row r="15">
      <c r="A15" t="n">
        <v>8</v>
      </c>
      <c r="B15" t="inlineStr">
        <is>
          <t>2024-07</t>
        </is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</row>
    <row r="16">
      <c r="A16" t="n">
        <v>9</v>
      </c>
      <c r="B16" t="inlineStr">
        <is>
          <t>2024-08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</row>
    <row r="17">
      <c r="A17" t="n">
        <v>10</v>
      </c>
      <c r="B17" t="inlineStr">
        <is>
          <t>2024-09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</row>
    <row r="18">
      <c r="A18" t="n">
        <v>11</v>
      </c>
      <c r="B18" t="inlineStr">
        <is>
          <t>2024-10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</row>
    <row r="19">
      <c r="A19" t="n">
        <v>12</v>
      </c>
      <c r="B19" t="inlineStr">
        <is>
          <t>2024-11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</row>
    <row r="20">
      <c r="A20" t="n">
        <v>13</v>
      </c>
      <c r="B20" t="inlineStr">
        <is>
          <t>2024-12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</row>
    <row r="21">
      <c r="A21" t="n">
        <v>14</v>
      </c>
      <c r="B21" t="inlineStr">
        <is>
          <t>2025-01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</row>
    <row r="22">
      <c r="A22" t="n">
        <v>15</v>
      </c>
      <c r="B22" t="inlineStr">
        <is>
          <t>2025-02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</row>
    <row r="23">
      <c r="A23" t="n">
        <v>16</v>
      </c>
      <c r="B23" t="inlineStr">
        <is>
          <t>2025-03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</row>
    <row r="24">
      <c r="A24" t="n">
        <v>17</v>
      </c>
      <c r="B24" t="inlineStr">
        <is>
          <t>2025-04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</row>
    <row r="25">
      <c r="A25" t="n">
        <v>18</v>
      </c>
      <c r="B25" t="inlineStr">
        <is>
          <t>2025-05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</row>
    <row r="26">
      <c r="A26" t="n">
        <v>19</v>
      </c>
      <c r="B26" t="inlineStr">
        <is>
          <t>2025-06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</row>
    <row r="27">
      <c r="A27" t="n">
        <v>20</v>
      </c>
      <c r="B27" t="inlineStr">
        <is>
          <t>2025-07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</row>
    <row r="28">
      <c r="A28" t="n">
        <v>21</v>
      </c>
      <c r="B28" t="inlineStr">
        <is>
          <t>2025-08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</row>
    <row r="29">
      <c r="A29" t="n">
        <v>22</v>
      </c>
      <c r="B29" t="inlineStr">
        <is>
          <t>2025-09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</row>
    <row r="30">
      <c r="A30" t="n">
        <v>23</v>
      </c>
      <c r="B30" t="inlineStr">
        <is>
          <t>2025-10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</row>
    <row r="31">
      <c r="A31" t="n">
        <v>24</v>
      </c>
      <c r="B31" t="inlineStr">
        <is>
          <t>2025-11</t>
        </is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</row>
    <row r="32">
      <c r="A32" t="n">
        <v>25</v>
      </c>
      <c r="B32" t="inlineStr">
        <is>
          <t>2025-12</t>
        </is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</row>
    <row r="33">
      <c r="A33" t="n">
        <v>26</v>
      </c>
      <c r="B33" t="inlineStr">
        <is>
          <t>2026-01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</row>
    <row r="34">
      <c r="A34" t="n">
        <v>27</v>
      </c>
      <c r="B34" t="inlineStr">
        <is>
          <t>2026-02</t>
        </is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</row>
    <row r="35">
      <c r="A35" t="n">
        <v>28</v>
      </c>
      <c r="B35" t="inlineStr">
        <is>
          <t>2026-03</t>
        </is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</row>
    <row r="36">
      <c r="A36" t="n">
        <v>29</v>
      </c>
      <c r="B36" t="inlineStr">
        <is>
          <t>2026-04</t>
        </is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</row>
    <row r="37">
      <c r="A37" t="n">
        <v>30</v>
      </c>
      <c r="B37" t="inlineStr">
        <is>
          <t>2026-05</t>
        </is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</row>
    <row r="38">
      <c r="A38" t="n">
        <v>31</v>
      </c>
      <c r="B38" t="inlineStr">
        <is>
          <t>2026-06</t>
        </is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</row>
    <row r="39">
      <c r="A39" t="n">
        <v>32</v>
      </c>
      <c r="B39" t="inlineStr">
        <is>
          <t>2026-07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</row>
    <row r="40">
      <c r="A40" t="n">
        <v>33</v>
      </c>
      <c r="B40" t="inlineStr">
        <is>
          <t>2026-08</t>
        </is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</row>
    <row r="41">
      <c r="A41" t="n">
        <v>34</v>
      </c>
      <c r="B41" t="inlineStr">
        <is>
          <t>2026-09</t>
        </is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</row>
    <row r="42">
      <c r="A42" t="n">
        <v>35</v>
      </c>
      <c r="B42" t="inlineStr">
        <is>
          <t>2026-10</t>
        </is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</row>
    <row r="43">
      <c r="A43" t="n">
        <v>36</v>
      </c>
      <c r="B43" t="inlineStr">
        <is>
          <t>2026-11</t>
        </is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</row>
    <row r="44">
      <c r="A44" t="n">
        <v>37</v>
      </c>
      <c r="B44" t="inlineStr">
        <is>
          <t>2026-12</t>
        </is>
      </c>
      <c r="C44" s="5" t="n">
        <v>0</v>
      </c>
      <c r="D44" s="5" t="n">
        <v>10435895.32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-10435895.32</v>
      </c>
    </row>
    <row r="45">
      <c r="A45" t="n">
        <v>38</v>
      </c>
      <c r="B45" t="inlineStr">
        <is>
          <t>2027-01</t>
        </is>
      </c>
      <c r="C45" s="5" t="n">
        <v>0</v>
      </c>
      <c r="D45" s="5" t="n">
        <v>3442179.04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-3442179.04</v>
      </c>
    </row>
    <row r="46">
      <c r="A46" t="n">
        <v>39</v>
      </c>
      <c r="B46" t="inlineStr">
        <is>
          <t>2027-02</t>
        </is>
      </c>
      <c r="C46" s="5" t="n">
        <v>0</v>
      </c>
      <c r="D46" s="5" t="n">
        <v>5037335.19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-5037335.19</v>
      </c>
    </row>
    <row r="47">
      <c r="A47" t="n">
        <v>40</v>
      </c>
      <c r="B47" t="inlineStr">
        <is>
          <t>2027-03</t>
        </is>
      </c>
      <c r="C47" s="5" t="n">
        <v>0</v>
      </c>
      <c r="D47" s="5" t="n">
        <v>6548535.74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-6548535.74</v>
      </c>
    </row>
    <row r="48">
      <c r="A48" t="n">
        <v>41</v>
      </c>
      <c r="B48" t="inlineStr">
        <is>
          <t>2027-04</t>
        </is>
      </c>
      <c r="C48" s="5" t="n">
        <v>0</v>
      </c>
      <c r="D48" s="5" t="n">
        <v>7975780.71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-7975780.71</v>
      </c>
    </row>
    <row r="49">
      <c r="A49" t="n">
        <v>42</v>
      </c>
      <c r="B49" t="inlineStr">
        <is>
          <t>2027-05</t>
        </is>
      </c>
      <c r="C49" s="5" t="n">
        <v>0</v>
      </c>
      <c r="D49" s="5" t="n">
        <v>9319070.1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-9319070.1</v>
      </c>
    </row>
    <row r="50">
      <c r="A50" t="n">
        <v>43</v>
      </c>
      <c r="B50" t="inlineStr">
        <is>
          <t>2027-06</t>
        </is>
      </c>
      <c r="C50" s="5" t="n">
        <v>0</v>
      </c>
      <c r="D50" s="5" t="n">
        <v>10578403.89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-10578403.89</v>
      </c>
    </row>
    <row r="51">
      <c r="A51" t="n">
        <v>44</v>
      </c>
      <c r="B51" t="inlineStr">
        <is>
          <t>2027-07</t>
        </is>
      </c>
      <c r="C51" s="5" t="n">
        <v>0</v>
      </c>
      <c r="D51" s="5" t="n">
        <v>11753782.1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-11753782.1</v>
      </c>
    </row>
    <row r="52">
      <c r="A52" t="n">
        <v>45</v>
      </c>
      <c r="B52" t="inlineStr">
        <is>
          <t>2027-08</t>
        </is>
      </c>
      <c r="C52" s="5" t="n">
        <v>0</v>
      </c>
      <c r="D52" s="5" t="n">
        <v>12845204.73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-12845204.73</v>
      </c>
    </row>
    <row r="53">
      <c r="A53" t="n">
        <v>46</v>
      </c>
      <c r="B53" t="inlineStr">
        <is>
          <t>2027-09</t>
        </is>
      </c>
      <c r="C53" s="5" t="n">
        <v>0</v>
      </c>
      <c r="D53" s="5" t="n">
        <v>13852671.77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-13852671.77</v>
      </c>
    </row>
    <row r="54">
      <c r="A54" t="n">
        <v>47</v>
      </c>
      <c r="B54" t="inlineStr">
        <is>
          <t>2027-10</t>
        </is>
      </c>
      <c r="C54" s="5" t="n">
        <v>0</v>
      </c>
      <c r="D54" s="5" t="n">
        <v>14776183.22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-14776183.22</v>
      </c>
    </row>
    <row r="55">
      <c r="A55" t="n">
        <v>48</v>
      </c>
      <c r="B55" t="inlineStr">
        <is>
          <t>2027-11</t>
        </is>
      </c>
      <c r="C55" s="5" t="n">
        <v>0</v>
      </c>
      <c r="D55" s="5" t="n">
        <v>15615739.08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-15615739.08</v>
      </c>
    </row>
    <row r="56">
      <c r="A56" t="n">
        <v>49</v>
      </c>
      <c r="B56" t="inlineStr">
        <is>
          <t>2027-12</t>
        </is>
      </c>
      <c r="C56" s="5" t="n">
        <v>0</v>
      </c>
      <c r="D56" s="5" t="n">
        <v>16371339.36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-16371339.36</v>
      </c>
    </row>
    <row r="57">
      <c r="A57" t="n">
        <v>50</v>
      </c>
      <c r="B57" t="inlineStr">
        <is>
          <t>2028-01</t>
        </is>
      </c>
      <c r="C57" s="5" t="n">
        <v>0</v>
      </c>
      <c r="D57" s="5" t="n">
        <v>17042984.05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-17042984.05</v>
      </c>
    </row>
    <row r="58">
      <c r="A58" t="n">
        <v>51</v>
      </c>
      <c r="B58" t="inlineStr">
        <is>
          <t>2028-02</t>
        </is>
      </c>
      <c r="C58" s="5" t="n">
        <v>0</v>
      </c>
      <c r="D58" s="5" t="n">
        <v>17630673.16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-17630673.16</v>
      </c>
    </row>
    <row r="59">
      <c r="A59" t="n">
        <v>52</v>
      </c>
      <c r="B59" t="inlineStr">
        <is>
          <t>2028-03</t>
        </is>
      </c>
      <c r="C59" s="5" t="n">
        <v>0</v>
      </c>
      <c r="D59" s="5" t="n">
        <v>18134406.67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-18134406.67</v>
      </c>
    </row>
    <row r="60">
      <c r="A60" t="n">
        <v>53</v>
      </c>
      <c r="B60" t="inlineStr">
        <is>
          <t>2028-04</t>
        </is>
      </c>
      <c r="C60" s="5" t="n">
        <v>0</v>
      </c>
      <c r="D60" s="5" t="n">
        <v>18554184.61</v>
      </c>
      <c r="E60" s="5" t="n">
        <v>12245486.13</v>
      </c>
      <c r="F60" s="5" t="n">
        <v>0</v>
      </c>
      <c r="G60" s="5" t="n">
        <v>12245486.13</v>
      </c>
      <c r="H60" s="5" t="n">
        <v>0</v>
      </c>
      <c r="I60" s="5" t="n">
        <v>0</v>
      </c>
      <c r="J60" s="5" t="n">
        <v>-6308698.48</v>
      </c>
    </row>
    <row r="61">
      <c r="A61" t="n">
        <v>54</v>
      </c>
      <c r="B61" t="inlineStr">
        <is>
          <t>2028-05</t>
        </is>
      </c>
      <c r="C61" s="5" t="n">
        <v>0</v>
      </c>
      <c r="D61" s="5" t="n">
        <v>18890006.95</v>
      </c>
      <c r="E61" s="5" t="n">
        <v>18890006.95</v>
      </c>
      <c r="F61" s="5" t="n">
        <v>65309.26</v>
      </c>
      <c r="G61" s="5" t="n">
        <v>31200802.34</v>
      </c>
      <c r="H61" s="5" t="n">
        <v>0</v>
      </c>
      <c r="I61" s="5" t="n">
        <v>0</v>
      </c>
      <c r="J61" s="5" t="n">
        <v>0</v>
      </c>
    </row>
    <row r="62">
      <c r="A62" t="n">
        <v>55</v>
      </c>
      <c r="B62" t="inlineStr">
        <is>
          <t>2028-06</t>
        </is>
      </c>
      <c r="C62" s="5" t="n">
        <v>0</v>
      </c>
      <c r="D62" s="5" t="n">
        <v>19141873.71</v>
      </c>
      <c r="E62" s="5" t="n">
        <v>19141873.71</v>
      </c>
      <c r="F62" s="5" t="n">
        <v>166404.28</v>
      </c>
      <c r="G62" s="5" t="n">
        <v>50509080.33</v>
      </c>
      <c r="H62" s="5" t="n">
        <v>0</v>
      </c>
      <c r="I62" s="5" t="n">
        <v>0</v>
      </c>
      <c r="J62" s="5" t="n">
        <v>0</v>
      </c>
    </row>
    <row r="63">
      <c r="A63" t="n">
        <v>56</v>
      </c>
      <c r="B63" t="inlineStr">
        <is>
          <t>2028-07</t>
        </is>
      </c>
      <c r="C63" s="5" t="n">
        <v>0</v>
      </c>
      <c r="D63" s="5" t="n">
        <v>19309784.88</v>
      </c>
      <c r="E63" s="5" t="n">
        <v>19309784.88</v>
      </c>
      <c r="F63" s="5" t="n">
        <v>269381.76</v>
      </c>
      <c r="G63" s="5" t="n">
        <v>70088246.98</v>
      </c>
      <c r="H63" s="5" t="n">
        <v>0</v>
      </c>
      <c r="I63" s="5" t="n">
        <v>0</v>
      </c>
      <c r="J63" s="5" t="n">
        <v>0</v>
      </c>
    </row>
    <row r="64">
      <c r="A64" t="n">
        <v>57</v>
      </c>
      <c r="B64" t="inlineStr">
        <is>
          <t>2028-08</t>
        </is>
      </c>
      <c r="C64" s="5" t="n">
        <v>0</v>
      </c>
      <c r="D64" s="5" t="n">
        <v>19393740.47</v>
      </c>
      <c r="E64" s="5" t="n">
        <v>19393740.47</v>
      </c>
      <c r="F64" s="5" t="n">
        <v>373803.98</v>
      </c>
      <c r="G64" s="5" t="n">
        <v>89855791.44</v>
      </c>
      <c r="H64" s="5" t="n">
        <v>0</v>
      </c>
      <c r="I64" s="5" t="n">
        <v>0</v>
      </c>
      <c r="J64" s="5" t="n">
        <v>0</v>
      </c>
    </row>
    <row r="65">
      <c r="A65" t="n">
        <v>58</v>
      </c>
      <c r="B65" t="inlineStr">
        <is>
          <t>2028-09</t>
        </is>
      </c>
      <c r="C65" s="5" t="n">
        <v>0</v>
      </c>
      <c r="D65" s="5" t="n">
        <v>19393740.47</v>
      </c>
      <c r="E65" s="5" t="n">
        <v>19393740.47</v>
      </c>
      <c r="F65" s="5" t="n">
        <v>479230.89</v>
      </c>
      <c r="G65" s="5" t="n">
        <v>109728762.79</v>
      </c>
      <c r="H65" s="5" t="n">
        <v>0</v>
      </c>
      <c r="I65" s="5" t="n">
        <v>0</v>
      </c>
      <c r="J65" s="5" t="n">
        <v>0</v>
      </c>
    </row>
    <row r="66">
      <c r="A66" t="n">
        <v>59</v>
      </c>
      <c r="B66" t="inlineStr">
        <is>
          <t>2028-10</t>
        </is>
      </c>
      <c r="C66" s="5" t="n">
        <v>0</v>
      </c>
      <c r="D66" s="5" t="n">
        <v>19309784.88</v>
      </c>
      <c r="E66" s="5" t="n">
        <v>19309784.88</v>
      </c>
      <c r="F66" s="5" t="n">
        <v>585220.0699999999</v>
      </c>
      <c r="G66" s="5" t="n">
        <v>129623767.75</v>
      </c>
      <c r="H66" s="5" t="n">
        <v>0</v>
      </c>
      <c r="I66" s="5" t="n">
        <v>0</v>
      </c>
      <c r="J66" s="5" t="n">
        <v>0</v>
      </c>
    </row>
    <row r="67">
      <c r="A67" t="n">
        <v>60</v>
      </c>
      <c r="B67" t="inlineStr">
        <is>
          <t>2028-11</t>
        </is>
      </c>
      <c r="C67" s="5" t="n">
        <v>0</v>
      </c>
      <c r="D67" s="5" t="n">
        <v>19141873.71</v>
      </c>
      <c r="E67" s="5" t="n">
        <v>19141873.71</v>
      </c>
      <c r="F67" s="5" t="n">
        <v>691326.76</v>
      </c>
      <c r="G67" s="5" t="n">
        <v>149456968.22</v>
      </c>
      <c r="H67" s="5" t="n">
        <v>0</v>
      </c>
      <c r="I67" s="5" t="n">
        <v>0</v>
      </c>
      <c r="J67" s="5" t="n">
        <v>0</v>
      </c>
    </row>
    <row r="68">
      <c r="A68" t="n">
        <v>61</v>
      </c>
      <c r="B68" t="inlineStr">
        <is>
          <t>2028-12</t>
        </is>
      </c>
      <c r="C68" s="5" t="n">
        <v>0</v>
      </c>
      <c r="D68" s="5" t="n">
        <v>18890006.95</v>
      </c>
      <c r="E68" s="5" t="n">
        <v>18890006.95</v>
      </c>
      <c r="F68" s="5" t="n">
        <v>797103.83</v>
      </c>
      <c r="G68" s="5" t="n">
        <v>169144079</v>
      </c>
      <c r="H68" s="5" t="n">
        <v>0</v>
      </c>
      <c r="I68" s="5" t="n">
        <v>0</v>
      </c>
      <c r="J68" s="5" t="n">
        <v>0</v>
      </c>
    </row>
    <row r="69">
      <c r="A69" t="n">
        <v>62</v>
      </c>
      <c r="B69" t="inlineStr">
        <is>
          <t>2029-01</t>
        </is>
      </c>
      <c r="C69" s="5" t="n">
        <v>0</v>
      </c>
      <c r="D69" s="5" t="n">
        <v>18554184.61</v>
      </c>
      <c r="E69" s="5" t="n">
        <v>18554184.61</v>
      </c>
      <c r="F69" s="5" t="n">
        <v>902101.75</v>
      </c>
      <c r="G69" s="5" t="n">
        <v>188600365.36</v>
      </c>
      <c r="H69" s="5" t="n">
        <v>0</v>
      </c>
      <c r="I69" s="5" t="n">
        <v>0</v>
      </c>
      <c r="J69" s="5" t="n">
        <v>0</v>
      </c>
    </row>
    <row r="70">
      <c r="A70" t="n">
        <v>63</v>
      </c>
      <c r="B70" t="inlineStr">
        <is>
          <t>2029-02</t>
        </is>
      </c>
      <c r="C70" s="5" t="n">
        <v>0</v>
      </c>
      <c r="D70" s="5" t="n">
        <v>18134406.67</v>
      </c>
      <c r="E70" s="5" t="n">
        <v>18134406.67</v>
      </c>
      <c r="F70" s="5" t="n">
        <v>1005868.62</v>
      </c>
      <c r="G70" s="5" t="n">
        <v>207740640.65</v>
      </c>
      <c r="H70" s="5" t="n">
        <v>0</v>
      </c>
      <c r="I70" s="5" t="n">
        <v>0</v>
      </c>
      <c r="J70" s="5" t="n">
        <v>0</v>
      </c>
    </row>
    <row r="71">
      <c r="A71" t="n">
        <v>64</v>
      </c>
      <c r="B71" t="inlineStr">
        <is>
          <t>2029-03</t>
        </is>
      </c>
      <c r="C71" s="5" t="n">
        <v>0</v>
      </c>
      <c r="D71" s="5" t="n">
        <v>17630673.16</v>
      </c>
      <c r="E71" s="5" t="n">
        <v>17630673.16</v>
      </c>
      <c r="F71" s="5" t="n">
        <v>1107950.08</v>
      </c>
      <c r="G71" s="5" t="n">
        <v>226479263.89</v>
      </c>
      <c r="H71" s="5" t="n">
        <v>0</v>
      </c>
      <c r="I71" s="5" t="n">
        <v>0</v>
      </c>
      <c r="J71" s="5" t="n">
        <v>0</v>
      </c>
    </row>
    <row r="72">
      <c r="A72" t="n">
        <v>65</v>
      </c>
      <c r="B72" t="inlineStr">
        <is>
          <t>2029-04</t>
        </is>
      </c>
      <c r="C72" s="5" t="n">
        <v>0</v>
      </c>
      <c r="D72" s="5" t="n">
        <v>17042984.05</v>
      </c>
      <c r="E72" s="5" t="n">
        <v>17042984.05</v>
      </c>
      <c r="F72" s="5" t="n">
        <v>1207889.41</v>
      </c>
      <c r="G72" s="5" t="n">
        <v>244730137.35</v>
      </c>
      <c r="H72" s="5" t="n">
        <v>0</v>
      </c>
      <c r="I72" s="5" t="n">
        <v>0</v>
      </c>
      <c r="J72" s="5" t="n">
        <v>0</v>
      </c>
    </row>
    <row r="73">
      <c r="A73" t="n">
        <v>66</v>
      </c>
      <c r="B73" t="inlineStr">
        <is>
          <t>2029-05</t>
        </is>
      </c>
      <c r="C73" s="5" t="n">
        <v>0</v>
      </c>
      <c r="D73" s="5" t="n">
        <v>16371339.36</v>
      </c>
      <c r="E73" s="5" t="n">
        <v>16371339.36</v>
      </c>
      <c r="F73" s="5" t="n">
        <v>1305227.4</v>
      </c>
      <c r="G73" s="5" t="n">
        <v>262406704.11</v>
      </c>
      <c r="H73" s="5" t="n">
        <v>0</v>
      </c>
      <c r="I73" s="5" t="n">
        <v>0</v>
      </c>
      <c r="J73" s="5" t="n">
        <v>0</v>
      </c>
    </row>
    <row r="74">
      <c r="A74" t="n">
        <v>67</v>
      </c>
      <c r="B74" t="inlineStr">
        <is>
          <t>2029-06</t>
        </is>
      </c>
      <c r="C74" s="5" t="n">
        <v>0</v>
      </c>
      <c r="D74" s="5" t="n">
        <v>15615739.08</v>
      </c>
      <c r="E74" s="5" t="n">
        <v>15615739.08</v>
      </c>
      <c r="F74" s="5" t="n">
        <v>1399502.42</v>
      </c>
      <c r="G74" s="5" t="n">
        <v>279421945.61</v>
      </c>
      <c r="H74" s="5" t="n">
        <v>0</v>
      </c>
      <c r="I74" s="5" t="n">
        <v>0</v>
      </c>
      <c r="J74" s="5" t="n">
        <v>0</v>
      </c>
    </row>
    <row r="75">
      <c r="A75" t="n">
        <v>68</v>
      </c>
      <c r="B75" t="inlineStr">
        <is>
          <t>2029-07</t>
        </is>
      </c>
      <c r="C75" s="5" t="n">
        <v>0</v>
      </c>
      <c r="D75" s="5" t="n">
        <v>14776183.22</v>
      </c>
      <c r="E75" s="5" t="n">
        <v>14776183.22</v>
      </c>
      <c r="F75" s="5" t="n">
        <v>1490250.38</v>
      </c>
      <c r="G75" s="5" t="n">
        <v>295688379.21</v>
      </c>
      <c r="H75" s="5" t="n">
        <v>0</v>
      </c>
      <c r="I75" s="5" t="n">
        <v>0</v>
      </c>
      <c r="J75" s="5" t="n">
        <v>0</v>
      </c>
    </row>
    <row r="76">
      <c r="A76" t="n">
        <v>69</v>
      </c>
      <c r="B76" t="inlineStr">
        <is>
          <t>2029-08</t>
        </is>
      </c>
      <c r="C76" s="5" t="n">
        <v>0</v>
      </c>
      <c r="D76" s="5" t="n">
        <v>13852671.77</v>
      </c>
      <c r="E76" s="5" t="n">
        <v>13852671.77</v>
      </c>
      <c r="F76" s="5" t="n">
        <v>1577004.69</v>
      </c>
      <c r="G76" s="5" t="n">
        <v>311118055.66</v>
      </c>
      <c r="H76" s="5" t="n">
        <v>0</v>
      </c>
      <c r="I76" s="5" t="n">
        <v>0</v>
      </c>
      <c r="J76" s="5" t="n">
        <v>0</v>
      </c>
    </row>
    <row r="77">
      <c r="A77" t="n">
        <v>70</v>
      </c>
      <c r="B77" t="inlineStr">
        <is>
          <t>2029-09</t>
        </is>
      </c>
      <c r="C77" s="5" t="n">
        <v>0</v>
      </c>
      <c r="D77" s="5" t="n">
        <v>12845204.73</v>
      </c>
      <c r="E77" s="5" t="n">
        <v>12845204.73</v>
      </c>
      <c r="F77" s="5" t="n">
        <v>1659296.3</v>
      </c>
      <c r="G77" s="5" t="n">
        <v>325622556.68</v>
      </c>
      <c r="H77" s="5" t="n">
        <v>0</v>
      </c>
      <c r="I77" s="5" t="n">
        <v>0</v>
      </c>
      <c r="J77" s="5" t="n">
        <v>0</v>
      </c>
    </row>
    <row r="78">
      <c r="A78" t="n">
        <v>71</v>
      </c>
      <c r="B78" t="inlineStr">
        <is>
          <t>2029-10</t>
        </is>
      </c>
      <c r="C78" s="5" t="n">
        <v>0</v>
      </c>
      <c r="D78" s="5" t="n">
        <v>11753782.1</v>
      </c>
      <c r="E78" s="5" t="n">
        <v>6213125.79</v>
      </c>
      <c r="F78" s="5" t="n">
        <v>1736653.64</v>
      </c>
      <c r="G78" s="5" t="n">
        <v>333572336.11</v>
      </c>
      <c r="H78" s="5" t="n">
        <v>0</v>
      </c>
      <c r="I78" s="5" t="n">
        <v>0</v>
      </c>
      <c r="J78" s="5" t="n">
        <v>-5540656.32</v>
      </c>
    </row>
    <row r="79">
      <c r="A79" t="n">
        <v>72</v>
      </c>
      <c r="B79" t="inlineStr">
        <is>
          <t>2029-11</t>
        </is>
      </c>
      <c r="C79" s="5" t="n">
        <v>0</v>
      </c>
      <c r="D79" s="5" t="n">
        <v>10578403.89</v>
      </c>
      <c r="E79" s="5" t="n">
        <v>0</v>
      </c>
      <c r="F79" s="5" t="n">
        <v>1779052.46</v>
      </c>
      <c r="G79" s="5" t="n">
        <v>335351388.57</v>
      </c>
      <c r="H79" s="5" t="n">
        <v>0</v>
      </c>
      <c r="I79" s="5" t="n">
        <v>0</v>
      </c>
      <c r="J79" s="5" t="n">
        <v>-10578403.89</v>
      </c>
    </row>
    <row r="80">
      <c r="A80" t="n">
        <v>73</v>
      </c>
      <c r="B80" t="inlineStr">
        <is>
          <t>2029-12</t>
        </is>
      </c>
      <c r="C80" s="5" t="n">
        <v>0</v>
      </c>
      <c r="D80" s="5" t="n">
        <v>9319070.1</v>
      </c>
      <c r="E80" s="5" t="n">
        <v>0</v>
      </c>
      <c r="F80" s="5" t="n">
        <v>1788540.74</v>
      </c>
      <c r="G80" s="5" t="n">
        <v>337139929.3</v>
      </c>
      <c r="H80" s="5" t="n">
        <v>0</v>
      </c>
      <c r="I80" s="5" t="n">
        <v>0</v>
      </c>
      <c r="J80" s="5" t="n">
        <v>-9319070.1</v>
      </c>
    </row>
    <row r="81">
      <c r="A81" t="n">
        <v>74</v>
      </c>
      <c r="B81" t="inlineStr">
        <is>
          <t>2030-01</t>
        </is>
      </c>
      <c r="C81" s="5" t="n">
        <v>0</v>
      </c>
      <c r="D81" s="5" t="n">
        <v>7975780.71</v>
      </c>
      <c r="E81" s="5" t="n">
        <v>0</v>
      </c>
      <c r="F81" s="5" t="n">
        <v>1798079.62</v>
      </c>
      <c r="G81" s="5" t="n">
        <v>338938008.93</v>
      </c>
      <c r="H81" s="5" t="n">
        <v>0</v>
      </c>
      <c r="I81" s="5" t="n">
        <v>0</v>
      </c>
      <c r="J81" s="5" t="n">
        <v>-7975780.71</v>
      </c>
    </row>
    <row r="82">
      <c r="A82" t="n">
        <v>75</v>
      </c>
      <c r="B82" t="inlineStr">
        <is>
          <t>2030-02</t>
        </is>
      </c>
      <c r="C82" s="5" t="n">
        <v>0</v>
      </c>
      <c r="D82" s="5" t="n">
        <v>6548535.74</v>
      </c>
      <c r="E82" s="5" t="n">
        <v>0</v>
      </c>
      <c r="F82" s="5" t="n">
        <v>1807669.38</v>
      </c>
      <c r="G82" s="5" t="n">
        <v>340745678.31</v>
      </c>
      <c r="H82" s="5" t="n">
        <v>0</v>
      </c>
      <c r="I82" s="5" t="n">
        <v>0</v>
      </c>
      <c r="J82" s="5" t="n">
        <v>-6548535.74</v>
      </c>
    </row>
    <row r="83">
      <c r="A83" t="n">
        <v>76</v>
      </c>
      <c r="B83" t="inlineStr">
        <is>
          <t>2030-03</t>
        </is>
      </c>
      <c r="C83" s="5" t="n">
        <v>0</v>
      </c>
      <c r="D83" s="5" t="n">
        <v>5037335.19</v>
      </c>
      <c r="E83" s="5" t="n">
        <v>0</v>
      </c>
      <c r="F83" s="5" t="n">
        <v>1817310.28</v>
      </c>
      <c r="G83" s="5" t="n">
        <v>342562988.59</v>
      </c>
      <c r="H83" s="5" t="n">
        <v>0</v>
      </c>
      <c r="I83" s="5" t="n">
        <v>0</v>
      </c>
      <c r="J83" s="5" t="n">
        <v>-5037335.19</v>
      </c>
    </row>
    <row r="84">
      <c r="A84" t="n">
        <v>77</v>
      </c>
      <c r="B84" t="inlineStr">
        <is>
          <t>2030-04</t>
        </is>
      </c>
      <c r="C84" s="5" t="n">
        <v>0</v>
      </c>
      <c r="D84" s="5" t="n">
        <v>3442179.04</v>
      </c>
      <c r="E84" s="5" t="n">
        <v>0</v>
      </c>
      <c r="F84" s="5" t="n">
        <v>1827002.61</v>
      </c>
      <c r="G84" s="5" t="n">
        <v>344389991.2</v>
      </c>
      <c r="H84" s="5" t="n">
        <v>0</v>
      </c>
      <c r="I84" s="5" t="n">
        <v>0</v>
      </c>
      <c r="J84" s="5" t="n">
        <v>-3442179.04</v>
      </c>
    </row>
    <row r="85">
      <c r="A85" t="n">
        <v>78</v>
      </c>
      <c r="B85" t="inlineStr">
        <is>
          <t>2030-05</t>
        </is>
      </c>
      <c r="C85" s="5" t="n">
        <v>0</v>
      </c>
      <c r="D85" s="5" t="n">
        <v>1763067.32</v>
      </c>
      <c r="E85" s="5" t="n">
        <v>0</v>
      </c>
      <c r="F85" s="5" t="n">
        <v>1836746.62</v>
      </c>
      <c r="G85" s="5" t="n">
        <v>346226737.82</v>
      </c>
      <c r="H85" s="5" t="n">
        <v>0</v>
      </c>
      <c r="I85" s="5" t="n">
        <v>0</v>
      </c>
      <c r="J85" s="5" t="n">
        <v>-1763067.32</v>
      </c>
    </row>
    <row r="86">
      <c r="A86" t="n">
        <v>79</v>
      </c>
      <c r="B86" t="inlineStr">
        <is>
          <t>2030-06</t>
        </is>
      </c>
      <c r="C86" s="5" t="n">
        <v>56210.08</v>
      </c>
      <c r="D86" s="5" t="n">
        <v>3428954</v>
      </c>
      <c r="E86" s="5" t="n">
        <v>0</v>
      </c>
      <c r="F86" s="5" t="n">
        <v>1846542.6</v>
      </c>
      <c r="G86" s="5" t="n">
        <v>342685447.13</v>
      </c>
      <c r="H86" s="5" t="n">
        <v>5387833.29</v>
      </c>
      <c r="I86" s="5" t="n">
        <v>5387833.29</v>
      </c>
      <c r="J86" s="5" t="n">
        <v>-3372743.92</v>
      </c>
    </row>
    <row r="87">
      <c r="A87" t="n">
        <v>80</v>
      </c>
      <c r="B87" t="inlineStr">
        <is>
          <t>2030-07</t>
        </is>
      </c>
      <c r="C87" s="5" t="n">
        <v>112697.41</v>
      </c>
      <c r="D87" s="5" t="n">
        <v>0</v>
      </c>
      <c r="E87" s="5" t="n">
        <v>0</v>
      </c>
      <c r="F87" s="5" t="n">
        <v>1827655.72</v>
      </c>
      <c r="G87" s="5" t="n">
        <v>339125269.57</v>
      </c>
      <c r="H87" s="5" t="n">
        <v>5387833.29</v>
      </c>
      <c r="I87" s="5" t="n">
        <v>5387833.29</v>
      </c>
      <c r="J87" s="5" t="n">
        <v>112697.41</v>
      </c>
    </row>
    <row r="88">
      <c r="A88" t="n">
        <v>81</v>
      </c>
      <c r="B88" t="inlineStr">
        <is>
          <t>2030-08</t>
        </is>
      </c>
      <c r="C88" s="5" t="n">
        <v>169463.04</v>
      </c>
      <c r="D88" s="5" t="n">
        <v>0</v>
      </c>
      <c r="E88" s="5" t="n">
        <v>0</v>
      </c>
      <c r="F88" s="5" t="n">
        <v>1808668.1</v>
      </c>
      <c r="G88" s="5" t="n">
        <v>335546104.39</v>
      </c>
      <c r="H88" s="5" t="n">
        <v>5387833.29</v>
      </c>
      <c r="I88" s="5" t="n">
        <v>5387833.29</v>
      </c>
      <c r="J88" s="5" t="n">
        <v>169463.04</v>
      </c>
    </row>
    <row r="89">
      <c r="A89" t="n">
        <v>82</v>
      </c>
      <c r="B89" t="inlineStr">
        <is>
          <t>2030-09</t>
        </is>
      </c>
      <c r="C89" s="5" t="n">
        <v>226507.97</v>
      </c>
      <c r="D89" s="5" t="n">
        <v>0</v>
      </c>
      <c r="E89" s="5" t="n">
        <v>0</v>
      </c>
      <c r="F89" s="5" t="n">
        <v>1789579.22</v>
      </c>
      <c r="G89" s="5" t="n">
        <v>331947850.32</v>
      </c>
      <c r="H89" s="5" t="n">
        <v>5387833.29</v>
      </c>
      <c r="I89" s="5" t="n">
        <v>5387833.29</v>
      </c>
      <c r="J89" s="5" t="n">
        <v>226507.97</v>
      </c>
    </row>
    <row r="90">
      <c r="A90" t="n">
        <v>83</v>
      </c>
      <c r="B90" t="inlineStr">
        <is>
          <t>2030-10</t>
        </is>
      </c>
      <c r="C90" s="5" t="n">
        <v>283833.25</v>
      </c>
      <c r="D90" s="5" t="n">
        <v>0</v>
      </c>
      <c r="E90" s="5" t="n">
        <v>0</v>
      </c>
      <c r="F90" s="5" t="n">
        <v>1770388.54</v>
      </c>
      <c r="G90" s="5" t="n">
        <v>328330405.57</v>
      </c>
      <c r="H90" s="5" t="n">
        <v>5387833.29</v>
      </c>
      <c r="I90" s="5" t="n">
        <v>5387833.29</v>
      </c>
      <c r="J90" s="5" t="n">
        <v>283833.25</v>
      </c>
    </row>
    <row r="91">
      <c r="A91" t="n">
        <v>84</v>
      </c>
      <c r="B91" t="inlineStr">
        <is>
          <t>2030-11</t>
        </is>
      </c>
      <c r="C91" s="5" t="n">
        <v>341439.91</v>
      </c>
      <c r="D91" s="5" t="n">
        <v>0</v>
      </c>
      <c r="E91" s="5" t="n">
        <v>0</v>
      </c>
      <c r="F91" s="5" t="n">
        <v>1751095.5</v>
      </c>
      <c r="G91" s="5" t="n">
        <v>324693667.78</v>
      </c>
      <c r="H91" s="5" t="n">
        <v>5387833.29</v>
      </c>
      <c r="I91" s="5" t="n">
        <v>5387833.29</v>
      </c>
      <c r="J91" s="5" t="n">
        <v>341439.91</v>
      </c>
    </row>
    <row r="92">
      <c r="A92" t="n">
        <v>85</v>
      </c>
      <c r="B92" t="inlineStr">
        <is>
          <t>2030-12</t>
        </is>
      </c>
      <c r="C92" s="5" t="n">
        <v>483890.62</v>
      </c>
      <c r="D92" s="5" t="n">
        <v>4116531</v>
      </c>
      <c r="E92" s="5" t="n">
        <v>4116531</v>
      </c>
      <c r="F92" s="5" t="n">
        <v>1731699.56</v>
      </c>
      <c r="G92" s="5" t="n">
        <v>325154065.06</v>
      </c>
      <c r="H92" s="5" t="n">
        <v>5387833.29</v>
      </c>
      <c r="I92" s="5" t="n">
        <v>5387833.29</v>
      </c>
      <c r="J92" s="5" t="n">
        <v>483890.62</v>
      </c>
    </row>
    <row r="93">
      <c r="A93" t="n">
        <v>86</v>
      </c>
      <c r="B93" t="inlineStr">
        <is>
          <t>2031-01</t>
        </is>
      </c>
      <c r="C93" s="5" t="n">
        <v>627041.9</v>
      </c>
      <c r="D93" s="5" t="n">
        <v>0</v>
      </c>
      <c r="E93" s="5" t="n">
        <v>0</v>
      </c>
      <c r="F93" s="5" t="n">
        <v>1734155.01</v>
      </c>
      <c r="G93" s="5" t="n">
        <v>321500386.79</v>
      </c>
      <c r="H93" s="5" t="n">
        <v>5387833.29</v>
      </c>
      <c r="I93" s="5" t="n">
        <v>5387833.29</v>
      </c>
      <c r="J93" s="5" t="n">
        <v>627041.9</v>
      </c>
    </row>
    <row r="94">
      <c r="A94" t="n">
        <v>87</v>
      </c>
      <c r="B94" t="inlineStr">
        <is>
          <t>2031-02</t>
        </is>
      </c>
      <c r="C94" s="5" t="n">
        <v>770896.33</v>
      </c>
      <c r="D94" s="5" t="n">
        <v>0</v>
      </c>
      <c r="E94" s="5" t="n">
        <v>0</v>
      </c>
      <c r="F94" s="5" t="n">
        <v>1714668.73</v>
      </c>
      <c r="G94" s="5" t="n">
        <v>317827222.23</v>
      </c>
      <c r="H94" s="5" t="n">
        <v>5387833.29</v>
      </c>
      <c r="I94" s="5" t="n">
        <v>5387833.29</v>
      </c>
      <c r="J94" s="5" t="n">
        <v>770896.33</v>
      </c>
    </row>
    <row r="95">
      <c r="A95" t="n">
        <v>88</v>
      </c>
      <c r="B95" t="inlineStr">
        <is>
          <t>2031-03</t>
        </is>
      </c>
      <c r="C95" s="5" t="n">
        <v>915456.52</v>
      </c>
      <c r="D95" s="5" t="n">
        <v>0</v>
      </c>
      <c r="E95" s="5" t="n">
        <v>0</v>
      </c>
      <c r="F95" s="5" t="n">
        <v>1695078.52</v>
      </c>
      <c r="G95" s="5" t="n">
        <v>314134467.47</v>
      </c>
      <c r="H95" s="5" t="n">
        <v>5387833.29</v>
      </c>
      <c r="I95" s="5" t="n">
        <v>5387833.29</v>
      </c>
      <c r="J95" s="5" t="n">
        <v>915456.52</v>
      </c>
    </row>
    <row r="96">
      <c r="A96" t="n">
        <v>89</v>
      </c>
      <c r="B96" t="inlineStr">
        <is>
          <t>2031-04</t>
        </is>
      </c>
      <c r="C96" s="5" t="n">
        <v>1060725.07</v>
      </c>
      <c r="D96" s="5" t="n">
        <v>0</v>
      </c>
      <c r="E96" s="5" t="n">
        <v>0</v>
      </c>
      <c r="F96" s="5" t="n">
        <v>1675383.83</v>
      </c>
      <c r="G96" s="5" t="n">
        <v>310422018.01</v>
      </c>
      <c r="H96" s="5" t="n">
        <v>5387833.29</v>
      </c>
      <c r="I96" s="5" t="n">
        <v>5387833.29</v>
      </c>
      <c r="J96" s="5" t="n">
        <v>1060725.07</v>
      </c>
    </row>
    <row r="97">
      <c r="A97" t="n">
        <v>90</v>
      </c>
      <c r="B97" t="inlineStr">
        <is>
          <t>2031-05</t>
        </is>
      </c>
      <c r="C97" s="5" t="n">
        <v>1206704.59</v>
      </c>
      <c r="D97" s="5" t="n">
        <v>0</v>
      </c>
      <c r="E97" s="5" t="n">
        <v>0</v>
      </c>
      <c r="F97" s="5" t="n">
        <v>1655584.1</v>
      </c>
      <c r="G97" s="5" t="n">
        <v>306689768.82</v>
      </c>
      <c r="H97" s="5" t="n">
        <v>5387833.29</v>
      </c>
      <c r="I97" s="5" t="n">
        <v>5387833.29</v>
      </c>
      <c r="J97" s="5" t="n">
        <v>1206704.59</v>
      </c>
    </row>
    <row r="98">
      <c r="A98" t="n">
        <v>91</v>
      </c>
      <c r="B98" t="inlineStr">
        <is>
          <t>2031-06</t>
        </is>
      </c>
      <c r="C98" s="5" t="n">
        <v>1353397.71</v>
      </c>
      <c r="D98" s="5" t="n">
        <v>0</v>
      </c>
      <c r="E98" s="5" t="n">
        <v>0</v>
      </c>
      <c r="F98" s="5" t="n">
        <v>1635678.77</v>
      </c>
      <c r="G98" s="5" t="n">
        <v>302937614.3</v>
      </c>
      <c r="H98" s="5" t="n">
        <v>5387833.29</v>
      </c>
      <c r="I98" s="5" t="n">
        <v>5387833.29</v>
      </c>
      <c r="J98" s="5" t="n">
        <v>1353397.71</v>
      </c>
    </row>
    <row r="99">
      <c r="A99" t="n">
        <v>92</v>
      </c>
      <c r="B99" t="inlineStr">
        <is>
          <t>2031-07</t>
        </is>
      </c>
      <c r="C99" s="5" t="n">
        <v>1500807.06</v>
      </c>
      <c r="D99" s="5" t="n">
        <v>0</v>
      </c>
      <c r="E99" s="5" t="n">
        <v>0</v>
      </c>
      <c r="F99" s="5" t="n">
        <v>1615667.28</v>
      </c>
      <c r="G99" s="5" t="n">
        <v>299165448.29</v>
      </c>
      <c r="H99" s="5" t="n">
        <v>5387833.29</v>
      </c>
      <c r="I99" s="5" t="n">
        <v>5387833.29</v>
      </c>
      <c r="J99" s="5" t="n">
        <v>1500807.06</v>
      </c>
    </row>
    <row r="100">
      <c r="A100" t="n">
        <v>93</v>
      </c>
      <c r="B100" t="inlineStr">
        <is>
          <t>2031-08</t>
        </is>
      </c>
      <c r="C100" s="5" t="n">
        <v>1648935.28</v>
      </c>
      <c r="D100" s="5" t="n">
        <v>0</v>
      </c>
      <c r="E100" s="5" t="n">
        <v>0</v>
      </c>
      <c r="F100" s="5" t="n">
        <v>1595549.06</v>
      </c>
      <c r="G100" s="5" t="n">
        <v>295373164.06</v>
      </c>
      <c r="H100" s="5" t="n">
        <v>5387833.29</v>
      </c>
      <c r="I100" s="5" t="n">
        <v>5387833.29</v>
      </c>
      <c r="J100" s="5" t="n">
        <v>1648935.28</v>
      </c>
    </row>
    <row r="101">
      <c r="A101" t="n">
        <v>94</v>
      </c>
      <c r="B101" t="inlineStr">
        <is>
          <t>2031-09</t>
        </is>
      </c>
      <c r="C101" s="5" t="n">
        <v>1797785.02</v>
      </c>
      <c r="D101" s="5" t="n">
        <v>0</v>
      </c>
      <c r="E101" s="5" t="n">
        <v>0</v>
      </c>
      <c r="F101" s="5" t="n">
        <v>1575323.54</v>
      </c>
      <c r="G101" s="5" t="n">
        <v>291560654.32</v>
      </c>
      <c r="H101" s="5" t="n">
        <v>5387833.29</v>
      </c>
      <c r="I101" s="5" t="n">
        <v>5387833.29</v>
      </c>
      <c r="J101" s="5" t="n">
        <v>1797785.02</v>
      </c>
    </row>
    <row r="102">
      <c r="A102" t="n">
        <v>95</v>
      </c>
      <c r="B102" t="inlineStr">
        <is>
          <t>2031-10</t>
        </is>
      </c>
      <c r="C102" s="5" t="n">
        <v>1947358.93</v>
      </c>
      <c r="D102" s="5" t="n">
        <v>0</v>
      </c>
      <c r="E102" s="5" t="n">
        <v>0</v>
      </c>
      <c r="F102" s="5" t="n">
        <v>1554990.16</v>
      </c>
      <c r="G102" s="5" t="n">
        <v>0</v>
      </c>
      <c r="H102" s="5" t="n">
        <v>572792131.22</v>
      </c>
      <c r="I102" s="5" t="n">
        <v>293115644.48</v>
      </c>
      <c r="J102" s="5" t="n">
        <v>281623845.68</v>
      </c>
    </row>
    <row r="103">
      <c r="A103" t="n">
        <v>96</v>
      </c>
      <c r="B103" t="inlineStr">
        <is>
          <t>2031-11</t>
        </is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5387833.29</v>
      </c>
      <c r="I103" s="5" t="n">
        <v>0</v>
      </c>
      <c r="J103" s="5" t="n">
        <v>5387833.29</v>
      </c>
    </row>
    <row r="104">
      <c r="A104" t="n">
        <v>97</v>
      </c>
      <c r="B104" t="inlineStr">
        <is>
          <t>2031-12</t>
        </is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5387833.29</v>
      </c>
      <c r="I104" s="5" t="n">
        <v>0</v>
      </c>
      <c r="J104" s="5" t="n">
        <v>5387833.29</v>
      </c>
    </row>
    <row r="105">
      <c r="A105" t="n">
        <v>98</v>
      </c>
      <c r="B105" t="inlineStr">
        <is>
          <t>2032-01</t>
        </is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5387833.29</v>
      </c>
      <c r="I105" s="5" t="n">
        <v>0</v>
      </c>
      <c r="J105" s="5" t="n">
        <v>5387833.29</v>
      </c>
    </row>
    <row r="106">
      <c r="A106" t="n">
        <v>99</v>
      </c>
      <c r="B106" t="inlineStr">
        <is>
          <t>2032-02</t>
        </is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5387833.29</v>
      </c>
      <c r="I106" s="5" t="n">
        <v>0</v>
      </c>
      <c r="J106" s="5" t="n">
        <v>5387833.29</v>
      </c>
    </row>
    <row r="107">
      <c r="A107" t="n">
        <v>100</v>
      </c>
      <c r="B107" t="inlineStr">
        <is>
          <t>2032-03</t>
        </is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5387833.29</v>
      </c>
      <c r="I107" s="5" t="n">
        <v>0</v>
      </c>
      <c r="J107" s="5" t="n">
        <v>5387833.29</v>
      </c>
    </row>
    <row r="108">
      <c r="A108" t="n">
        <v>101</v>
      </c>
      <c r="B108" t="inlineStr">
        <is>
          <t>2032-04</t>
        </is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5387833.29</v>
      </c>
      <c r="I108" s="5" t="n">
        <v>0</v>
      </c>
      <c r="J108" s="5" t="n">
        <v>5387833.29</v>
      </c>
    </row>
    <row r="109">
      <c r="A109" t="n">
        <v>102</v>
      </c>
      <c r="B109" t="inlineStr">
        <is>
          <t>2032-05</t>
        </is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5387833.29</v>
      </c>
      <c r="I109" s="5" t="n">
        <v>0</v>
      </c>
      <c r="J109" s="5" t="n">
        <v>5387833.29</v>
      </c>
    </row>
    <row r="110">
      <c r="A110" s="1" t="inlineStr">
        <is>
          <t>TOTAL</t>
        </is>
      </c>
      <c r="C110" s="9">
        <f>SUM(C7:C109)</f>
        <v/>
      </c>
      <c r="D110" s="9">
        <f>SUM(D7:D109)</f>
        <v/>
      </c>
      <c r="E110" s="9">
        <f>SUM(E7:E109)</f>
        <v/>
      </c>
      <c r="F110" s="9">
        <f>SUM(F7:F109)</f>
        <v/>
      </c>
      <c r="G110" s="9">
        <f>SUM(G7:G109)</f>
        <v/>
      </c>
      <c r="H110" s="9">
        <f>SUM(H7:H109)</f>
        <v/>
      </c>
      <c r="I110" s="9">
        <f>SUM(I7:I109)</f>
        <v/>
      </c>
      <c r="J110" s="9">
        <f>SUM(J7:J109)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8" t="inlineStr">
        <is>
          <t>SCENARIO B - build to core, refinance at stabilization, hold five years</t>
        </is>
      </c>
    </row>
    <row r="2">
      <c r="A2" s="2" t="inlineStr">
        <is>
          <t>Priced on STABILIZED NOI over the County guideline cap, market factor 1.00. A lease-up sale is priced on what the asset will produce, not on in-place NOI.</t>
        </is>
      </c>
    </row>
    <row r="6">
      <c r="A6" s="4" t="inlineStr">
        <is>
          <t>Month #</t>
        </is>
      </c>
      <c r="B6" s="4" t="inlineStr">
        <is>
          <t>Date</t>
        </is>
      </c>
      <c r="C6" s="4" t="inlineStr">
        <is>
          <t>NOI</t>
        </is>
      </c>
      <c r="D6" s="4" t="inlineStr">
        <is>
          <t>Dev cost</t>
        </is>
      </c>
      <c r="E6" s="4" t="inlineStr">
        <is>
          <t>Loan draw</t>
        </is>
      </c>
      <c r="F6" s="4" t="inlineStr">
        <is>
          <t>Interest cap</t>
        </is>
      </c>
      <c r="G6" s="4" t="inlineStr">
        <is>
          <t>Constr bal</t>
        </is>
      </c>
      <c r="H6" s="4" t="inlineStr">
        <is>
          <t>Condo/refi in</t>
        </is>
      </c>
      <c r="I6" s="4" t="inlineStr">
        <is>
          <t>Refinance</t>
        </is>
      </c>
      <c r="J6" s="4" t="inlineStr">
        <is>
          <t>Perm debt svc</t>
        </is>
      </c>
      <c r="K6" s="4" t="inlineStr">
        <is>
          <t>Sale</t>
        </is>
      </c>
      <c r="L6" s="4" t="inlineStr">
        <is>
          <t>Perm payoff</t>
        </is>
      </c>
      <c r="M6" s="4" t="inlineStr">
        <is>
          <t>Loan repay</t>
        </is>
      </c>
      <c r="N6" s="4" t="inlineStr">
        <is>
          <t>Equity CF</t>
        </is>
      </c>
    </row>
    <row r="7">
      <c r="A7" t="n">
        <v>0</v>
      </c>
      <c r="B7" t="inlineStr">
        <is>
          <t>2023-11</t>
        </is>
      </c>
      <c r="C7" s="5" t="n">
        <v>0</v>
      </c>
      <c r="D7" s="5" t="n">
        <v>52000000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-52000000</v>
      </c>
    </row>
    <row r="8">
      <c r="A8" t="n">
        <v>1</v>
      </c>
      <c r="B8" t="inlineStr">
        <is>
          <t>2023-12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t="n">
        <v>2</v>
      </c>
      <c r="B9" t="inlineStr">
        <is>
          <t>2024-01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t="n">
        <v>3</v>
      </c>
      <c r="B10" t="inlineStr">
        <is>
          <t>2024-02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</row>
    <row r="11">
      <c r="A11" t="n">
        <v>4</v>
      </c>
      <c r="B11" t="inlineStr">
        <is>
          <t>2024-03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t="n">
        <v>5</v>
      </c>
      <c r="B12" t="inlineStr">
        <is>
          <t>2024-04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</row>
    <row r="13">
      <c r="A13" t="n">
        <v>6</v>
      </c>
      <c r="B13" t="inlineStr">
        <is>
          <t>2024-05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n">
        <v>7</v>
      </c>
      <c r="B14" t="inlineStr">
        <is>
          <t>2024-06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n">
        <v>8</v>
      </c>
      <c r="B15" t="inlineStr">
        <is>
          <t>2024-07</t>
        </is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n">
        <v>9</v>
      </c>
      <c r="B16" t="inlineStr">
        <is>
          <t>2024-08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</row>
    <row r="17">
      <c r="A17" t="n">
        <v>10</v>
      </c>
      <c r="B17" t="inlineStr">
        <is>
          <t>2024-09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</row>
    <row r="18">
      <c r="A18" t="n">
        <v>11</v>
      </c>
      <c r="B18" t="inlineStr">
        <is>
          <t>2024-10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</row>
    <row r="19">
      <c r="A19" t="n">
        <v>12</v>
      </c>
      <c r="B19" t="inlineStr">
        <is>
          <t>2024-11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n">
        <v>13</v>
      </c>
      <c r="B20" t="inlineStr">
        <is>
          <t>2024-12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</row>
    <row r="21">
      <c r="A21" t="n">
        <v>14</v>
      </c>
      <c r="B21" t="inlineStr">
        <is>
          <t>2025-01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n">
        <v>15</v>
      </c>
      <c r="B22" t="inlineStr">
        <is>
          <t>2025-02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</row>
    <row r="23">
      <c r="A23" t="n">
        <v>16</v>
      </c>
      <c r="B23" t="inlineStr">
        <is>
          <t>2025-03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t="n">
        <v>17</v>
      </c>
      <c r="B24" t="inlineStr">
        <is>
          <t>2025-04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</row>
    <row r="25">
      <c r="A25" t="n">
        <v>18</v>
      </c>
      <c r="B25" t="inlineStr">
        <is>
          <t>2025-05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t="n">
        <v>19</v>
      </c>
      <c r="B26" t="inlineStr">
        <is>
          <t>2025-06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</row>
    <row r="27">
      <c r="A27" t="n">
        <v>20</v>
      </c>
      <c r="B27" t="inlineStr">
        <is>
          <t>2025-07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n">
        <v>21</v>
      </c>
      <c r="B28" t="inlineStr">
        <is>
          <t>2025-08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t="n">
        <v>22</v>
      </c>
      <c r="B29" t="inlineStr">
        <is>
          <t>2025-09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t="n">
        <v>23</v>
      </c>
      <c r="B30" t="inlineStr">
        <is>
          <t>2025-10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</row>
    <row r="31">
      <c r="A31" t="n">
        <v>24</v>
      </c>
      <c r="B31" t="inlineStr">
        <is>
          <t>2025-11</t>
        </is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</row>
    <row r="32">
      <c r="A32" t="n">
        <v>25</v>
      </c>
      <c r="B32" t="inlineStr">
        <is>
          <t>2025-12</t>
        </is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t="n">
        <v>26</v>
      </c>
      <c r="B33" t="inlineStr">
        <is>
          <t>2026-01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</row>
    <row r="34">
      <c r="A34" t="n">
        <v>27</v>
      </c>
      <c r="B34" t="inlineStr">
        <is>
          <t>2026-02</t>
        </is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</row>
    <row r="35">
      <c r="A35" t="n">
        <v>28</v>
      </c>
      <c r="B35" t="inlineStr">
        <is>
          <t>2026-03</t>
        </is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t="n">
        <v>29</v>
      </c>
      <c r="B36" t="inlineStr">
        <is>
          <t>2026-04</t>
        </is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t="n">
        <v>30</v>
      </c>
      <c r="B37" t="inlineStr">
        <is>
          <t>2026-05</t>
        </is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</row>
    <row r="38">
      <c r="A38" t="n">
        <v>31</v>
      </c>
      <c r="B38" t="inlineStr">
        <is>
          <t>2026-06</t>
        </is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</row>
    <row r="39">
      <c r="A39" t="n">
        <v>32</v>
      </c>
      <c r="B39" t="inlineStr">
        <is>
          <t>2026-07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t="n">
        <v>33</v>
      </c>
      <c r="B40" t="inlineStr">
        <is>
          <t>2026-08</t>
        </is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</row>
    <row r="41">
      <c r="A41" t="n">
        <v>34</v>
      </c>
      <c r="B41" t="inlineStr">
        <is>
          <t>2026-09</t>
        </is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</row>
    <row r="42">
      <c r="A42" t="n">
        <v>35</v>
      </c>
      <c r="B42" t="inlineStr">
        <is>
          <t>2026-10</t>
        </is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</row>
    <row r="43">
      <c r="A43" t="n">
        <v>36</v>
      </c>
      <c r="B43" t="inlineStr">
        <is>
          <t>2026-11</t>
        </is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</row>
    <row r="44">
      <c r="A44" t="n">
        <v>37</v>
      </c>
      <c r="B44" t="inlineStr">
        <is>
          <t>2026-12</t>
        </is>
      </c>
      <c r="C44" s="5" t="n">
        <v>0</v>
      </c>
      <c r="D44" s="5" t="n">
        <v>10435895.32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-10435895.32</v>
      </c>
    </row>
    <row r="45">
      <c r="A45" t="n">
        <v>38</v>
      </c>
      <c r="B45" t="inlineStr">
        <is>
          <t>2027-01</t>
        </is>
      </c>
      <c r="C45" s="5" t="n">
        <v>0</v>
      </c>
      <c r="D45" s="5" t="n">
        <v>3442179.04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-3442179.04</v>
      </c>
    </row>
    <row r="46">
      <c r="A46" t="n">
        <v>39</v>
      </c>
      <c r="B46" t="inlineStr">
        <is>
          <t>2027-02</t>
        </is>
      </c>
      <c r="C46" s="5" t="n">
        <v>0</v>
      </c>
      <c r="D46" s="5" t="n">
        <v>5037335.19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-5037335.19</v>
      </c>
    </row>
    <row r="47">
      <c r="A47" t="n">
        <v>40</v>
      </c>
      <c r="B47" t="inlineStr">
        <is>
          <t>2027-03</t>
        </is>
      </c>
      <c r="C47" s="5" t="n">
        <v>0</v>
      </c>
      <c r="D47" s="5" t="n">
        <v>6548535.74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-6548535.74</v>
      </c>
    </row>
    <row r="48">
      <c r="A48" t="n">
        <v>41</v>
      </c>
      <c r="B48" t="inlineStr">
        <is>
          <t>2027-04</t>
        </is>
      </c>
      <c r="C48" s="5" t="n">
        <v>0</v>
      </c>
      <c r="D48" s="5" t="n">
        <v>7975780.71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-7975780.71</v>
      </c>
    </row>
    <row r="49">
      <c r="A49" t="n">
        <v>42</v>
      </c>
      <c r="B49" t="inlineStr">
        <is>
          <t>2027-05</t>
        </is>
      </c>
      <c r="C49" s="5" t="n">
        <v>0</v>
      </c>
      <c r="D49" s="5" t="n">
        <v>9319070.1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-9319070.1</v>
      </c>
    </row>
    <row r="50">
      <c r="A50" t="n">
        <v>43</v>
      </c>
      <c r="B50" t="inlineStr">
        <is>
          <t>2027-06</t>
        </is>
      </c>
      <c r="C50" s="5" t="n">
        <v>0</v>
      </c>
      <c r="D50" s="5" t="n">
        <v>10578403.89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-10578403.89</v>
      </c>
    </row>
    <row r="51">
      <c r="A51" t="n">
        <v>44</v>
      </c>
      <c r="B51" t="inlineStr">
        <is>
          <t>2027-07</t>
        </is>
      </c>
      <c r="C51" s="5" t="n">
        <v>0</v>
      </c>
      <c r="D51" s="5" t="n">
        <v>11753782.1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-11753782.1</v>
      </c>
    </row>
    <row r="52">
      <c r="A52" t="n">
        <v>45</v>
      </c>
      <c r="B52" t="inlineStr">
        <is>
          <t>2027-08</t>
        </is>
      </c>
      <c r="C52" s="5" t="n">
        <v>0</v>
      </c>
      <c r="D52" s="5" t="n">
        <v>12845204.73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-12845204.73</v>
      </c>
    </row>
    <row r="53">
      <c r="A53" t="n">
        <v>46</v>
      </c>
      <c r="B53" t="inlineStr">
        <is>
          <t>2027-09</t>
        </is>
      </c>
      <c r="C53" s="5" t="n">
        <v>0</v>
      </c>
      <c r="D53" s="5" t="n">
        <v>13852671.77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-13852671.77</v>
      </c>
    </row>
    <row r="54">
      <c r="A54" t="n">
        <v>47</v>
      </c>
      <c r="B54" t="inlineStr">
        <is>
          <t>2027-10</t>
        </is>
      </c>
      <c r="C54" s="5" t="n">
        <v>0</v>
      </c>
      <c r="D54" s="5" t="n">
        <v>14776183.22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-14776183.22</v>
      </c>
    </row>
    <row r="55">
      <c r="A55" t="n">
        <v>48</v>
      </c>
      <c r="B55" t="inlineStr">
        <is>
          <t>2027-11</t>
        </is>
      </c>
      <c r="C55" s="5" t="n">
        <v>0</v>
      </c>
      <c r="D55" s="5" t="n">
        <v>15615739.08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-15615739.08</v>
      </c>
    </row>
    <row r="56">
      <c r="A56" t="n">
        <v>49</v>
      </c>
      <c r="B56" t="inlineStr">
        <is>
          <t>2027-12</t>
        </is>
      </c>
      <c r="C56" s="5" t="n">
        <v>0</v>
      </c>
      <c r="D56" s="5" t="n">
        <v>16371339.36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-16371339.36</v>
      </c>
    </row>
    <row r="57">
      <c r="A57" t="n">
        <v>50</v>
      </c>
      <c r="B57" t="inlineStr">
        <is>
          <t>2028-01</t>
        </is>
      </c>
      <c r="C57" s="5" t="n">
        <v>0</v>
      </c>
      <c r="D57" s="5" t="n">
        <v>17042984.05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-17042984.05</v>
      </c>
    </row>
    <row r="58">
      <c r="A58" t="n">
        <v>51</v>
      </c>
      <c r="B58" t="inlineStr">
        <is>
          <t>2028-02</t>
        </is>
      </c>
      <c r="C58" s="5" t="n">
        <v>0</v>
      </c>
      <c r="D58" s="5" t="n">
        <v>17630673.16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-17630673.16</v>
      </c>
    </row>
    <row r="59">
      <c r="A59" t="n">
        <v>52</v>
      </c>
      <c r="B59" t="inlineStr">
        <is>
          <t>2028-03</t>
        </is>
      </c>
      <c r="C59" s="5" t="n">
        <v>0</v>
      </c>
      <c r="D59" s="5" t="n">
        <v>18134406.67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-18134406.67</v>
      </c>
    </row>
    <row r="60">
      <c r="A60" t="n">
        <v>53</v>
      </c>
      <c r="B60" t="inlineStr">
        <is>
          <t>2028-04</t>
        </is>
      </c>
      <c r="C60" s="5" t="n">
        <v>0</v>
      </c>
      <c r="D60" s="5" t="n">
        <v>18554184.61</v>
      </c>
      <c r="E60" s="5" t="n">
        <v>12245486.13</v>
      </c>
      <c r="F60" s="5" t="n">
        <v>0</v>
      </c>
      <c r="G60" s="5" t="n">
        <v>12245486.13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-6308698.48</v>
      </c>
    </row>
    <row r="61">
      <c r="A61" t="n">
        <v>54</v>
      </c>
      <c r="B61" t="inlineStr">
        <is>
          <t>2028-05</t>
        </is>
      </c>
      <c r="C61" s="5" t="n">
        <v>0</v>
      </c>
      <c r="D61" s="5" t="n">
        <v>18890006.95</v>
      </c>
      <c r="E61" s="5" t="n">
        <v>18890006.95</v>
      </c>
      <c r="F61" s="5" t="n">
        <v>65309.26</v>
      </c>
      <c r="G61" s="5" t="n">
        <v>31200802.34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t="n">
        <v>55</v>
      </c>
      <c r="B62" t="inlineStr">
        <is>
          <t>2028-06</t>
        </is>
      </c>
      <c r="C62" s="5" t="n">
        <v>0</v>
      </c>
      <c r="D62" s="5" t="n">
        <v>19141873.71</v>
      </c>
      <c r="E62" s="5" t="n">
        <v>19141873.71</v>
      </c>
      <c r="F62" s="5" t="n">
        <v>166404.28</v>
      </c>
      <c r="G62" s="5" t="n">
        <v>50509080.33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</row>
    <row r="63">
      <c r="A63" t="n">
        <v>56</v>
      </c>
      <c r="B63" t="inlineStr">
        <is>
          <t>2028-07</t>
        </is>
      </c>
      <c r="C63" s="5" t="n">
        <v>0</v>
      </c>
      <c r="D63" s="5" t="n">
        <v>19309784.88</v>
      </c>
      <c r="E63" s="5" t="n">
        <v>19309784.88</v>
      </c>
      <c r="F63" s="5" t="n">
        <v>269381.76</v>
      </c>
      <c r="G63" s="5" t="n">
        <v>70088246.98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t="n">
        <v>57</v>
      </c>
      <c r="B64" t="inlineStr">
        <is>
          <t>2028-08</t>
        </is>
      </c>
      <c r="C64" s="5" t="n">
        <v>0</v>
      </c>
      <c r="D64" s="5" t="n">
        <v>19393740.47</v>
      </c>
      <c r="E64" s="5" t="n">
        <v>19393740.47</v>
      </c>
      <c r="F64" s="5" t="n">
        <v>373803.98</v>
      </c>
      <c r="G64" s="5" t="n">
        <v>89855791.44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t="n">
        <v>58</v>
      </c>
      <c r="B65" t="inlineStr">
        <is>
          <t>2028-09</t>
        </is>
      </c>
      <c r="C65" s="5" t="n">
        <v>0</v>
      </c>
      <c r="D65" s="5" t="n">
        <v>19393740.47</v>
      </c>
      <c r="E65" s="5" t="n">
        <v>19393740.47</v>
      </c>
      <c r="F65" s="5" t="n">
        <v>479230.89</v>
      </c>
      <c r="G65" s="5" t="n">
        <v>109728762.79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</row>
    <row r="66">
      <c r="A66" t="n">
        <v>59</v>
      </c>
      <c r="B66" t="inlineStr">
        <is>
          <t>2028-10</t>
        </is>
      </c>
      <c r="C66" s="5" t="n">
        <v>0</v>
      </c>
      <c r="D66" s="5" t="n">
        <v>19309784.88</v>
      </c>
      <c r="E66" s="5" t="n">
        <v>19309784.88</v>
      </c>
      <c r="F66" s="5" t="n">
        <v>585220.0699999999</v>
      </c>
      <c r="G66" s="5" t="n">
        <v>129623767.75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t="n">
        <v>60</v>
      </c>
      <c r="B67" t="inlineStr">
        <is>
          <t>2028-11</t>
        </is>
      </c>
      <c r="C67" s="5" t="n">
        <v>0</v>
      </c>
      <c r="D67" s="5" t="n">
        <v>19141873.71</v>
      </c>
      <c r="E67" s="5" t="n">
        <v>19141873.71</v>
      </c>
      <c r="F67" s="5" t="n">
        <v>691326.76</v>
      </c>
      <c r="G67" s="5" t="n">
        <v>149456968.22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t="n">
        <v>61</v>
      </c>
      <c r="B68" t="inlineStr">
        <is>
          <t>2028-12</t>
        </is>
      </c>
      <c r="C68" s="5" t="n">
        <v>0</v>
      </c>
      <c r="D68" s="5" t="n">
        <v>18890006.95</v>
      </c>
      <c r="E68" s="5" t="n">
        <v>18890006.95</v>
      </c>
      <c r="F68" s="5" t="n">
        <v>797103.83</v>
      </c>
      <c r="G68" s="5" t="n">
        <v>169144079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</row>
    <row r="69">
      <c r="A69" t="n">
        <v>62</v>
      </c>
      <c r="B69" t="inlineStr">
        <is>
          <t>2029-01</t>
        </is>
      </c>
      <c r="C69" s="5" t="n">
        <v>0</v>
      </c>
      <c r="D69" s="5" t="n">
        <v>18554184.61</v>
      </c>
      <c r="E69" s="5" t="n">
        <v>18554184.61</v>
      </c>
      <c r="F69" s="5" t="n">
        <v>902101.75</v>
      </c>
      <c r="G69" s="5" t="n">
        <v>188600365.36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t="n">
        <v>63</v>
      </c>
      <c r="B70" t="inlineStr">
        <is>
          <t>2029-02</t>
        </is>
      </c>
      <c r="C70" s="5" t="n">
        <v>0</v>
      </c>
      <c r="D70" s="5" t="n">
        <v>18134406.67</v>
      </c>
      <c r="E70" s="5" t="n">
        <v>18134406.67</v>
      </c>
      <c r="F70" s="5" t="n">
        <v>1005868.62</v>
      </c>
      <c r="G70" s="5" t="n">
        <v>207740640.65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t="n">
        <v>64</v>
      </c>
      <c r="B71" t="inlineStr">
        <is>
          <t>2029-03</t>
        </is>
      </c>
      <c r="C71" s="5" t="n">
        <v>0</v>
      </c>
      <c r="D71" s="5" t="n">
        <v>17630673.16</v>
      </c>
      <c r="E71" s="5" t="n">
        <v>17630673.16</v>
      </c>
      <c r="F71" s="5" t="n">
        <v>1107950.08</v>
      </c>
      <c r="G71" s="5" t="n">
        <v>226479263.89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</row>
    <row r="72">
      <c r="A72" t="n">
        <v>65</v>
      </c>
      <c r="B72" t="inlineStr">
        <is>
          <t>2029-04</t>
        </is>
      </c>
      <c r="C72" s="5" t="n">
        <v>0</v>
      </c>
      <c r="D72" s="5" t="n">
        <v>17042984.05</v>
      </c>
      <c r="E72" s="5" t="n">
        <v>17042984.05</v>
      </c>
      <c r="F72" s="5" t="n">
        <v>1207889.41</v>
      </c>
      <c r="G72" s="5" t="n">
        <v>244730137.35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t="n">
        <v>66</v>
      </c>
      <c r="B73" t="inlineStr">
        <is>
          <t>2029-05</t>
        </is>
      </c>
      <c r="C73" s="5" t="n">
        <v>0</v>
      </c>
      <c r="D73" s="5" t="n">
        <v>16371339.36</v>
      </c>
      <c r="E73" s="5" t="n">
        <v>16371339.36</v>
      </c>
      <c r="F73" s="5" t="n">
        <v>1305227.4</v>
      </c>
      <c r="G73" s="5" t="n">
        <v>262406704.11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t="n">
        <v>67</v>
      </c>
      <c r="B74" t="inlineStr">
        <is>
          <t>2029-06</t>
        </is>
      </c>
      <c r="C74" s="5" t="n">
        <v>0</v>
      </c>
      <c r="D74" s="5" t="n">
        <v>15615739.08</v>
      </c>
      <c r="E74" s="5" t="n">
        <v>15615739.08</v>
      </c>
      <c r="F74" s="5" t="n">
        <v>1399502.42</v>
      </c>
      <c r="G74" s="5" t="n">
        <v>279421945.61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</row>
    <row r="75">
      <c r="A75" t="n">
        <v>68</v>
      </c>
      <c r="B75" t="inlineStr">
        <is>
          <t>2029-07</t>
        </is>
      </c>
      <c r="C75" s="5" t="n">
        <v>0</v>
      </c>
      <c r="D75" s="5" t="n">
        <v>14776183.22</v>
      </c>
      <c r="E75" s="5" t="n">
        <v>14776183.22</v>
      </c>
      <c r="F75" s="5" t="n">
        <v>1490250.38</v>
      </c>
      <c r="G75" s="5" t="n">
        <v>295688379.21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n">
        <v>69</v>
      </c>
      <c r="B76" t="inlineStr">
        <is>
          <t>2029-08</t>
        </is>
      </c>
      <c r="C76" s="5" t="n">
        <v>0</v>
      </c>
      <c r="D76" s="5" t="n">
        <v>13852671.77</v>
      </c>
      <c r="E76" s="5" t="n">
        <v>13852671.77</v>
      </c>
      <c r="F76" s="5" t="n">
        <v>1577004.69</v>
      </c>
      <c r="G76" s="5" t="n">
        <v>311118055.66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t="n">
        <v>70</v>
      </c>
      <c r="B77" t="inlineStr">
        <is>
          <t>2029-09</t>
        </is>
      </c>
      <c r="C77" s="5" t="n">
        <v>0</v>
      </c>
      <c r="D77" s="5" t="n">
        <v>12845204.73</v>
      </c>
      <c r="E77" s="5" t="n">
        <v>12845204.73</v>
      </c>
      <c r="F77" s="5" t="n">
        <v>1659296.3</v>
      </c>
      <c r="G77" s="5" t="n">
        <v>325622556.68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</row>
    <row r="78">
      <c r="A78" t="n">
        <v>71</v>
      </c>
      <c r="B78" t="inlineStr">
        <is>
          <t>2029-10</t>
        </is>
      </c>
      <c r="C78" s="5" t="n">
        <v>0</v>
      </c>
      <c r="D78" s="5" t="n">
        <v>11753782.1</v>
      </c>
      <c r="E78" s="5" t="n">
        <v>6213125.79</v>
      </c>
      <c r="F78" s="5" t="n">
        <v>1736653.64</v>
      </c>
      <c r="G78" s="5" t="n">
        <v>333572336.11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-5540656.32</v>
      </c>
    </row>
    <row r="79">
      <c r="A79" t="n">
        <v>72</v>
      </c>
      <c r="B79" t="inlineStr">
        <is>
          <t>2029-11</t>
        </is>
      </c>
      <c r="C79" s="5" t="n">
        <v>0</v>
      </c>
      <c r="D79" s="5" t="n">
        <v>10578403.89</v>
      </c>
      <c r="E79" s="5" t="n">
        <v>0</v>
      </c>
      <c r="F79" s="5" t="n">
        <v>1779052.46</v>
      </c>
      <c r="G79" s="5" t="n">
        <v>335351388.57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-10578403.89</v>
      </c>
    </row>
    <row r="80">
      <c r="A80" t="n">
        <v>73</v>
      </c>
      <c r="B80" t="inlineStr">
        <is>
          <t>2029-12</t>
        </is>
      </c>
      <c r="C80" s="5" t="n">
        <v>0</v>
      </c>
      <c r="D80" s="5" t="n">
        <v>9319070.1</v>
      </c>
      <c r="E80" s="5" t="n">
        <v>0</v>
      </c>
      <c r="F80" s="5" t="n">
        <v>1788540.74</v>
      </c>
      <c r="G80" s="5" t="n">
        <v>337139929.3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-9319070.1</v>
      </c>
    </row>
    <row r="81">
      <c r="A81" t="n">
        <v>74</v>
      </c>
      <c r="B81" t="inlineStr">
        <is>
          <t>2030-01</t>
        </is>
      </c>
      <c r="C81" s="5" t="n">
        <v>0</v>
      </c>
      <c r="D81" s="5" t="n">
        <v>7975780.71</v>
      </c>
      <c r="E81" s="5" t="n">
        <v>0</v>
      </c>
      <c r="F81" s="5" t="n">
        <v>1798079.62</v>
      </c>
      <c r="G81" s="5" t="n">
        <v>338938008.93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-7975780.71</v>
      </c>
    </row>
    <row r="82">
      <c r="A82" t="n">
        <v>75</v>
      </c>
      <c r="B82" t="inlineStr">
        <is>
          <t>2030-02</t>
        </is>
      </c>
      <c r="C82" s="5" t="n">
        <v>0</v>
      </c>
      <c r="D82" s="5" t="n">
        <v>6548535.74</v>
      </c>
      <c r="E82" s="5" t="n">
        <v>0</v>
      </c>
      <c r="F82" s="5" t="n">
        <v>1807669.38</v>
      </c>
      <c r="G82" s="5" t="n">
        <v>340745678.31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-6548535.74</v>
      </c>
    </row>
    <row r="83">
      <c r="A83" t="n">
        <v>76</v>
      </c>
      <c r="B83" t="inlineStr">
        <is>
          <t>2030-03</t>
        </is>
      </c>
      <c r="C83" s="5" t="n">
        <v>0</v>
      </c>
      <c r="D83" s="5" t="n">
        <v>5037335.19</v>
      </c>
      <c r="E83" s="5" t="n">
        <v>0</v>
      </c>
      <c r="F83" s="5" t="n">
        <v>1817310.28</v>
      </c>
      <c r="G83" s="5" t="n">
        <v>342562988.59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-5037335.19</v>
      </c>
    </row>
    <row r="84">
      <c r="A84" t="n">
        <v>77</v>
      </c>
      <c r="B84" t="inlineStr">
        <is>
          <t>2030-04</t>
        </is>
      </c>
      <c r="C84" s="5" t="n">
        <v>0</v>
      </c>
      <c r="D84" s="5" t="n">
        <v>3442179.04</v>
      </c>
      <c r="E84" s="5" t="n">
        <v>0</v>
      </c>
      <c r="F84" s="5" t="n">
        <v>1827002.61</v>
      </c>
      <c r="G84" s="5" t="n">
        <v>344389991.2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-3442179.04</v>
      </c>
    </row>
    <row r="85">
      <c r="A85" t="n">
        <v>78</v>
      </c>
      <c r="B85" t="inlineStr">
        <is>
          <t>2030-05</t>
        </is>
      </c>
      <c r="C85" s="5" t="n">
        <v>0</v>
      </c>
      <c r="D85" s="5" t="n">
        <v>1763067.32</v>
      </c>
      <c r="E85" s="5" t="n">
        <v>0</v>
      </c>
      <c r="F85" s="5" t="n">
        <v>1836746.62</v>
      </c>
      <c r="G85" s="5" t="n">
        <v>346226737.82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-1763067.32</v>
      </c>
    </row>
    <row r="86">
      <c r="A86" t="n">
        <v>79</v>
      </c>
      <c r="B86" t="inlineStr">
        <is>
          <t>2030-06</t>
        </is>
      </c>
      <c r="C86" s="5" t="n">
        <v>56210.08</v>
      </c>
      <c r="D86" s="5" t="n">
        <v>3428954</v>
      </c>
      <c r="E86" s="5" t="n">
        <v>0</v>
      </c>
      <c r="F86" s="5" t="n">
        <v>1846542.6</v>
      </c>
      <c r="G86" s="5" t="n">
        <v>342685447.13</v>
      </c>
      <c r="H86" s="5" t="n">
        <v>5387833.29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5387833.29</v>
      </c>
      <c r="N86" s="5" t="n">
        <v>-3372743.92</v>
      </c>
    </row>
    <row r="87">
      <c r="A87" t="n">
        <v>80</v>
      </c>
      <c r="B87" t="inlineStr">
        <is>
          <t>2030-07</t>
        </is>
      </c>
      <c r="C87" s="5" t="n">
        <v>112697.41</v>
      </c>
      <c r="D87" s="5" t="n">
        <v>0</v>
      </c>
      <c r="E87" s="5" t="n">
        <v>0</v>
      </c>
      <c r="F87" s="5" t="n">
        <v>1827655.72</v>
      </c>
      <c r="G87" s="5" t="n">
        <v>339125269.57</v>
      </c>
      <c r="H87" s="5" t="n">
        <v>5387833.29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5387833.29</v>
      </c>
      <c r="N87" s="5" t="n">
        <v>112697.41</v>
      </c>
    </row>
    <row r="88">
      <c r="A88" t="n">
        <v>81</v>
      </c>
      <c r="B88" t="inlineStr">
        <is>
          <t>2030-08</t>
        </is>
      </c>
      <c r="C88" s="5" t="n">
        <v>169463.04</v>
      </c>
      <c r="D88" s="5" t="n">
        <v>0</v>
      </c>
      <c r="E88" s="5" t="n">
        <v>0</v>
      </c>
      <c r="F88" s="5" t="n">
        <v>1808668.1</v>
      </c>
      <c r="G88" s="5" t="n">
        <v>335546104.39</v>
      </c>
      <c r="H88" s="5" t="n">
        <v>5387833.29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5387833.29</v>
      </c>
      <c r="N88" s="5" t="n">
        <v>169463.04</v>
      </c>
    </row>
    <row r="89">
      <c r="A89" t="n">
        <v>82</v>
      </c>
      <c r="B89" t="inlineStr">
        <is>
          <t>2030-09</t>
        </is>
      </c>
      <c r="C89" s="5" t="n">
        <v>226507.97</v>
      </c>
      <c r="D89" s="5" t="n">
        <v>0</v>
      </c>
      <c r="E89" s="5" t="n">
        <v>0</v>
      </c>
      <c r="F89" s="5" t="n">
        <v>1789579.22</v>
      </c>
      <c r="G89" s="5" t="n">
        <v>331947850.32</v>
      </c>
      <c r="H89" s="5" t="n">
        <v>5387833.29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5387833.29</v>
      </c>
      <c r="N89" s="5" t="n">
        <v>226507.97</v>
      </c>
    </row>
    <row r="90">
      <c r="A90" t="n">
        <v>83</v>
      </c>
      <c r="B90" t="inlineStr">
        <is>
          <t>2030-10</t>
        </is>
      </c>
      <c r="C90" s="5" t="n">
        <v>283833.25</v>
      </c>
      <c r="D90" s="5" t="n">
        <v>0</v>
      </c>
      <c r="E90" s="5" t="n">
        <v>0</v>
      </c>
      <c r="F90" s="5" t="n">
        <v>1770388.54</v>
      </c>
      <c r="G90" s="5" t="n">
        <v>328330405.57</v>
      </c>
      <c r="H90" s="5" t="n">
        <v>5387833.29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5387833.29</v>
      </c>
      <c r="N90" s="5" t="n">
        <v>283833.25</v>
      </c>
    </row>
    <row r="91">
      <c r="A91" t="n">
        <v>84</v>
      </c>
      <c r="B91" t="inlineStr">
        <is>
          <t>2030-11</t>
        </is>
      </c>
      <c r="C91" s="5" t="n">
        <v>341439.91</v>
      </c>
      <c r="D91" s="5" t="n">
        <v>0</v>
      </c>
      <c r="E91" s="5" t="n">
        <v>0</v>
      </c>
      <c r="F91" s="5" t="n">
        <v>1751095.5</v>
      </c>
      <c r="G91" s="5" t="n">
        <v>324693667.78</v>
      </c>
      <c r="H91" s="5" t="n">
        <v>5387833.29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5387833.29</v>
      </c>
      <c r="N91" s="5" t="n">
        <v>341439.91</v>
      </c>
    </row>
    <row r="92">
      <c r="A92" t="n">
        <v>85</v>
      </c>
      <c r="B92" t="inlineStr">
        <is>
          <t>2030-12</t>
        </is>
      </c>
      <c r="C92" s="5" t="n">
        <v>483890.62</v>
      </c>
      <c r="D92" s="5" t="n">
        <v>4116531</v>
      </c>
      <c r="E92" s="5" t="n">
        <v>4116531</v>
      </c>
      <c r="F92" s="5" t="n">
        <v>1731699.56</v>
      </c>
      <c r="G92" s="5" t="n">
        <v>325154065.06</v>
      </c>
      <c r="H92" s="5" t="n">
        <v>5387833.29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5387833.29</v>
      </c>
      <c r="N92" s="5" t="n">
        <v>483890.62</v>
      </c>
    </row>
    <row r="93">
      <c r="A93" t="n">
        <v>86</v>
      </c>
      <c r="B93" t="inlineStr">
        <is>
          <t>2031-01</t>
        </is>
      </c>
      <c r="C93" s="5" t="n">
        <v>627041.9</v>
      </c>
      <c r="D93" s="5" t="n">
        <v>0</v>
      </c>
      <c r="E93" s="5" t="n">
        <v>0</v>
      </c>
      <c r="F93" s="5" t="n">
        <v>1734155.01</v>
      </c>
      <c r="G93" s="5" t="n">
        <v>321500386.79</v>
      </c>
      <c r="H93" s="5" t="n">
        <v>5387833.29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5387833.29</v>
      </c>
      <c r="N93" s="5" t="n">
        <v>627041.9</v>
      </c>
    </row>
    <row r="94">
      <c r="A94" t="n">
        <v>87</v>
      </c>
      <c r="B94" t="inlineStr">
        <is>
          <t>2031-02</t>
        </is>
      </c>
      <c r="C94" s="5" t="n">
        <v>770896.33</v>
      </c>
      <c r="D94" s="5" t="n">
        <v>0</v>
      </c>
      <c r="E94" s="5" t="n">
        <v>0</v>
      </c>
      <c r="F94" s="5" t="n">
        <v>1714668.73</v>
      </c>
      <c r="G94" s="5" t="n">
        <v>317827222.23</v>
      </c>
      <c r="H94" s="5" t="n">
        <v>5387833.29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5387833.29</v>
      </c>
      <c r="N94" s="5" t="n">
        <v>770896.33</v>
      </c>
    </row>
    <row r="95">
      <c r="A95" t="n">
        <v>88</v>
      </c>
      <c r="B95" t="inlineStr">
        <is>
          <t>2031-03</t>
        </is>
      </c>
      <c r="C95" s="5" t="n">
        <v>915456.52</v>
      </c>
      <c r="D95" s="5" t="n">
        <v>0</v>
      </c>
      <c r="E95" s="5" t="n">
        <v>0</v>
      </c>
      <c r="F95" s="5" t="n">
        <v>1695078.52</v>
      </c>
      <c r="G95" s="5" t="n">
        <v>314134467.47</v>
      </c>
      <c r="H95" s="5" t="n">
        <v>5387833.29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5387833.29</v>
      </c>
      <c r="N95" s="5" t="n">
        <v>915456.52</v>
      </c>
    </row>
    <row r="96">
      <c r="A96" t="n">
        <v>89</v>
      </c>
      <c r="B96" t="inlineStr">
        <is>
          <t>2031-04</t>
        </is>
      </c>
      <c r="C96" s="5" t="n">
        <v>1060725.07</v>
      </c>
      <c r="D96" s="5" t="n">
        <v>0</v>
      </c>
      <c r="E96" s="5" t="n">
        <v>0</v>
      </c>
      <c r="F96" s="5" t="n">
        <v>1675383.83</v>
      </c>
      <c r="G96" s="5" t="n">
        <v>310422018.01</v>
      </c>
      <c r="H96" s="5" t="n">
        <v>5387833.29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5387833.29</v>
      </c>
      <c r="N96" s="5" t="n">
        <v>1060725.07</v>
      </c>
    </row>
    <row r="97">
      <c r="A97" t="n">
        <v>90</v>
      </c>
      <c r="B97" t="inlineStr">
        <is>
          <t>2031-05</t>
        </is>
      </c>
      <c r="C97" s="5" t="n">
        <v>1206704.59</v>
      </c>
      <c r="D97" s="5" t="n">
        <v>0</v>
      </c>
      <c r="E97" s="5" t="n">
        <v>0</v>
      </c>
      <c r="F97" s="5" t="n">
        <v>1655584.1</v>
      </c>
      <c r="G97" s="5" t="n">
        <v>306689768.82</v>
      </c>
      <c r="H97" s="5" t="n">
        <v>5387833.29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5387833.29</v>
      </c>
      <c r="N97" s="5" t="n">
        <v>1206704.59</v>
      </c>
    </row>
    <row r="98">
      <c r="A98" t="n">
        <v>91</v>
      </c>
      <c r="B98" t="inlineStr">
        <is>
          <t>2031-06</t>
        </is>
      </c>
      <c r="C98" s="5" t="n">
        <v>1353397.71</v>
      </c>
      <c r="D98" s="5" t="n">
        <v>0</v>
      </c>
      <c r="E98" s="5" t="n">
        <v>0</v>
      </c>
      <c r="F98" s="5" t="n">
        <v>1635678.77</v>
      </c>
      <c r="G98" s="5" t="n">
        <v>302937614.3</v>
      </c>
      <c r="H98" s="5" t="n">
        <v>5387833.29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5387833.29</v>
      </c>
      <c r="N98" s="5" t="n">
        <v>1353397.71</v>
      </c>
    </row>
    <row r="99">
      <c r="A99" t="n">
        <v>92</v>
      </c>
      <c r="B99" t="inlineStr">
        <is>
          <t>2031-07</t>
        </is>
      </c>
      <c r="C99" s="5" t="n">
        <v>1500807.06</v>
      </c>
      <c r="D99" s="5" t="n">
        <v>0</v>
      </c>
      <c r="E99" s="5" t="n">
        <v>0</v>
      </c>
      <c r="F99" s="5" t="n">
        <v>1615667.28</v>
      </c>
      <c r="G99" s="5" t="n">
        <v>299165448.29</v>
      </c>
      <c r="H99" s="5" t="n">
        <v>5387833.29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5387833.29</v>
      </c>
      <c r="N99" s="5" t="n">
        <v>1500807.06</v>
      </c>
    </row>
    <row r="100">
      <c r="A100" t="n">
        <v>93</v>
      </c>
      <c r="B100" t="inlineStr">
        <is>
          <t>2031-08</t>
        </is>
      </c>
      <c r="C100" s="5" t="n">
        <v>1648935.28</v>
      </c>
      <c r="D100" s="5" t="n">
        <v>0</v>
      </c>
      <c r="E100" s="5" t="n">
        <v>0</v>
      </c>
      <c r="F100" s="5" t="n">
        <v>1595549.06</v>
      </c>
      <c r="G100" s="5" t="n">
        <v>295373164.06</v>
      </c>
      <c r="H100" s="5" t="n">
        <v>5387833.29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5387833.29</v>
      </c>
      <c r="N100" s="5" t="n">
        <v>1648935.28</v>
      </c>
    </row>
    <row r="101">
      <c r="A101" t="n">
        <v>94</v>
      </c>
      <c r="B101" t="inlineStr">
        <is>
          <t>2031-09</t>
        </is>
      </c>
      <c r="C101" s="5" t="n">
        <v>1797785.02</v>
      </c>
      <c r="D101" s="5" t="n">
        <v>0</v>
      </c>
      <c r="E101" s="5" t="n">
        <v>0</v>
      </c>
      <c r="F101" s="5" t="n">
        <v>1575323.54</v>
      </c>
      <c r="G101" s="5" t="n">
        <v>291560654.32</v>
      </c>
      <c r="H101" s="5" t="n">
        <v>5387833.29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5387833.29</v>
      </c>
      <c r="N101" s="5" t="n">
        <v>1797785.02</v>
      </c>
    </row>
    <row r="102">
      <c r="A102" t="n">
        <v>95</v>
      </c>
      <c r="B102" t="inlineStr">
        <is>
          <t>2031-10</t>
        </is>
      </c>
      <c r="C102" s="5" t="n">
        <v>1947358.93</v>
      </c>
      <c r="D102" s="5" t="n">
        <v>0</v>
      </c>
      <c r="E102" s="5" t="n">
        <v>0</v>
      </c>
      <c r="F102" s="5" t="n">
        <v>1554990.16</v>
      </c>
      <c r="G102" s="5" t="n">
        <v>287727811.19</v>
      </c>
      <c r="H102" s="5" t="n">
        <v>5387833.29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5387833.29</v>
      </c>
      <c r="N102" s="5" t="n">
        <v>1947358.93</v>
      </c>
    </row>
    <row r="103">
      <c r="A103" t="n">
        <v>96</v>
      </c>
      <c r="B103" t="inlineStr">
        <is>
          <t>2031-11</t>
        </is>
      </c>
      <c r="C103" s="5" t="n">
        <v>2097659.69</v>
      </c>
      <c r="D103" s="5" t="n">
        <v>0</v>
      </c>
      <c r="E103" s="5" t="n">
        <v>0</v>
      </c>
      <c r="F103" s="5" t="n">
        <v>1534548.33</v>
      </c>
      <c r="G103" s="5" t="n">
        <v>283874526.23</v>
      </c>
      <c r="H103" s="5" t="n">
        <v>5387833.29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5387833.29</v>
      </c>
      <c r="N103" s="5" t="n">
        <v>2097659.69</v>
      </c>
    </row>
    <row r="104">
      <c r="A104" t="n">
        <v>97</v>
      </c>
      <c r="B104" t="inlineStr">
        <is>
          <t>2031-12</t>
        </is>
      </c>
      <c r="C104" s="5" t="n">
        <v>2189931.57</v>
      </c>
      <c r="D104" s="5" t="n">
        <v>0</v>
      </c>
      <c r="E104" s="5" t="n">
        <v>0</v>
      </c>
      <c r="F104" s="5" t="n">
        <v>1513997.47</v>
      </c>
      <c r="G104" s="5" t="n">
        <v>280000690.42</v>
      </c>
      <c r="H104" s="5" t="n">
        <v>5387833.29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5387833.29</v>
      </c>
      <c r="N104" s="5" t="n">
        <v>2189931.57</v>
      </c>
    </row>
    <row r="105">
      <c r="A105" t="n">
        <v>98</v>
      </c>
      <c r="B105" t="inlineStr">
        <is>
          <t>2032-01</t>
        </is>
      </c>
      <c r="C105" s="5" t="n">
        <v>2282645.81</v>
      </c>
      <c r="D105" s="5" t="n">
        <v>0</v>
      </c>
      <c r="E105" s="5" t="n">
        <v>0</v>
      </c>
      <c r="F105" s="5" t="n">
        <v>1493337.02</v>
      </c>
      <c r="G105" s="5" t="n">
        <v>276106194.15</v>
      </c>
      <c r="H105" s="5" t="n">
        <v>5387833.29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5387833.29</v>
      </c>
      <c r="N105" s="5" t="n">
        <v>2282645.81</v>
      </c>
    </row>
    <row r="106">
      <c r="A106" t="n">
        <v>99</v>
      </c>
      <c r="B106" t="inlineStr">
        <is>
          <t>2032-02</t>
        </is>
      </c>
      <c r="C106" s="5" t="n">
        <v>2375804.06</v>
      </c>
      <c r="D106" s="5" t="n">
        <v>0</v>
      </c>
      <c r="E106" s="5" t="n">
        <v>0</v>
      </c>
      <c r="F106" s="5" t="n">
        <v>1472566.37</v>
      </c>
      <c r="G106" s="5" t="n">
        <v>272190927.23</v>
      </c>
      <c r="H106" s="5" t="n">
        <v>5387833.29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5387833.29</v>
      </c>
      <c r="N106" s="5" t="n">
        <v>2375804.06</v>
      </c>
    </row>
    <row r="107">
      <c r="A107" t="n">
        <v>100</v>
      </c>
      <c r="B107" t="inlineStr">
        <is>
          <t>2032-03</t>
        </is>
      </c>
      <c r="C107" s="5" t="n">
        <v>2469407.93</v>
      </c>
      <c r="D107" s="5" t="n">
        <v>0</v>
      </c>
      <c r="E107" s="5" t="n">
        <v>0</v>
      </c>
      <c r="F107" s="5" t="n">
        <v>1451684.95</v>
      </c>
      <c r="G107" s="5" t="n">
        <v>268254778.89</v>
      </c>
      <c r="H107" s="5" t="n">
        <v>5387833.29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5387833.29</v>
      </c>
      <c r="N107" s="5" t="n">
        <v>2469407.93</v>
      </c>
    </row>
    <row r="108">
      <c r="A108" t="n">
        <v>101</v>
      </c>
      <c r="B108" t="inlineStr">
        <is>
          <t>2032-04</t>
        </is>
      </c>
      <c r="C108" s="5" t="n">
        <v>2563459.05</v>
      </c>
      <c r="D108" s="5" t="n">
        <v>0</v>
      </c>
      <c r="E108" s="5" t="n">
        <v>0</v>
      </c>
      <c r="F108" s="5" t="n">
        <v>1430692.15</v>
      </c>
      <c r="G108" s="5" t="n">
        <v>264297637.76</v>
      </c>
      <c r="H108" s="5" t="n">
        <v>5387833.29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5387833.29</v>
      </c>
      <c r="N108" s="5" t="n">
        <v>2563459.05</v>
      </c>
    </row>
    <row r="109">
      <c r="A109" t="n">
        <v>102</v>
      </c>
      <c r="B109" t="inlineStr">
        <is>
          <t>2032-05</t>
        </is>
      </c>
      <c r="C109" s="5" t="n">
        <v>2657959.06</v>
      </c>
      <c r="D109" s="5" t="n">
        <v>0</v>
      </c>
      <c r="E109" s="5" t="n">
        <v>0</v>
      </c>
      <c r="F109" s="5" t="n">
        <v>1409587.4</v>
      </c>
      <c r="G109" s="5" t="n">
        <v>260319391.88</v>
      </c>
      <c r="H109" s="5" t="n">
        <v>5387833.29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5387833.29</v>
      </c>
      <c r="N109" s="5" t="n">
        <v>2657959.06</v>
      </c>
    </row>
    <row r="110">
      <c r="A110" t="n">
        <v>103</v>
      </c>
      <c r="B110" t="inlineStr">
        <is>
          <t>2032-06</t>
        </is>
      </c>
      <c r="C110" s="5" t="n">
        <v>2664514.3</v>
      </c>
      <c r="D110" s="5" t="n">
        <v>0</v>
      </c>
      <c r="E110" s="5" t="n">
        <v>0</v>
      </c>
      <c r="F110" s="5" t="n">
        <v>1388370.09</v>
      </c>
      <c r="G110" s="5" t="n">
        <v>0</v>
      </c>
      <c r="H110" s="5" t="n">
        <v>0</v>
      </c>
      <c r="I110" s="5" t="n">
        <v>347217832.21</v>
      </c>
      <c r="J110" s="5" t="n">
        <v>0</v>
      </c>
      <c r="K110" s="5" t="n">
        <v>0</v>
      </c>
      <c r="L110" s="5" t="n">
        <v>0</v>
      </c>
      <c r="M110" s="5" t="n">
        <v>261707761.97</v>
      </c>
      <c r="N110" s="5" t="n">
        <v>88174584.55</v>
      </c>
    </row>
    <row r="111">
      <c r="A111" t="n">
        <v>104</v>
      </c>
      <c r="B111" t="inlineStr">
        <is>
          <t>2032-07</t>
        </is>
      </c>
      <c r="C111" s="5" t="n">
        <v>2671085.71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2183247.96</v>
      </c>
      <c r="K111" s="5" t="n">
        <v>0</v>
      </c>
      <c r="L111" s="5" t="n">
        <v>0</v>
      </c>
      <c r="M111" s="5" t="n">
        <v>0</v>
      </c>
      <c r="N111" s="5" t="n">
        <v>487837.76</v>
      </c>
    </row>
    <row r="112">
      <c r="A112" t="n">
        <v>105</v>
      </c>
      <c r="B112" t="inlineStr">
        <is>
          <t>2032-08</t>
        </is>
      </c>
      <c r="C112" s="5" t="n">
        <v>2677673.33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2183247.96</v>
      </c>
      <c r="K112" s="5" t="n">
        <v>0</v>
      </c>
      <c r="L112" s="5" t="n">
        <v>0</v>
      </c>
      <c r="M112" s="5" t="n">
        <v>0</v>
      </c>
      <c r="N112" s="5" t="n">
        <v>494425.37</v>
      </c>
    </row>
    <row r="113">
      <c r="A113" t="n">
        <v>106</v>
      </c>
      <c r="B113" t="inlineStr">
        <is>
          <t>2032-09</t>
        </is>
      </c>
      <c r="C113" s="5" t="n">
        <v>2684277.2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2183247.96</v>
      </c>
      <c r="K113" s="5" t="n">
        <v>0</v>
      </c>
      <c r="L113" s="5" t="n">
        <v>0</v>
      </c>
      <c r="M113" s="5" t="n">
        <v>0</v>
      </c>
      <c r="N113" s="5" t="n">
        <v>501029.24</v>
      </c>
    </row>
    <row r="114">
      <c r="A114" t="n">
        <v>107</v>
      </c>
      <c r="B114" t="inlineStr">
        <is>
          <t>2032-10</t>
        </is>
      </c>
      <c r="C114" s="5" t="n">
        <v>2690897.35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2183247.96</v>
      </c>
      <c r="K114" s="5" t="n">
        <v>0</v>
      </c>
      <c r="L114" s="5" t="n">
        <v>0</v>
      </c>
      <c r="M114" s="5" t="n">
        <v>0</v>
      </c>
      <c r="N114" s="5" t="n">
        <v>507649.39</v>
      </c>
    </row>
    <row r="115">
      <c r="A115" t="n">
        <v>108</v>
      </c>
      <c r="B115" t="inlineStr">
        <is>
          <t>2032-11</t>
        </is>
      </c>
      <c r="C115" s="5" t="n">
        <v>2697533.83</v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2183247.96</v>
      </c>
      <c r="K115" s="5" t="n">
        <v>0</v>
      </c>
      <c r="L115" s="5" t="n">
        <v>0</v>
      </c>
      <c r="M115" s="5" t="n">
        <v>0</v>
      </c>
      <c r="N115" s="5" t="n">
        <v>514285.87</v>
      </c>
    </row>
    <row r="116">
      <c r="A116" t="n">
        <v>109</v>
      </c>
      <c r="B116" t="inlineStr">
        <is>
          <t>2032-12</t>
        </is>
      </c>
      <c r="C116" s="5" t="n">
        <v>2704186.67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2183247.96</v>
      </c>
      <c r="K116" s="5" t="n">
        <v>0</v>
      </c>
      <c r="L116" s="5" t="n">
        <v>0</v>
      </c>
      <c r="M116" s="5" t="n">
        <v>0</v>
      </c>
      <c r="N116" s="5" t="n">
        <v>520938.72</v>
      </c>
    </row>
    <row r="117">
      <c r="A117" t="n">
        <v>110</v>
      </c>
      <c r="B117" t="inlineStr">
        <is>
          <t>2033-01</t>
        </is>
      </c>
      <c r="C117" s="5" t="n">
        <v>2710855.93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2183247.96</v>
      </c>
      <c r="K117" s="5" t="n">
        <v>0</v>
      </c>
      <c r="L117" s="5" t="n">
        <v>0</v>
      </c>
      <c r="M117" s="5" t="n">
        <v>0</v>
      </c>
      <c r="N117" s="5" t="n">
        <v>527607.97</v>
      </c>
    </row>
    <row r="118">
      <c r="A118" t="n">
        <v>111</v>
      </c>
      <c r="B118" t="inlineStr">
        <is>
          <t>2033-02</t>
        </is>
      </c>
      <c r="C118" s="5" t="n">
        <v>2717541.63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2183247.96</v>
      </c>
      <c r="K118" s="5" t="n">
        <v>0</v>
      </c>
      <c r="L118" s="5" t="n">
        <v>0</v>
      </c>
      <c r="M118" s="5" t="n">
        <v>0</v>
      </c>
      <c r="N118" s="5" t="n">
        <v>534293.67</v>
      </c>
    </row>
    <row r="119">
      <c r="A119" t="n">
        <v>112</v>
      </c>
      <c r="B119" t="inlineStr">
        <is>
          <t>2033-03</t>
        </is>
      </c>
      <c r="C119" s="5" t="n">
        <v>2724243.82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2183247.96</v>
      </c>
      <c r="K119" s="5" t="n">
        <v>0</v>
      </c>
      <c r="L119" s="5" t="n">
        <v>0</v>
      </c>
      <c r="M119" s="5" t="n">
        <v>0</v>
      </c>
      <c r="N119" s="5" t="n">
        <v>540995.86</v>
      </c>
    </row>
    <row r="120">
      <c r="A120" t="n">
        <v>113</v>
      </c>
      <c r="B120" t="inlineStr">
        <is>
          <t>2033-04</t>
        </is>
      </c>
      <c r="C120" s="5" t="n">
        <v>2730962.54</v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2183247.96</v>
      </c>
      <c r="K120" s="5" t="n">
        <v>0</v>
      </c>
      <c r="L120" s="5" t="n">
        <v>0</v>
      </c>
      <c r="M120" s="5" t="n">
        <v>0</v>
      </c>
      <c r="N120" s="5" t="n">
        <v>547714.58</v>
      </c>
    </row>
    <row r="121">
      <c r="A121" t="n">
        <v>114</v>
      </c>
      <c r="B121" t="inlineStr">
        <is>
          <t>2033-05</t>
        </is>
      </c>
      <c r="C121" s="5" t="n">
        <v>2737697.83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2183247.96</v>
      </c>
      <c r="K121" s="5" t="n">
        <v>0</v>
      </c>
      <c r="L121" s="5" t="n">
        <v>0</v>
      </c>
      <c r="M121" s="5" t="n">
        <v>0</v>
      </c>
      <c r="N121" s="5" t="n">
        <v>554449.87</v>
      </c>
    </row>
    <row r="122">
      <c r="A122" t="n">
        <v>115</v>
      </c>
      <c r="B122" t="inlineStr">
        <is>
          <t>2033-06</t>
        </is>
      </c>
      <c r="C122" s="5" t="n">
        <v>2744449.73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2183247.96</v>
      </c>
      <c r="K122" s="5" t="n">
        <v>0</v>
      </c>
      <c r="L122" s="5" t="n">
        <v>0</v>
      </c>
      <c r="M122" s="5" t="n">
        <v>0</v>
      </c>
      <c r="N122" s="5" t="n">
        <v>561201.77</v>
      </c>
    </row>
    <row r="123">
      <c r="A123" t="n">
        <v>116</v>
      </c>
      <c r="B123" t="inlineStr">
        <is>
          <t>2033-07</t>
        </is>
      </c>
      <c r="C123" s="5" t="n">
        <v>2751218.28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2183247.96</v>
      </c>
      <c r="K123" s="5" t="n">
        <v>0</v>
      </c>
      <c r="L123" s="5" t="n">
        <v>0</v>
      </c>
      <c r="M123" s="5" t="n">
        <v>0</v>
      </c>
      <c r="N123" s="5" t="n">
        <v>567970.33</v>
      </c>
    </row>
    <row r="124">
      <c r="A124" t="n">
        <v>117</v>
      </c>
      <c r="B124" t="inlineStr">
        <is>
          <t>2033-08</t>
        </is>
      </c>
      <c r="C124" s="5" t="n">
        <v>2758003.53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2183247.96</v>
      </c>
      <c r="K124" s="5" t="n">
        <v>0</v>
      </c>
      <c r="L124" s="5" t="n">
        <v>0</v>
      </c>
      <c r="M124" s="5" t="n">
        <v>0</v>
      </c>
      <c r="N124" s="5" t="n">
        <v>574755.5699999999</v>
      </c>
    </row>
    <row r="125">
      <c r="A125" t="n">
        <v>118</v>
      </c>
      <c r="B125" t="inlineStr">
        <is>
          <t>2033-09</t>
        </is>
      </c>
      <c r="C125" s="5" t="n">
        <v>2764805.51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2183247.96</v>
      </c>
      <c r="K125" s="5" t="n">
        <v>0</v>
      </c>
      <c r="L125" s="5" t="n">
        <v>0</v>
      </c>
      <c r="M125" s="5" t="n">
        <v>0</v>
      </c>
      <c r="N125" s="5" t="n">
        <v>581557.55</v>
      </c>
    </row>
    <row r="126">
      <c r="A126" t="n">
        <v>119</v>
      </c>
      <c r="B126" t="inlineStr">
        <is>
          <t>2033-10</t>
        </is>
      </c>
      <c r="C126" s="5" t="n">
        <v>2771624.27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2183247.96</v>
      </c>
      <c r="K126" s="5" t="n">
        <v>0</v>
      </c>
      <c r="L126" s="5" t="n">
        <v>0</v>
      </c>
      <c r="M126" s="5" t="n">
        <v>0</v>
      </c>
      <c r="N126" s="5" t="n">
        <v>588376.3100000001</v>
      </c>
    </row>
    <row r="127">
      <c r="A127" t="n">
        <v>120</v>
      </c>
      <c r="B127" t="inlineStr">
        <is>
          <t>2033-11</t>
        </is>
      </c>
      <c r="C127" s="5" t="n">
        <v>2778459.84</v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2183247.96</v>
      </c>
      <c r="K127" s="5" t="n">
        <v>0</v>
      </c>
      <c r="L127" s="5" t="n">
        <v>0</v>
      </c>
      <c r="M127" s="5" t="n">
        <v>0</v>
      </c>
      <c r="N127" s="5" t="n">
        <v>595211.88</v>
      </c>
    </row>
    <row r="128">
      <c r="A128" t="n">
        <v>121</v>
      </c>
      <c r="B128" t="inlineStr">
        <is>
          <t>2033-12</t>
        </is>
      </c>
      <c r="C128" s="5" t="n">
        <v>2785312.27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2183247.96</v>
      </c>
      <c r="K128" s="5" t="n">
        <v>0</v>
      </c>
      <c r="L128" s="5" t="n">
        <v>0</v>
      </c>
      <c r="M128" s="5" t="n">
        <v>0</v>
      </c>
      <c r="N128" s="5" t="n">
        <v>602064.3199999999</v>
      </c>
    </row>
    <row r="129">
      <c r="A129" t="n">
        <v>122</v>
      </c>
      <c r="B129" t="inlineStr">
        <is>
          <t>2034-01</t>
        </is>
      </c>
      <c r="C129" s="5" t="n">
        <v>2792181.6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2183247.96</v>
      </c>
      <c r="K129" s="5" t="n">
        <v>0</v>
      </c>
      <c r="L129" s="5" t="n">
        <v>0</v>
      </c>
      <c r="M129" s="5" t="n">
        <v>0</v>
      </c>
      <c r="N129" s="5" t="n">
        <v>608933.65</v>
      </c>
    </row>
    <row r="130">
      <c r="A130" t="n">
        <v>123</v>
      </c>
      <c r="B130" t="inlineStr">
        <is>
          <t>2034-02</t>
        </is>
      </c>
      <c r="C130" s="5" t="n">
        <v>2799067.88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2183247.96</v>
      </c>
      <c r="K130" s="5" t="n">
        <v>0</v>
      </c>
      <c r="L130" s="5" t="n">
        <v>0</v>
      </c>
      <c r="M130" s="5" t="n">
        <v>0</v>
      </c>
      <c r="N130" s="5" t="n">
        <v>615819.92</v>
      </c>
    </row>
    <row r="131">
      <c r="A131" t="n">
        <v>124</v>
      </c>
      <c r="B131" t="inlineStr">
        <is>
          <t>2034-03</t>
        </is>
      </c>
      <c r="C131" s="5" t="n">
        <v>2805971.13</v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2183247.96</v>
      </c>
      <c r="K131" s="5" t="n">
        <v>0</v>
      </c>
      <c r="L131" s="5" t="n">
        <v>0</v>
      </c>
      <c r="M131" s="5" t="n">
        <v>0</v>
      </c>
      <c r="N131" s="5" t="n">
        <v>622723.1800000001</v>
      </c>
    </row>
    <row r="132">
      <c r="A132" t="n">
        <v>125</v>
      </c>
      <c r="B132" t="inlineStr">
        <is>
          <t>2034-04</t>
        </is>
      </c>
      <c r="C132" s="5" t="n">
        <v>2812891.42</v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2183247.96</v>
      </c>
      <c r="K132" s="5" t="n">
        <v>0</v>
      </c>
      <c r="L132" s="5" t="n">
        <v>0</v>
      </c>
      <c r="M132" s="5" t="n">
        <v>0</v>
      </c>
      <c r="N132" s="5" t="n">
        <v>629643.46</v>
      </c>
    </row>
    <row r="133">
      <c r="A133" t="n">
        <v>126</v>
      </c>
      <c r="B133" t="inlineStr">
        <is>
          <t>2034-05</t>
        </is>
      </c>
      <c r="C133" s="5" t="n">
        <v>2819828.77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2183247.96</v>
      </c>
      <c r="K133" s="5" t="n">
        <v>0</v>
      </c>
      <c r="L133" s="5" t="n">
        <v>0</v>
      </c>
      <c r="M133" s="5" t="n">
        <v>0</v>
      </c>
      <c r="N133" s="5" t="n">
        <v>636580.8100000001</v>
      </c>
    </row>
    <row r="134">
      <c r="A134" t="n">
        <v>127</v>
      </c>
      <c r="B134" t="inlineStr">
        <is>
          <t>2034-06</t>
        </is>
      </c>
      <c r="C134" s="5" t="n">
        <v>2826783.22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2183247.96</v>
      </c>
      <c r="K134" s="5" t="n">
        <v>0</v>
      </c>
      <c r="L134" s="5" t="n">
        <v>0</v>
      </c>
      <c r="M134" s="5" t="n">
        <v>0</v>
      </c>
      <c r="N134" s="5" t="n">
        <v>643535.27</v>
      </c>
    </row>
    <row r="135">
      <c r="A135" t="n">
        <v>128</v>
      </c>
      <c r="B135" t="inlineStr">
        <is>
          <t>2034-07</t>
        </is>
      </c>
      <c r="C135" s="5" t="n">
        <v>2833754.83</v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2183247.96</v>
      </c>
      <c r="K135" s="5" t="n">
        <v>0</v>
      </c>
      <c r="L135" s="5" t="n">
        <v>0</v>
      </c>
      <c r="M135" s="5" t="n">
        <v>0</v>
      </c>
      <c r="N135" s="5" t="n">
        <v>650506.88</v>
      </c>
    </row>
    <row r="136">
      <c r="A136" t="n">
        <v>129</v>
      </c>
      <c r="B136" t="inlineStr">
        <is>
          <t>2034-08</t>
        </is>
      </c>
      <c r="C136" s="5" t="n">
        <v>2840743.64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2183247.96</v>
      </c>
      <c r="K136" s="5" t="n">
        <v>0</v>
      </c>
      <c r="L136" s="5" t="n">
        <v>0</v>
      </c>
      <c r="M136" s="5" t="n">
        <v>0</v>
      </c>
      <c r="N136" s="5" t="n">
        <v>657495.6800000001</v>
      </c>
    </row>
    <row r="137">
      <c r="A137" t="n">
        <v>130</v>
      </c>
      <c r="B137" t="inlineStr">
        <is>
          <t>2034-09</t>
        </is>
      </c>
      <c r="C137" s="5" t="n">
        <v>2847749.68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2183247.96</v>
      </c>
      <c r="K137" s="5" t="n">
        <v>0</v>
      </c>
      <c r="L137" s="5" t="n">
        <v>0</v>
      </c>
      <c r="M137" s="5" t="n">
        <v>0</v>
      </c>
      <c r="N137" s="5" t="n">
        <v>664501.72</v>
      </c>
    </row>
    <row r="138">
      <c r="A138" t="n">
        <v>131</v>
      </c>
      <c r="B138" t="inlineStr">
        <is>
          <t>2034-10</t>
        </is>
      </c>
      <c r="C138" s="5" t="n">
        <v>2854773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2183247.96</v>
      </c>
      <c r="K138" s="5" t="n">
        <v>0</v>
      </c>
      <c r="L138" s="5" t="n">
        <v>0</v>
      </c>
      <c r="M138" s="5" t="n">
        <v>0</v>
      </c>
      <c r="N138" s="5" t="n">
        <v>671525.04</v>
      </c>
    </row>
    <row r="139">
      <c r="A139" t="n">
        <v>132</v>
      </c>
      <c r="B139" t="inlineStr">
        <is>
          <t>2034-11</t>
        </is>
      </c>
      <c r="C139" s="5" t="n">
        <v>2861813.64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2183247.96</v>
      </c>
      <c r="K139" s="5" t="n">
        <v>0</v>
      </c>
      <c r="L139" s="5" t="n">
        <v>0</v>
      </c>
      <c r="M139" s="5" t="n">
        <v>0</v>
      </c>
      <c r="N139" s="5" t="n">
        <v>678565.6800000001</v>
      </c>
    </row>
    <row r="140">
      <c r="A140" t="n">
        <v>133</v>
      </c>
      <c r="B140" t="inlineStr">
        <is>
          <t>2034-12</t>
        </is>
      </c>
      <c r="C140" s="5" t="n">
        <v>2868871.64</v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2183247.96</v>
      </c>
      <c r="K140" s="5" t="n">
        <v>0</v>
      </c>
      <c r="L140" s="5" t="n">
        <v>0</v>
      </c>
      <c r="M140" s="5" t="n">
        <v>0</v>
      </c>
      <c r="N140" s="5" t="n">
        <v>685623.6800000001</v>
      </c>
    </row>
    <row r="141">
      <c r="A141" t="n">
        <v>134</v>
      </c>
      <c r="B141" t="inlineStr">
        <is>
          <t>2035-01</t>
        </is>
      </c>
      <c r="C141" s="5" t="n">
        <v>2875947.05</v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2183247.96</v>
      </c>
      <c r="K141" s="5" t="n">
        <v>0</v>
      </c>
      <c r="L141" s="5" t="n">
        <v>0</v>
      </c>
      <c r="M141" s="5" t="n">
        <v>0</v>
      </c>
      <c r="N141" s="5" t="n">
        <v>692699.09</v>
      </c>
    </row>
    <row r="142">
      <c r="A142" t="n">
        <v>135</v>
      </c>
      <c r="B142" t="inlineStr">
        <is>
          <t>2035-02</t>
        </is>
      </c>
      <c r="C142" s="5" t="n">
        <v>2883039.91</v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2183247.96</v>
      </c>
      <c r="K142" s="5" t="n">
        <v>0</v>
      </c>
      <c r="L142" s="5" t="n">
        <v>0</v>
      </c>
      <c r="M142" s="5" t="n">
        <v>0</v>
      </c>
      <c r="N142" s="5" t="n">
        <v>699791.96</v>
      </c>
    </row>
    <row r="143">
      <c r="A143" t="n">
        <v>136</v>
      </c>
      <c r="B143" t="inlineStr">
        <is>
          <t>2035-03</t>
        </is>
      </c>
      <c r="C143" s="5" t="n">
        <v>2890150.27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2183247.96</v>
      </c>
      <c r="K143" s="5" t="n">
        <v>0</v>
      </c>
      <c r="L143" s="5" t="n">
        <v>0</v>
      </c>
      <c r="M143" s="5" t="n">
        <v>0</v>
      </c>
      <c r="N143" s="5" t="n">
        <v>706902.3100000001</v>
      </c>
    </row>
    <row r="144">
      <c r="A144" t="n">
        <v>137</v>
      </c>
      <c r="B144" t="inlineStr">
        <is>
          <t>2035-04</t>
        </is>
      </c>
      <c r="C144" s="5" t="n">
        <v>2897278.16</v>
      </c>
      <c r="D144" s="5" t="n">
        <v>0</v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2183247.96</v>
      </c>
      <c r="K144" s="5" t="n">
        <v>0</v>
      </c>
      <c r="L144" s="5" t="n">
        <v>0</v>
      </c>
      <c r="M144" s="5" t="n">
        <v>0</v>
      </c>
      <c r="N144" s="5" t="n">
        <v>714030.2</v>
      </c>
    </row>
    <row r="145">
      <c r="A145" t="n">
        <v>138</v>
      </c>
      <c r="B145" t="inlineStr">
        <is>
          <t>2035-05</t>
        </is>
      </c>
      <c r="C145" s="5" t="n">
        <v>2904423.63</v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2183247.96</v>
      </c>
      <c r="K145" s="5" t="n">
        <v>0</v>
      </c>
      <c r="L145" s="5" t="n">
        <v>0</v>
      </c>
      <c r="M145" s="5" t="n">
        <v>0</v>
      </c>
      <c r="N145" s="5" t="n">
        <v>721175.67</v>
      </c>
    </row>
    <row r="146">
      <c r="A146" t="n">
        <v>139</v>
      </c>
      <c r="B146" t="inlineStr">
        <is>
          <t>2035-06</t>
        </is>
      </c>
      <c r="C146" s="5" t="n">
        <v>2911586.72</v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2183247.96</v>
      </c>
      <c r="K146" s="5" t="n">
        <v>0</v>
      </c>
      <c r="L146" s="5" t="n">
        <v>0</v>
      </c>
      <c r="M146" s="5" t="n">
        <v>0</v>
      </c>
      <c r="N146" s="5" t="n">
        <v>728338.76</v>
      </c>
    </row>
    <row r="147">
      <c r="A147" t="n">
        <v>140</v>
      </c>
      <c r="B147" t="inlineStr">
        <is>
          <t>2035-07</t>
        </is>
      </c>
      <c r="C147" s="5" t="n">
        <v>2918767.48</v>
      </c>
      <c r="D147" s="5" t="n">
        <v>0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2183247.96</v>
      </c>
      <c r="K147" s="5" t="n">
        <v>0</v>
      </c>
      <c r="L147" s="5" t="n">
        <v>0</v>
      </c>
      <c r="M147" s="5" t="n">
        <v>0</v>
      </c>
      <c r="N147" s="5" t="n">
        <v>735519.52</v>
      </c>
    </row>
    <row r="148">
      <c r="A148" t="n">
        <v>141</v>
      </c>
      <c r="B148" t="inlineStr">
        <is>
          <t>2035-08</t>
        </is>
      </c>
      <c r="C148" s="5" t="n">
        <v>2925965.95</v>
      </c>
      <c r="D148" s="5" t="n">
        <v>0</v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2183247.96</v>
      </c>
      <c r="K148" s="5" t="n">
        <v>0</v>
      </c>
      <c r="L148" s="5" t="n">
        <v>0</v>
      </c>
      <c r="M148" s="5" t="n">
        <v>0</v>
      </c>
      <c r="N148" s="5" t="n">
        <v>742717.99</v>
      </c>
    </row>
    <row r="149">
      <c r="A149" t="n">
        <v>142</v>
      </c>
      <c r="B149" t="inlineStr">
        <is>
          <t>2035-09</t>
        </is>
      </c>
      <c r="C149" s="5" t="n">
        <v>2933182.17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2183247.96</v>
      </c>
      <c r="K149" s="5" t="n">
        <v>0</v>
      </c>
      <c r="L149" s="5" t="n">
        <v>0</v>
      </c>
      <c r="M149" s="5" t="n">
        <v>0</v>
      </c>
      <c r="N149" s="5" t="n">
        <v>749934.21</v>
      </c>
    </row>
    <row r="150">
      <c r="A150" t="n">
        <v>143</v>
      </c>
      <c r="B150" t="inlineStr">
        <is>
          <t>2035-10</t>
        </is>
      </c>
      <c r="C150" s="5" t="n">
        <v>2940416.19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2183247.96</v>
      </c>
      <c r="K150" s="5" t="n">
        <v>0</v>
      </c>
      <c r="L150" s="5" t="n">
        <v>0</v>
      </c>
      <c r="M150" s="5" t="n">
        <v>0</v>
      </c>
      <c r="N150" s="5" t="n">
        <v>757168.23</v>
      </c>
    </row>
    <row r="151">
      <c r="A151" t="n">
        <v>144</v>
      </c>
      <c r="B151" t="inlineStr">
        <is>
          <t>2035-11</t>
        </is>
      </c>
      <c r="C151" s="5" t="n">
        <v>2947668.05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2183247.96</v>
      </c>
      <c r="K151" s="5" t="n">
        <v>0</v>
      </c>
      <c r="L151" s="5" t="n">
        <v>0</v>
      </c>
      <c r="M151" s="5" t="n">
        <v>0</v>
      </c>
      <c r="N151" s="5" t="n">
        <v>764420.09</v>
      </c>
    </row>
    <row r="152">
      <c r="A152" t="n">
        <v>145</v>
      </c>
      <c r="B152" t="inlineStr">
        <is>
          <t>2035-12</t>
        </is>
      </c>
      <c r="C152" s="5" t="n">
        <v>2954937.79</v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2183247.96</v>
      </c>
      <c r="K152" s="5" t="n">
        <v>0</v>
      </c>
      <c r="L152" s="5" t="n">
        <v>0</v>
      </c>
      <c r="M152" s="5" t="n">
        <v>0</v>
      </c>
      <c r="N152" s="5" t="n">
        <v>771689.83</v>
      </c>
    </row>
    <row r="153">
      <c r="A153" t="n">
        <v>146</v>
      </c>
      <c r="B153" t="inlineStr">
        <is>
          <t>2036-01</t>
        </is>
      </c>
      <c r="C153" s="5" t="n">
        <v>2962225.46</v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2183247.96</v>
      </c>
      <c r="K153" s="5" t="n">
        <v>0</v>
      </c>
      <c r="L153" s="5" t="n">
        <v>0</v>
      </c>
      <c r="M153" s="5" t="n">
        <v>0</v>
      </c>
      <c r="N153" s="5" t="n">
        <v>778977.51</v>
      </c>
    </row>
    <row r="154">
      <c r="A154" t="n">
        <v>147</v>
      </c>
      <c r="B154" t="inlineStr">
        <is>
          <t>2036-02</t>
        </is>
      </c>
      <c r="C154" s="5" t="n">
        <v>2969531.11</v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2183247.96</v>
      </c>
      <c r="K154" s="5" t="n">
        <v>0</v>
      </c>
      <c r="L154" s="5" t="n">
        <v>0</v>
      </c>
      <c r="M154" s="5" t="n">
        <v>0</v>
      </c>
      <c r="N154" s="5" t="n">
        <v>786283.15</v>
      </c>
    </row>
    <row r="155">
      <c r="A155" t="n">
        <v>148</v>
      </c>
      <c r="B155" t="inlineStr">
        <is>
          <t>2036-03</t>
        </is>
      </c>
      <c r="C155" s="5" t="n">
        <v>2976854.78</v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2183247.96</v>
      </c>
      <c r="K155" s="5" t="n">
        <v>0</v>
      </c>
      <c r="L155" s="5" t="n">
        <v>0</v>
      </c>
      <c r="M155" s="5" t="n">
        <v>0</v>
      </c>
      <c r="N155" s="5" t="n">
        <v>793606.8199999999</v>
      </c>
    </row>
    <row r="156">
      <c r="A156" t="n">
        <v>149</v>
      </c>
      <c r="B156" t="inlineStr">
        <is>
          <t>2036-04</t>
        </is>
      </c>
      <c r="C156" s="5" t="n">
        <v>2984196.5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2183247.96</v>
      </c>
      <c r="K156" s="5" t="n">
        <v>0</v>
      </c>
      <c r="L156" s="5" t="n">
        <v>0</v>
      </c>
      <c r="M156" s="5" t="n">
        <v>0</v>
      </c>
      <c r="N156" s="5" t="n">
        <v>800948.55</v>
      </c>
    </row>
    <row r="157">
      <c r="A157" t="n">
        <v>150</v>
      </c>
      <c r="B157" t="inlineStr">
        <is>
          <t>2036-05</t>
        </is>
      </c>
      <c r="C157" s="5" t="n">
        <v>2991556.34</v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2183247.96</v>
      </c>
      <c r="K157" s="5" t="n">
        <v>0</v>
      </c>
      <c r="L157" s="5" t="n">
        <v>0</v>
      </c>
      <c r="M157" s="5" t="n">
        <v>0</v>
      </c>
      <c r="N157" s="5" t="n">
        <v>808308.38</v>
      </c>
    </row>
    <row r="158">
      <c r="A158" t="n">
        <v>151</v>
      </c>
      <c r="B158" t="inlineStr">
        <is>
          <t>2036-06</t>
        </is>
      </c>
      <c r="C158" s="5" t="n">
        <v>2998934.32</v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2183247.96</v>
      </c>
      <c r="K158" s="5" t="n">
        <v>0</v>
      </c>
      <c r="L158" s="5" t="n">
        <v>0</v>
      </c>
      <c r="M158" s="5" t="n">
        <v>0</v>
      </c>
      <c r="N158" s="5" t="n">
        <v>815686.36</v>
      </c>
    </row>
    <row r="159">
      <c r="A159" t="n">
        <v>152</v>
      </c>
      <c r="B159" t="inlineStr">
        <is>
          <t>2036-07</t>
        </is>
      </c>
      <c r="C159" s="5" t="n">
        <v>3006330.5</v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2183247.96</v>
      </c>
      <c r="K159" s="5" t="n">
        <v>0</v>
      </c>
      <c r="L159" s="5" t="n">
        <v>0</v>
      </c>
      <c r="M159" s="5" t="n">
        <v>0</v>
      </c>
      <c r="N159" s="5" t="n">
        <v>823082.55</v>
      </c>
    </row>
    <row r="160">
      <c r="A160" t="n">
        <v>153</v>
      </c>
      <c r="B160" t="inlineStr">
        <is>
          <t>2036-08</t>
        </is>
      </c>
      <c r="C160" s="5" t="n">
        <v>3013744.92</v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2183247.96</v>
      </c>
      <c r="K160" s="5" t="n">
        <v>0</v>
      </c>
      <c r="L160" s="5" t="n">
        <v>0</v>
      </c>
      <c r="M160" s="5" t="n">
        <v>0</v>
      </c>
      <c r="N160" s="5" t="n">
        <v>830496.97</v>
      </c>
    </row>
    <row r="161">
      <c r="A161" t="n">
        <v>154</v>
      </c>
      <c r="B161" t="inlineStr">
        <is>
          <t>2036-09</t>
        </is>
      </c>
      <c r="C161" s="5" t="n">
        <v>3021177.63</v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2183247.96</v>
      </c>
      <c r="K161" s="5" t="n">
        <v>0</v>
      </c>
      <c r="L161" s="5" t="n">
        <v>0</v>
      </c>
      <c r="M161" s="5" t="n">
        <v>0</v>
      </c>
      <c r="N161" s="5" t="n">
        <v>837929.6800000001</v>
      </c>
    </row>
    <row r="162">
      <c r="A162" t="n">
        <v>155</v>
      </c>
      <c r="B162" t="inlineStr">
        <is>
          <t>2036-10</t>
        </is>
      </c>
      <c r="C162" s="5" t="n">
        <v>3028628.67</v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2183247.96</v>
      </c>
      <c r="K162" s="5" t="n">
        <v>0</v>
      </c>
      <c r="L162" s="5" t="n">
        <v>0</v>
      </c>
      <c r="M162" s="5" t="n">
        <v>0</v>
      </c>
      <c r="N162" s="5" t="n">
        <v>845380.71</v>
      </c>
    </row>
    <row r="163">
      <c r="A163" t="n">
        <v>156</v>
      </c>
      <c r="B163" t="inlineStr">
        <is>
          <t>2036-11</t>
        </is>
      </c>
      <c r="C163" s="5" t="n">
        <v>3036098.09</v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2183247.96</v>
      </c>
      <c r="K163" s="5" t="n">
        <v>0</v>
      </c>
      <c r="L163" s="5" t="n">
        <v>0</v>
      </c>
      <c r="M163" s="5" t="n">
        <v>0</v>
      </c>
      <c r="N163" s="5" t="n">
        <v>852850.13</v>
      </c>
    </row>
    <row r="164">
      <c r="A164" t="n">
        <v>157</v>
      </c>
      <c r="B164" t="inlineStr">
        <is>
          <t>2036-12</t>
        </is>
      </c>
      <c r="C164" s="5" t="n">
        <v>3043585.92</v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2183247.96</v>
      </c>
      <c r="K164" s="5" t="n">
        <v>0</v>
      </c>
      <c r="L164" s="5" t="n">
        <v>0</v>
      </c>
      <c r="M164" s="5" t="n">
        <v>0</v>
      </c>
      <c r="N164" s="5" t="n">
        <v>860337.97</v>
      </c>
    </row>
    <row r="165">
      <c r="A165" t="n">
        <v>158</v>
      </c>
      <c r="B165" t="inlineStr">
        <is>
          <t>2037-01</t>
        </is>
      </c>
      <c r="C165" s="5" t="n">
        <v>3051092.23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2183247.96</v>
      </c>
      <c r="K165" s="5" t="n">
        <v>0</v>
      </c>
      <c r="L165" s="5" t="n">
        <v>0</v>
      </c>
      <c r="M165" s="5" t="n">
        <v>0</v>
      </c>
      <c r="N165" s="5" t="n">
        <v>867844.27</v>
      </c>
    </row>
    <row r="166">
      <c r="A166" t="n">
        <v>159</v>
      </c>
      <c r="B166" t="inlineStr">
        <is>
          <t>2037-02</t>
        </is>
      </c>
      <c r="C166" s="5" t="n">
        <v>3058617.04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2183247.96</v>
      </c>
      <c r="K166" s="5" t="n">
        <v>0</v>
      </c>
      <c r="L166" s="5" t="n">
        <v>0</v>
      </c>
      <c r="M166" s="5" t="n">
        <v>0</v>
      </c>
      <c r="N166" s="5" t="n">
        <v>875369.09</v>
      </c>
    </row>
    <row r="167">
      <c r="A167" t="n">
        <v>160</v>
      </c>
      <c r="B167" t="inlineStr">
        <is>
          <t>2037-03</t>
        </is>
      </c>
      <c r="C167" s="5" t="n">
        <v>3066160.42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2183247.96</v>
      </c>
      <c r="K167" s="5" t="n">
        <v>0</v>
      </c>
      <c r="L167" s="5" t="n">
        <v>0</v>
      </c>
      <c r="M167" s="5" t="n">
        <v>0</v>
      </c>
      <c r="N167" s="5" t="n">
        <v>882912.46</v>
      </c>
    </row>
    <row r="168">
      <c r="A168" t="n">
        <v>161</v>
      </c>
      <c r="B168" t="inlineStr">
        <is>
          <t>2037-04</t>
        </is>
      </c>
      <c r="C168" s="5" t="n">
        <v>3073722.4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2183247.96</v>
      </c>
      <c r="K168" s="5" t="n">
        <v>0</v>
      </c>
      <c r="L168" s="5" t="n">
        <v>0</v>
      </c>
      <c r="M168" s="5" t="n">
        <v>0</v>
      </c>
      <c r="N168" s="5" t="n">
        <v>890474.4399999999</v>
      </c>
    </row>
    <row r="169">
      <c r="A169" t="n">
        <v>162</v>
      </c>
      <c r="B169" t="inlineStr">
        <is>
          <t>2037-05</t>
        </is>
      </c>
      <c r="C169" s="5" t="n">
        <v>3081303.03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2183247.96</v>
      </c>
      <c r="K169" s="5" t="n">
        <v>0</v>
      </c>
      <c r="L169" s="5" t="n">
        <v>0</v>
      </c>
      <c r="M169" s="5" t="n">
        <v>0</v>
      </c>
      <c r="N169" s="5" t="n">
        <v>898055.0699999999</v>
      </c>
    </row>
    <row r="170">
      <c r="A170" t="n">
        <v>163</v>
      </c>
      <c r="B170" t="inlineStr">
        <is>
          <t>2037-06</t>
        </is>
      </c>
      <c r="C170" s="5" t="n">
        <v>3088902.35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2183247.96</v>
      </c>
      <c r="K170" s="5" t="n">
        <v>691127414.86</v>
      </c>
      <c r="L170" s="5" t="n">
        <v>324846432.07</v>
      </c>
      <c r="M170" s="5" t="n">
        <v>0</v>
      </c>
      <c r="N170" s="5" t="n">
        <v>367186637.18</v>
      </c>
    </row>
    <row r="171">
      <c r="A171" s="1" t="inlineStr">
        <is>
          <t>TOTAL</t>
        </is>
      </c>
      <c r="C171" s="9">
        <f>SUM(C7:C170)</f>
        <v/>
      </c>
      <c r="D171" s="9">
        <f>SUM(D7:D170)</f>
        <v/>
      </c>
      <c r="E171" s="9">
        <f>SUM(E7:E170)</f>
        <v/>
      </c>
      <c r="F171" s="9">
        <f>SUM(F7:F170)</f>
        <v/>
      </c>
      <c r="G171" s="9">
        <f>SUM(G7:G170)</f>
        <v/>
      </c>
      <c r="H171" s="9">
        <f>SUM(H7:H170)</f>
        <v/>
      </c>
      <c r="I171" s="9">
        <f>SUM(I7:I170)</f>
        <v/>
      </c>
      <c r="J171" s="9">
        <f>SUM(J7:J170)</f>
        <v/>
      </c>
      <c r="K171" s="9">
        <f>SUM(K7:K170)</f>
        <v/>
      </c>
      <c r="L171" s="9">
        <f>SUM(L7:L170)</f>
        <v/>
      </c>
      <c r="M171" s="9">
        <f>SUM(M7:M170)</f>
        <v/>
      </c>
      <c r="N171" s="9">
        <f>SUM(N7:N170)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8" t="inlineStr">
        <is>
          <t>RETURNS - two exit strategies over one set of facts</t>
        </is>
      </c>
    </row>
    <row r="2">
      <c r="A2" s="2" t="inlineStr">
        <is>
          <t>Base case is the County guideline basis (market factor 1.00).</t>
        </is>
      </c>
    </row>
    <row r="4">
      <c r="A4" s="10" t="inlineStr"/>
      <c r="B4" t="inlineStr">
        <is>
          <t>Scenario A</t>
        </is>
      </c>
      <c r="C4" t="inlineStr">
        <is>
          <t>Scenario B</t>
        </is>
      </c>
    </row>
    <row r="5">
      <c r="A5" s="10" t="inlineStr">
        <is>
          <t>Strategy</t>
        </is>
      </c>
      <c r="B5" t="inlineStr">
        <is>
          <t>merchant build</t>
        </is>
      </c>
      <c r="C5" t="inlineStr">
        <is>
          <t>build to core</t>
        </is>
      </c>
    </row>
    <row r="6">
      <c r="A6" s="10" t="inlineStr">
        <is>
          <t>Exit</t>
        </is>
      </c>
      <c r="B6" t="inlineStr">
        <is>
          <t>2031-10</t>
        </is>
      </c>
      <c r="C6" t="inlineStr">
        <is>
          <t>2037-06</t>
        </is>
      </c>
    </row>
    <row r="7">
      <c r="A7" s="10" t="inlineStr">
        <is>
          <t>Months held from land</t>
        </is>
      </c>
      <c r="B7" t="n">
        <v>95</v>
      </c>
      <c r="C7" s="5" t="n">
        <v>163</v>
      </c>
    </row>
    <row r="8">
      <c r="A8" s="10" t="inlineStr"/>
      <c r="B8" t="inlineStr"/>
      <c r="C8" t="inlineStr"/>
    </row>
    <row r="9">
      <c r="A9" s="10" t="inlineStr">
        <is>
          <t>Construction cost</t>
        </is>
      </c>
      <c r="B9" s="5" t="n">
        <v>555953893.510416</v>
      </c>
      <c r="C9" s="5" t="n">
        <v>555953893.510416</v>
      </c>
    </row>
    <row r="10">
      <c r="A10" s="10" t="inlineStr">
        <is>
          <t>Equity commitment</t>
        </is>
      </c>
      <c r="B10" s="5" t="n">
        <v>249668882.604166</v>
      </c>
      <c r="C10" s="5" t="n">
        <v>249668882.604166</v>
      </c>
    </row>
    <row r="11">
      <c r="A11" s="10" t="inlineStr">
        <is>
          <t>Capitalized interest</t>
        </is>
      </c>
      <c r="B11" s="5" t="n">
        <v>58451635.447806</v>
      </c>
      <c r="C11" s="5" t="n">
        <v>70146419.222468</v>
      </c>
    </row>
    <row r="12">
      <c r="A12" s="1" t="inlineStr">
        <is>
          <t>Permanent loan</t>
        </is>
      </c>
      <c r="B12" t="n">
        <v>0</v>
      </c>
      <c r="C12" s="5" t="n">
        <v>347217832.21414</v>
      </c>
    </row>
    <row r="13">
      <c r="A13" s="1" t="inlineStr">
        <is>
          <t>Permanent debt service, monthly</t>
        </is>
      </c>
      <c r="B13" t="n">
        <v>0</v>
      </c>
      <c r="C13" s="5" t="n">
        <v>2183247.957779</v>
      </c>
    </row>
    <row r="14">
      <c r="A14" s="10" t="inlineStr"/>
      <c r="B14" t="inlineStr"/>
      <c r="C14" t="inlineStr"/>
    </row>
    <row r="15">
      <c r="A15" s="10" t="inlineStr">
        <is>
          <t>Exit value</t>
        </is>
      </c>
      <c r="B15" s="5" t="n">
        <v>567404297.9358341</v>
      </c>
      <c r="C15" s="5" t="n">
        <v>691127414.856208</v>
      </c>
    </row>
    <row r="16">
      <c r="A16" s="10" t="inlineStr">
        <is>
          <t>Exit per unit</t>
        </is>
      </c>
      <c r="B16" s="5" t="n">
        <v>734979.6605389999</v>
      </c>
      <c r="C16" s="5" t="n">
        <v>895242.7653579999</v>
      </c>
    </row>
    <row r="17">
      <c r="A17" s="10" t="inlineStr"/>
      <c r="B17" t="inlineStr"/>
      <c r="C17" t="inlineStr"/>
    </row>
    <row r="18">
      <c r="A18" s="10" t="inlineStr">
        <is>
          <t>Equity in</t>
        </is>
      </c>
      <c r="B18" s="5" t="n">
        <v>303246654.838041</v>
      </c>
      <c r="C18" s="5" t="n">
        <v>303246654.838041</v>
      </c>
    </row>
    <row r="19">
      <c r="A19" s="10" t="inlineStr">
        <is>
          <t>Equity out</t>
        </is>
      </c>
      <c r="B19" s="5" t="n">
        <v>331838260.339476</v>
      </c>
      <c r="C19" s="5" t="n">
        <v>527045782.437299</v>
      </c>
    </row>
    <row r="20">
      <c r="A20" s="10" t="inlineStr">
        <is>
          <t>Net</t>
        </is>
      </c>
      <c r="B20" s="5" t="n">
        <v>28591605.501435</v>
      </c>
      <c r="C20" s="5" t="n">
        <v>223799127.599258</v>
      </c>
    </row>
    <row r="21">
      <c r="A21" s="10" t="inlineStr">
        <is>
          <t>Multiple</t>
        </is>
      </c>
      <c r="B21" s="11" t="n">
        <v>1.094285</v>
      </c>
      <c r="C21" s="11" t="n">
        <v>1.73801</v>
      </c>
    </row>
    <row r="22">
      <c r="A22" s="10" t="inlineStr">
        <is>
          <t>IRR</t>
        </is>
      </c>
      <c r="B22" s="6" t="n">
        <v>0.020841</v>
      </c>
      <c r="C22" s="6" t="n">
        <v>0.066484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2026-08-26T11:16:36Z</dcterms:created>
  <dcterms:modified xmlns:dcterms="http://purl.org/dc/terms/" xmlns:xsi="http://www.w3.org/2001/XMLSchema-instance" xsi:type="dcterms:W3CDTF">2026-08-26T20:11:54Z</dcterms:modified>
</cp:coreProperties>
</file>