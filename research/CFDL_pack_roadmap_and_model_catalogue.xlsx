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Model Catalogue" sheetId="2" state="visible" r:id="rId2"/>
    <sheet xmlns:r="http://schemas.openxmlformats.org/officeDocument/2006/relationships" name="Roadmap Candidates" sheetId="3" state="visible" r:id="rId3"/>
    <sheet xmlns:r="http://schemas.openxmlformats.org/officeDocument/2006/relationships" name="Capability Requirements" sheetId="4" state="visible" r:id="rId4"/>
    <sheet xmlns:r="http://schemas.openxmlformats.org/officeDocument/2006/relationships" name="Priority Shortlist" sheetId="5" state="visible" r:id="rId5"/>
    <sheet xmlns:r="http://schemas.openxmlformats.org/officeDocument/2006/relationships" name="Summary" sheetId="6" state="visible" r:id="rId6"/>
  </sheets>
  <definedNames>
    <definedName name="_xlnm._FilterDatabase" localSheetId="1" hidden="1">'Model Catalogue'!$A$1:$O$107</definedName>
    <definedName name="_xlnm._FilterDatabase" localSheetId="2" hidden="1">'Roadmap Candidates'!$A$1:$M$41</definedName>
    <definedName name="_xlnm._FilterDatabase" localSheetId="3" hidden="1">'Capability Requirements'!$A$1:$E$222</definedName>
    <definedName name="_xlnm._FilterDatabase" localSheetId="4" hidden="1">'Priority Shortlist'!$A$1:$G$11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b val="1"/>
      <sz val="10"/>
    </font>
    <font>
      <name val="Arial"/>
      <charset val="1"/>
      <family val="0"/>
      <sz val="10"/>
    </font>
    <font>
      <name val="Arial"/>
      <charset val="1"/>
      <family val="0"/>
      <b val="1"/>
      <color rgb="FF1F3864"/>
      <sz val="11"/>
    </font>
    <font>
      <name val="Arial"/>
      <charset val="1"/>
      <family val="0"/>
      <b val="1"/>
      <color rgb="FFFFFFFF"/>
      <sz val="10"/>
    </font>
    <font>
      <name val="Arial"/>
      <charset val="1"/>
      <family val="0"/>
      <color rgb="FF0563C1"/>
      <sz val="10"/>
      <u val="single"/>
    </font>
    <font>
      <name val="Arial"/>
      <charset val="1"/>
      <family val="0"/>
      <i val="1"/>
      <sz val="9"/>
    </font>
  </fonts>
  <fills count="7">
    <fill>
      <patternFill/>
    </fill>
    <fill>
      <patternFill patternType="gray125"/>
    </fill>
    <fill>
      <patternFill patternType="solid">
        <fgColor rgb="FF1F3864"/>
        <bgColor rgb="FF333333"/>
      </patternFill>
    </fill>
    <fill>
      <patternFill patternType="solid">
        <fgColor rgb="FFF2F5FA"/>
        <bgColor rgb="FFFFFFFF"/>
      </patternFill>
    </fill>
    <fill>
      <patternFill patternType="solid">
        <fgColor rgb="FFD9EAD3"/>
        <bgColor rgb="FFD9D9D9"/>
      </patternFill>
    </fill>
    <fill>
      <patternFill patternType="solid">
        <fgColor rgb="FFFFF2CC"/>
        <bgColor rgb="FFFCE5CD"/>
      </patternFill>
    </fill>
    <fill>
      <patternFill patternType="solid">
        <fgColor rgb="FFFCE5CD"/>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general" vertical="top" wrapText="1"/>
    </xf>
    <xf numFmtId="0" fontId="6" fillId="3" borderId="1" applyAlignment="1" pivotButton="0" quotePrefix="0" xfId="0">
      <alignment horizontal="general" vertical="top" wrapText="1"/>
    </xf>
    <xf numFmtId="0" fontId="9" fillId="3" borderId="1" applyAlignment="1" pivotButton="0" quotePrefix="0" xfId="0">
      <alignment horizontal="general" vertical="top" wrapText="1"/>
    </xf>
    <xf numFmtId="0" fontId="6" fillId="0" borderId="1" applyAlignment="1" pivotButton="0" quotePrefix="0" xfId="0">
      <alignment horizontal="general" vertical="top" wrapText="1"/>
    </xf>
    <xf numFmtId="0" fontId="9"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general" vertical="top" wrapText="1"/>
    </xf>
    <xf numFmtId="0" fontId="6" fillId="3" borderId="1" applyAlignment="1" pivotButton="0" quotePrefix="0" xfId="0">
      <alignment horizontal="general" vertical="top" wrapText="1"/>
    </xf>
    <xf numFmtId="0" fontId="9" fillId="3" borderId="1" applyAlignment="1" pivotButton="0" quotePrefix="0" xfId="0">
      <alignment horizontal="general" vertical="top" wrapText="1"/>
    </xf>
    <xf numFmtId="0" fontId="6" fillId="0" borderId="1" applyAlignment="1" pivotButton="0" quotePrefix="0" xfId="0">
      <alignment horizontal="general" vertical="top" wrapText="1"/>
    </xf>
    <xf numFmtId="0" fontId="9" fillId="0" borderId="1" applyAlignment="1" pivotButton="0" quotePrefix="0" xfId="0">
      <alignment horizontal="general" vertical="top" wrapText="1"/>
    </xf>
    <xf numFmtId="0" fontId="6" fillId="0" borderId="1" applyAlignment="1" pivotButton="0" quotePrefix="0" xfId="0">
      <alignment horizontal="general" vertical="top" wrapText="1"/>
    </xf>
    <xf numFmtId="0" fontId="9"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1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D9EAD3"/>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5F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5C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www.adventuresincre.com/all-in-one-underwriting-model-for-real-estate-development-and-acquisition/" TargetMode="External" Id="rId1"/><Relationship Type="http://schemas.openxmlformats.org/officeDocument/2006/relationships/hyperlink" Target="https://www.adventuresincre.com/apartment-development-model/" TargetMode="External" Id="rId2"/><Relationship Type="http://schemas.openxmlformats.org/officeDocument/2006/relationships/hyperlink" Target="https://www.adventuresincre.com/hotel-valuation-model/" TargetMode="External" Id="rId3"/><Relationship Type="http://schemas.openxmlformats.org/officeDocument/2006/relationships/hyperlink" Target="https://www.adventuresincre.com/self-storage-acquisition-model/" TargetMode="External" Id="rId4"/><Relationship Type="http://schemas.openxmlformats.org/officeDocument/2006/relationships/hyperlink" Target="https://www.adventuresincre.com/residential-land-development-model/" TargetMode="External" Id="rId5"/><Relationship Type="http://schemas.openxmlformats.org/officeDocument/2006/relationships/hyperlink" Target="https://www.adventuresincre.com/a-cre-value-add-apartment-acquisition-model/" TargetMode="External" Id="rId6"/><Relationship Type="http://schemas.openxmlformats.org/officeDocument/2006/relationships/hyperlink" Target="https://www.adventuresincre.com/real-estate-equity-waterfall-model-catch-up-clawback/" TargetMode="External" Id="rId7"/><Relationship Type="http://schemas.openxmlformats.org/officeDocument/2006/relationships/hyperlink" Target="https://www.adventuresincre.com/commercial-mortgage-loan-analysis-model/" TargetMode="External" Id="rId8"/><Relationship Type="http://schemas.openxmlformats.org/officeDocument/2006/relationships/hyperlink" Target="https://www.adventuresincre.com/single-tenant-nnn-lease-valuation-model/" TargetMode="External" Id="rId9"/><Relationship Type="http://schemas.openxmlformats.org/officeDocument/2006/relationships/hyperlink" Target="https://www.adventuresincre.com/watch-me-build-capital-stack-mezz-debt/" TargetMode="External" Id="rId10"/><Relationship Type="http://schemas.openxmlformats.org/officeDocument/2006/relationships/hyperlink" Target="https://www.hudexchange.info/resource/2468/home-multifamily-underwriting-template/" TargetMode="External" Id="rId11"/><Relationship Type="http://schemas.openxmlformats.org/officeDocument/2006/relationships/hyperlink" Target="https://ocw.mit.edu/courses/11-431j-real-estate-finance-and-investment-fall-2006/3cdd8d84d7dd0fef202fcd0ba8d7a7a7_ps1.pdf" TargetMode="External" Id="rId12"/><Relationship Type="http://schemas.openxmlformats.org/officeDocument/2006/relationships/hyperlink" Target="https://ocw.mit.edu/courses/11-431j-real-estate-finance-and-investment-fall-2006/2c49789596ca71e885d2747c0e59090c_case3.pdf" TargetMode="External" Id="rId13"/><Relationship Type="http://schemas.openxmlformats.org/officeDocument/2006/relationships/hyperlink" Target="https://ocw.mit.edu/courses/11-431j-real-estate-finance-and-investment-fall-2006/6a880c6270e6579be09c8bd516bce5fd_ps2.pdf" TargetMode="External" Id="rId14"/><Relationship Type="http://schemas.openxmlformats.org/officeDocument/2006/relationships/hyperlink" Target="https://github.com/oaklandanalytics/pyforma" TargetMode="External" Id="rId15"/><Relationship Type="http://schemas.openxmlformats.org/officeDocument/2006/relationships/hyperlink" Target="https://propertymetrics.com/office-building-proforma-excel-template/" TargetMode="External" Id="rId16"/><Relationship Type="http://schemas.openxmlformats.org/officeDocument/2006/relationships/hyperlink" Target="https://finamodel.com/templates/retail-centre-model" TargetMode="External" Id="rId17"/><Relationship Type="http://schemas.openxmlformats.org/officeDocument/2006/relationships/hyperlink" Target="https://finamodel.com/templates/construction-draw-model" TargetMode="External" Id="rId18"/><Relationship Type="http://schemas.openxmlformats.org/officeDocument/2006/relationships/hyperlink" Target="https://finamodel.com/templates/mixed-use-model" TargetMode="External" Id="rId19"/><Relationship Type="http://schemas.openxmlformats.org/officeDocument/2006/relationships/hyperlink" Target="https://finamodel.com/templates/hotel-model" TargetMode="External" Id="rId20"/><Relationship Type="http://schemas.openxmlformats.org/officeDocument/2006/relationships/hyperlink" Target="https://github.com/NREL/SAM" TargetMode="External" Id="rId21"/><Relationship Type="http://schemas.openxmlformats.org/officeDocument/2006/relationships/hyperlink" Target="https://nrel-pysam.readthedocs.io/en/master/modules/Singleowner.html" TargetMode="External" Id="rId22"/><Relationship Type="http://schemas.openxmlformats.org/officeDocument/2006/relationships/hyperlink" Target="https://www.nrel.gov/analysis/crest" TargetMode="External" Id="rId23"/><Relationship Type="http://schemas.openxmlformats.org/officeDocument/2006/relationships/hyperlink" Target="https://github.com/syalsm/CRESTSolarModelPython" TargetMode="External" Id="rId24"/><Relationship Type="http://schemas.openxmlformats.org/officeDocument/2006/relationships/hyperlink" Target="https://atb.nrel.gov/electricity/2024/index" TargetMode="External" Id="rId25"/><Relationship Type="http://schemas.openxmlformats.org/officeDocument/2006/relationships/hyperlink" Target="https://emp.lbl.gov/utility-scale-solar/" TargetMode="External" Id="rId26"/><Relationship Type="http://schemas.openxmlformats.org/officeDocument/2006/relationships/hyperlink" Target="https://www.nrel.gov/hydrogen/h2fast" TargetMode="External" Id="rId27"/><Relationship Type="http://schemas.openxmlformats.org/officeDocument/2006/relationships/hyperlink" Target="https://www.energy.gov/hgeo/geothermal/geothermal-electricity-technology-evaluation-model" TargetMode="External" Id="rId28"/><Relationship Type="http://schemas.openxmlformats.org/officeDocument/2006/relationships/hyperlink" Target="https://www.fhwa.dot.gov/ipd/p3/toolkit/analytical_tools/p3_value" TargetMode="External" Id="rId29"/><Relationship Type="http://schemas.openxmlformats.org/officeDocument/2006/relationships/hyperlink" Target="https://www.fhwa.dot.gov/ipd/p3/toolkit/analytical_tools/p3_screen/" TargetMode="External" Id="rId30"/><Relationship Type="http://schemas.openxmlformats.org/officeDocument/2006/relationships/hyperlink" Target="https://www.ppiaf.org/sites/ppiaf.org/files/documents/toolkits/highwaystoolkit-russian/6/pdf-version/numerical_model.pdf" TargetMode="External" Id="rId31"/><Relationship Type="http://schemas.openxmlformats.org/officeDocument/2006/relationships/hyperlink" Target="https://www.ppiaf.org/sites/ppiaf.org/files/documents/toolkits/highwaystoolkit/6/toolkit_files/index.html" TargetMode="External" Id="rId32"/><Relationship Type="http://schemas.openxmlformats.org/officeDocument/2006/relationships/hyperlink" Target="https://ppp.worldbank.org/public-private-partnership/node/5841" TargetMode="External" Id="rId33"/><Relationship Type="http://schemas.openxmlformats.org/officeDocument/2006/relationships/hyperlink" Target="https://ppp.worldbank.org/public-private-partnership/library/ppp-project-screening-and-analytics-tool-psat-2-0" TargetMode="External" Id="rId34"/><Relationship Type="http://schemas.openxmlformats.org/officeDocument/2006/relationships/hyperlink" Target="https://openknowledge.worldbank.org/entities/publication/bdb5f581-b490-5884-8ba7-868a562e8ef9" TargetMode="External" Id="rId35"/><Relationship Type="http://schemas.openxmlformats.org/officeDocument/2006/relationships/hyperlink" Target="https://edbodmer.com/project-finance-model-collection/airport-project-finance-models/" TargetMode="External" Id="rId36"/><Relationship Type="http://schemas.openxmlformats.org/officeDocument/2006/relationships/hyperlink" Target="https://edbodmer.com/project-finance-model-collection/" TargetMode="External" Id="rId37"/><Relationship Type="http://schemas.openxmlformats.org/officeDocument/2006/relationships/hyperlink" Target="https://ppp.worldbank.org/library/world-bank-port-reform-toolkit" TargetMode="External" Id="rId38"/><Relationship Type="http://schemas.openxmlformats.org/officeDocument/2006/relationships/hyperlink" Target="https://www.projectfinance.law/publications/2021/february/partnership-flips" TargetMode="External" Id="rId39"/><Relationship Type="http://schemas.openxmlformats.org/officeDocument/2006/relationships/hyperlink" Target="https://www.sifma.org/wp-content/uploads/2017/08/chsf.pdf" TargetMode="External" Id="rId40"/><Relationship Type="http://schemas.openxmlformats.org/officeDocument/2006/relationships/hyperlink" Target="https://absbox-doc.readthedocs.io/en/latest/nbsample/single_mortgage.html" TargetMode="External" Id="rId41"/><Relationship Type="http://schemas.openxmlformats.org/officeDocument/2006/relationships/hyperlink" Target="https://github.com/absbox/Hastructure" TargetMode="External" Id="rId42"/><Relationship Type="http://schemas.openxmlformats.org/officeDocument/2006/relationships/hyperlink" Target="https://www.openriskmanagement.com/open-source-securitisation/" TargetMode="External" Id="rId43"/><Relationship Type="http://schemas.openxmlformats.org/officeDocument/2006/relationships/hyperlink" Target="https://capitalmarkets.fanniemae.com/credit-risk-transfer/single-family-credit-risk-transfer/fannie-mae-single-family-loan-performance-data" TargetMode="External" Id="rId44"/><Relationship Type="http://schemas.openxmlformats.org/officeDocument/2006/relationships/hyperlink" Target="https://capitalmarkets.freddiemac.com/crt/docs/pdfs/fre_terms_conditions_sflld.pdf" TargetMode="External" Id="rId45"/><Relationship Type="http://schemas.openxmlformats.org/officeDocument/2006/relationships/hyperlink" Target="https://capitalmarkets.freddiemac.com/crt/securities/deal-documents" TargetMode="External" Id="rId46"/><Relationship Type="http://schemas.openxmlformats.org/officeDocument/2006/relationships/hyperlink" Target="https://capitalmarkets.fanniemae.com/media/document/pdf/connave-2025-r03-prelim-offering-memorandum.pdf" TargetMode="External" Id="rId47"/><Relationship Type="http://schemas.openxmlformats.org/officeDocument/2006/relationships/hyperlink" Target="https://www.sec.gov/Archives/edgar/data/1694010/000119312517045288/d269131d424b5.htm" TargetMode="External" Id="rId48"/><Relationship Type="http://schemas.openxmlformats.org/officeDocument/2006/relationships/hyperlink" Target="https://www.sec.gov/Archives/edgar/data/1126530/000092963823002717/bmw2023-2_424b5.htm" TargetMode="External" Id="rId49"/><Relationship Type="http://schemas.openxmlformats.org/officeDocument/2006/relationships/hyperlink" Target="https://www.sec.gov/Archives/edgar/data/1283434/000119312517179867/d363726d424b5.htm" TargetMode="External" Id="rId50"/><Relationship Type="http://schemas.openxmlformats.org/officeDocument/2006/relationships/hyperlink" Target="https://www.sec.gov/Archives/edgar/data/1477336/000119312518274846/d623786dex994.htm" TargetMode="External" Id="rId51"/><Relationship Type="http://schemas.openxmlformats.org/officeDocument/2006/relationships/hyperlink" Target="https://www.salliemae.com/content/dam/slm/writtencontent/Reports/investors/Reg-AB-Loan-Performance-Data-201812-FINAL.pdf" TargetMode="External" Id="rId52"/><Relationship Type="http://schemas.openxmlformats.org/officeDocument/2006/relationships/hyperlink" Target="https://www.federalreserve.gov/publications/2023-june-supervisory-stress-test-methodology-modeled-loss-rates.htm" TargetMode="External" Id="rId53"/><Relationship Type="http://schemas.openxmlformats.org/officeDocument/2006/relationships/hyperlink" Target="https://www.federalreserve.gov/publications/files/2021-april-supervisory-stress-test-methodology.pdf" TargetMode="External" Id="rId54"/><Relationship Type="http://schemas.openxmlformats.org/officeDocument/2006/relationships/hyperlink" Target="https://www.bankofengland.co.uk/markets/market-notices/2019/detailed-transparency-requirements-for-abs-and-covered-bonds-october-2019" TargetMode="External" Id="rId55"/><Relationship Type="http://schemas.openxmlformats.org/officeDocument/2006/relationships/hyperlink" Target="https://rba.gov.au/mkt-operations/pdf/waterfall-template-for-repo-eligible-rmbs.pdf" TargetMode="External" Id="rId56"/><Relationship Type="http://schemas.openxmlformats.org/officeDocument/2006/relationships/hyperlink" Target="https://www.ginniemae.gov/data_and_reports/disclosure_data/Pages/bulk_data_download_layout.aspx" TargetMode="External" Id="rId57"/><Relationship Type="http://schemas.openxmlformats.org/officeDocument/2006/relationships/hyperlink" Target="https://pages.stern.nyu.edu/~adamodar/pc/eqexret.xls" TargetMode="External" Id="rId58"/><Relationship Type="http://schemas.openxmlformats.org/officeDocument/2006/relationships/hyperlink" Target="https://www.occ.treas.gov/publications-and-resources/publications/comptrollers-handbook/files/asset-securitization/pub-ch-asset-securitization.pdf" TargetMode="External" Id="rId59"/><Relationship Type="http://schemas.openxmlformats.org/officeDocument/2006/relationships/hyperlink" Target="https://mf.freddiemac.com/docs/kdeal_investor_presentation.pdf" TargetMode="External" Id="rId60"/><Relationship Type="http://schemas.openxmlformats.org/officeDocument/2006/relationships/hyperlink" Target="https://www.philadelphiafed.org/-/media/FRBP/Assets/working-papers/2025/wp25-10.pdf" TargetMode="External" Id="rId61"/><Relationship Type="http://schemas.openxmlformats.org/officeDocument/2006/relationships/hyperlink" Target="https://pages.stern.nyu.edu/~adamodar/pc/fcffsimpleginzu.xlsx" TargetMode="External" Id="rId62"/><Relationship Type="http://schemas.openxmlformats.org/officeDocument/2006/relationships/hyperlink" Target="https://pages.stern.nyu.edu/~adamodar/pc/lboval.xls" TargetMode="External" Id="rId63"/><Relationship Type="http://schemas.openxmlformats.org/officeDocument/2006/relationships/hyperlink" Target="https://pages.stern.nyu.edu/~adamodar/pc/eqegs/amazon2000.xls" TargetMode="External" Id="rId64"/><Relationship Type="http://schemas.openxmlformats.org/officeDocument/2006/relationships/hyperlink" Target="https://aswathdamodaran.blogspot.com/2020/02/a-do-it-yourself-diy-valuation-of-tesla.html" TargetMode="External" Id="rId65"/><Relationship Type="http://schemas.openxmlformats.org/officeDocument/2006/relationships/hyperlink" Target="https://pages.stern.nyu.edu/~adamodar/New_Home_Page/covals.htm" TargetMode="External" Id="rId66"/><Relationship Type="http://schemas.openxmlformats.org/officeDocument/2006/relationships/hyperlink" Target="https://www.sec.gov/Archives/edgar/data/318771/000119312509051550/dex99c2.htm" TargetMode="External" Id="rId67"/><Relationship Type="http://schemas.openxmlformats.org/officeDocument/2006/relationships/hyperlink" Target="https://www.sec.gov/Archives/edgar/data/1897982/000114036125003656/ny20042057x7_exc-4.htm" TargetMode="External" Id="rId68"/><Relationship Type="http://schemas.openxmlformats.org/officeDocument/2006/relationships/hyperlink" Target="https://www.sec.gov/Archives/edgar/data/1496963/000114036124030374/ny20030653x1_ex16cvi.htm" TargetMode="External" Id="rId69"/><Relationship Type="http://schemas.openxmlformats.org/officeDocument/2006/relationships/hyperlink" Target="https://www.sec.gov/Archives/edgar/data/1713947/000104746920005319/a2242573zex-99_c2.htm" TargetMode="External" Id="rId70"/><Relationship Type="http://schemas.openxmlformats.org/officeDocument/2006/relationships/hyperlink" Target="https://www.sec.gov/Archives/edgar/data/1742056/000119312522190951/d379851dex99c2.htm" TargetMode="External" Id="rId71"/><Relationship Type="http://schemas.openxmlformats.org/officeDocument/2006/relationships/hyperlink" Target="https://www.sec.gov/Archives/edgar/data/1594326/000095014220002871/eh200121088_ex99c6.htm" TargetMode="External" Id="rId72"/><Relationship Type="http://schemas.openxmlformats.org/officeDocument/2006/relationships/hyperlink" Target="https://www.sec.gov/Archives/edgar/data/4447/000119312524118240/d821055ddefm14a.htm" TargetMode="External" Id="rId73"/><Relationship Type="http://schemas.openxmlformats.org/officeDocument/2006/relationships/hyperlink" Target="https://www.sec.gov/Archives/edgar/data/1353283/000114036123050211/ny20011269x2_defm14a.htm" TargetMode="External" Id="rId74"/><Relationship Type="http://schemas.openxmlformats.org/officeDocument/2006/relationships/hyperlink" Target="https://www.sec.gov/Archives/edgar/data/1689923/000119312524029921/d659085ddefm14a.htm" TargetMode="External" Id="rId75"/><Relationship Type="http://schemas.openxmlformats.org/officeDocument/2006/relationships/hyperlink" Target="https://multipleexpansion.com/2020/06/13/advanced-lbo-modeling/" TargetMode="External" Id="rId76"/><Relationship Type="http://schemas.openxmlformats.org/officeDocument/2006/relationships/hyperlink" Target="https://multipleexpansion.com/2017/11/07/dcf/" TargetMode="External" Id="rId77"/><Relationship Type="http://schemas.openxmlformats.org/officeDocument/2006/relationships/hyperlink" Target="https://ocw.mit.edu/courses/15-414-financial-management-summer-2003/pages/assignments/" TargetMode="External" Id="rId78"/><Relationship Type="http://schemas.openxmlformats.org/officeDocument/2006/relationships/hyperlink" Target="https://ilpa.org/wp-content/uploads/2020/07/ILPA-Model-Limited-Partnership-Agreement-Whole-of-Fund-Waterfall-July-2020.pdf" TargetMode="External" Id="rId79"/><Relationship Type="http://schemas.openxmlformats.org/officeDocument/2006/relationships/hyperlink" Target="https://ilpa.org/industry-guidance/templates-standards-model-documents/ilpa-templates-hub/ilpa-capital-call-distribution-template/" TargetMode="External" Id="rId80"/><Relationship Type="http://schemas.openxmlformats.org/officeDocument/2006/relationships/hyperlink" Target="https://www.calpers.ca.gov/investments/about-investment-office/investment-organization/pep-fund-performance" TargetMode="External" Id="rId81"/><Relationship Type="http://schemas.openxmlformats.org/officeDocument/2006/relationships/hyperlink" Target="https://www.asimplemodel.com/insights/distribution-waterfall" TargetMode="External" Id="rId82"/><Relationship Type="http://schemas.openxmlformats.org/officeDocument/2006/relationships/hyperlink" Target="https://www.sec.gov/Archives/edgar/data/1001838/000155837025002017/scco-20241231xex96d6.pdf" TargetMode="External" Id="rId83"/><Relationship Type="http://schemas.openxmlformats.org/officeDocument/2006/relationships/hyperlink" Target="https://www.sec.gov/Archives/edgar/data/921638/000094787125000984/ss5564068_ex9901.htm" TargetMode="External" Id="rId84"/><Relationship Type="http://schemas.openxmlformats.org/officeDocument/2006/relationships/hyperlink" Target="https://s23.q4cdn.com/405985100/files/doc_downloads/2023/09/20230907-2023-CopperWorld-PFS_FINAL.pdf" TargetMode="External" Id="rId85"/><Relationship Type="http://schemas.openxmlformats.org/officeDocument/2006/relationships/hyperlink" Target="https://dpmmetals.com/site/assets/files/16692/g7869_dpm_coka_rakita_ni43101_pea_tech_report_11jun2024_1.pdf" TargetMode="External" Id="rId86"/><Relationship Type="http://schemas.openxmlformats.org/officeDocument/2006/relationships/hyperlink" Target="https://www.i80gold.com/wp-content/uploads/2025/03/Granite-Creek-PEA-Technical-Report-Final-03_31_25.pdf" TargetMode="External" Id="rId87"/><Relationship Type="http://schemas.openxmlformats.org/officeDocument/2006/relationships/hyperlink" Target="https://lundinmining.com/site/assets/files/8410/josemaria_resources_technical_report.pdf" TargetMode="External" Id="rId88"/><Relationship Type="http://schemas.openxmlformats.org/officeDocument/2006/relationships/hyperlink" Target="https://www.sec.gov/Archives/edgar/data/1013131/000141057825001056/tmb-20241231xex96d2.pdf" TargetMode="External" Id="rId89"/><Relationship Type="http://schemas.openxmlformats.org/officeDocument/2006/relationships/hyperlink" Target="https://coststudyfiles.ucdavis.edu/2024/09/30/AlmondsSJVNorth%20Final%20draft4.pdf" TargetMode="External" Id="rId90"/><Relationship Type="http://schemas.openxmlformats.org/officeDocument/2006/relationships/hyperlink" Target="https://www.extension.iastate.edu/agdm/wholefarm/html/c2-77.html" TargetMode="External" Id="rId91"/><Relationship Type="http://schemas.openxmlformats.org/officeDocument/2006/relationships/hyperlink" Target="https://bugwoodcloud.org/bugwood/productivity/pdfs/2017_pubs-BW-04_loblolly_24-versus_33-yr_rotation_age_econ_Dec_2017.pdf" TargetMode="External" Id="rId92"/><Relationship Type="http://schemas.openxmlformats.org/officeDocument/2006/relationships/hyperlink" Target="https://www.timbertax.org/getstarted/appraisal/papers/pdf/ajoct96.PDF" TargetMode="External" Id="rId93"/><Relationship Type="http://schemas.openxmlformats.org/officeDocument/2006/relationships/hyperlink" Target="https://scuervo91.github.io/dcapy/" TargetMode="External" Id="rId94"/><Relationship Type="http://schemas.openxmlformats.org/officeDocument/2006/relationships/hyperlink" Target="https://pbt-permian.com/wp-content/uploads/2025/04/PermianBasin24AR.pdf" TargetMode="External" Id="rId95"/><Relationship Type="http://schemas.openxmlformats.org/officeDocument/2006/relationships/hyperlink" Target="https://www.sec.gov/Archives/edgar/data/1520006/000152000621000056/a20201231mtdr10-kex991.htm" TargetMode="External" Id="rId96"/><Relationship Type="http://schemas.openxmlformats.org/officeDocument/2006/relationships/hyperlink" Target="https://www.sec.gov/Archives/edgar/data/66496/000119312524082941/d771438d10k.htm" TargetMode="External" Id="rId97"/><Relationship Type="http://schemas.openxmlformats.org/officeDocument/2006/relationships/hyperlink" Target="https://www.royaltypharma.com/wp-content/uploads/2025/02/royalty-pharma-q4-2024-10k.pdf" TargetMode="External" Id="rId98"/><Relationship Type="http://schemas.openxmlformats.org/officeDocument/2006/relationships/hyperlink" Target="https://www.airleasecorp.com/storage/annual_reports/46f604e4-2540-4230-b246-b84049e42a1f.pdf" TargetMode="External" Id="rId99"/><Relationship Type="http://schemas.openxmlformats.org/officeDocument/2006/relationships/hyperlink" Target="https://www.sec.gov/Archives/edgar/data/40211/000004021117000012/gatx20161231-10k.htm" TargetMode="External" Id="rId100"/><Relationship Type="http://schemas.openxmlformats.org/officeDocument/2006/relationships/hyperlink" Target="https://s2.q4cdn.com/951507448/files/doc_downloads/Proxy_Materials/2025/2024-Annual-Report.pdf" TargetMode="External" Id="rId101"/><Relationship Type="http://schemas.openxmlformats.org/officeDocument/2006/relationships/hyperlink" Target="https://cdm.unfccc.int/methodologies/PAmethodologies/tools/am-tool-01-v6.1.0.pdf" TargetMode="External" Id="rId102"/><Relationship Type="http://schemas.openxmlformats.org/officeDocument/2006/relationships/hyperlink" Target="https://verra.org/methodologies/vm0047-afforestation-reforestation-and-revegetation-v1-1/" TargetMode="External" Id="rId103"/><Relationship Type="http://schemas.openxmlformats.org/officeDocument/2006/relationships/hyperlink" Target="https://tpcases.com/category/oecd-transfer-pricing-guidelines-2022/tpg2022-annex-i-to-chapter-vi-examples-on-intangibles/" TargetMode="External" Id="rId104"/><Relationship Type="http://schemas.openxmlformats.org/officeDocument/2006/relationships/hyperlink" Target="https://www.sec.gov/Archives/edgar/data/1522690/000121390020007722/f10k2019_gwgholdings.htm" TargetMode="External" Id="rId105"/><Relationship Type="http://schemas.openxmlformats.org/officeDocument/2006/relationships/hyperlink" Target="https://s206.q4cdn.com/737820215/files/doc_financials/2023/ar/2024-03-28-Burford-Capital-2023-Annual-Report-FINAL-1449672-1.pdf" TargetMode="External" Id="rId106"/></Relationships>
</file>

<file path=xl/worksheets/sheet1.xml><?xml version="1.0" encoding="utf-8"?>
<worksheet xmlns="http://schemas.openxmlformats.org/spreadsheetml/2006/main">
  <sheetPr filterMode="0">
    <outlinePr summaryBelow="1" summaryRight="1"/>
    <pageSetUpPr fitToPage="0"/>
  </sheetPr>
  <dimension ref="A1:B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7" min="1" max="1"/>
    <col width="118" customWidth="1" style="17" min="2" max="2"/>
  </cols>
  <sheetData>
    <row r="1" ht="17.35" customHeight="1" s="18">
      <c r="A1" s="19" t="inlineStr">
        <is>
          <t>CFDL — Domain Pack Roadmap &amp; Reference Model Catalogue</t>
        </is>
      </c>
    </row>
    <row r="2" ht="15" customHeight="1" s="18">
      <c r="A2" s="20" t="n"/>
      <c r="B2" s="21" t="n"/>
    </row>
    <row r="3" ht="35.05" customHeight="1" s="18">
      <c r="A3" s="20" t="inlineStr">
        <is>
          <t>Purpose</t>
        </is>
      </c>
      <c r="B3" s="21" t="inlineStr">
        <is>
          <t>Two research outputs in one workbook: (1) candidate asset classes for the CFDL domain-pack roadmap beyond the existing energy / cre / credit / opco packs, and (2) a catalogue of publicly available cash flow and valuation models that can be rebuilt as CFDL example deals and used as independent accuracy references.</t>
        </is>
      </c>
    </row>
    <row r="4" ht="15" customHeight="1" s="18">
      <c r="A4" s="20" t="inlineStr">
        <is>
          <t>Prepared</t>
        </is>
      </c>
      <c r="B4" s="21" t="inlineStr">
        <is>
          <t>1 August 2026</t>
        </is>
      </c>
    </row>
    <row r="5" ht="15" customHeight="1" s="18">
      <c r="A5" s="20" t="n"/>
      <c r="B5" s="21" t="n"/>
    </row>
    <row r="6" ht="15" customHeight="1" s="18">
      <c r="A6" s="22" t="inlineStr">
        <is>
          <t>Sheets</t>
        </is>
      </c>
    </row>
    <row r="7" ht="23.85" customHeight="1" s="18">
      <c r="A7" s="20" t="inlineStr">
        <is>
          <t>Model Catalogue</t>
        </is>
      </c>
      <c r="B7" s="21" t="inlineStr">
        <is>
          <t>107 publicly accessible models, datasets and deal documents. Every URL was fetched and confirmed. Sorted by domain group. Use the Fidelity column to find sources whose full numeric output can be checked cell by cell.</t>
        </is>
      </c>
    </row>
    <row r="8" ht="23.85" customHeight="1" s="18">
      <c r="A8" s="20" t="inlineStr">
        <is>
          <t>Roadmap Candidates</t>
        </is>
      </c>
      <c r="B8" s="21" t="inlineStr">
        <is>
          <t>40 candidate asset classes, each with its valuation approach, distinctive cash flow mechanics, the modelling capabilities it requires, an estimate of reuse from existing packs, market size and buyer.</t>
        </is>
      </c>
    </row>
    <row r="9" ht="23.85" customHeight="1" s="18">
      <c r="A9" s="20" t="inlineStr">
        <is>
          <t>Capability Requirements</t>
        </is>
      </c>
      <c r="B9" s="21" t="inlineStr">
        <is>
          <t>The requirement statements from the roadmap candidates, exploded one per row and auto-tagged by primitive family, so the engine work that unlocks the most packs is visible by count.</t>
        </is>
      </c>
    </row>
    <row r="10" ht="15" customHeight="1" s="18">
      <c r="A10" s="20" t="inlineStr">
        <is>
          <t>Priority Shortlist</t>
        </is>
      </c>
      <c r="B10" s="21" t="inlineStr">
        <is>
          <t>The ten Tier 1 candidates with the argument for each.</t>
        </is>
      </c>
    </row>
    <row r="11" ht="15" customHeight="1" s="18">
      <c r="A11" s="20" t="inlineStr">
        <is>
          <t>Summary</t>
        </is>
      </c>
      <c r="B11" s="21" t="inlineStr">
        <is>
          <t>Counts by access type, fidelity, domain group and tier.</t>
        </is>
      </c>
    </row>
    <row r="12" ht="15" customHeight="1" s="18">
      <c r="A12" s="20" t="n"/>
      <c r="B12" s="21" t="n"/>
    </row>
    <row r="13" ht="15" customHeight="1" s="18">
      <c r="A13" s="22" t="inlineStr">
        <is>
          <t>Column definitions — Model Catalogue</t>
        </is>
      </c>
    </row>
    <row r="14" ht="23.85" customHeight="1" s="18">
      <c r="A14" s="20" t="inlineStr">
        <is>
          <t>Access</t>
        </is>
      </c>
      <c r="B14" s="21" t="inlineStr">
        <is>
          <t>direct download = no gate · free registration = email required · free to view = readable but not downloadable · paywalled (reference only) = cited for convention, not usable as a file.</t>
        </is>
      </c>
    </row>
    <row r="15" ht="23.85" customHeight="1" s="18">
      <c r="A15" s="20" t="inlineStr">
        <is>
          <t>Fidelity</t>
        </is>
      </c>
      <c r="B15" s="21" t="inlineStr">
        <is>
          <t>full cash flow table available = period-by-period numbers can be checked · assumptions and outputs only = inputs and a headline answer, so only the endpoint can be checked · methodology only = specification, no numbers.</t>
        </is>
      </c>
    </row>
    <row r="16" ht="23.85" customHeight="1" s="18">
      <c r="A16" s="20" t="inlineStr">
        <is>
          <t>Licence / terms</t>
        </is>
      </c>
      <c r="B16" s="21" t="inlineStr">
        <is>
          <t>As stated by the publisher, quoted where possible. 'Not stated' means no terms were found on the page — it is not a grant of rights. Confirm before redistributing anything inside the CFDL repository.</t>
        </is>
      </c>
    </row>
    <row r="17" ht="23.85" customHeight="1" s="18">
      <c r="A17" s="20" t="inlineStr">
        <is>
          <t>Required capabilities</t>
        </is>
      </c>
      <c r="B17" s="21" t="inlineStr">
        <is>
          <t>Stated as positive requirements — what a modelling language must be able to express to reproduce the source faithfully. These are requirements, not defect claims against CFDL.</t>
        </is>
      </c>
    </row>
    <row r="18" ht="15" customHeight="1" s="18">
      <c r="A18" s="20" t="n"/>
      <c r="B18" s="21" t="n"/>
    </row>
    <row r="19" ht="15" customHeight="1" s="18">
      <c r="A19" s="22" t="inlineStr">
        <is>
          <t>Caveats</t>
        </is>
      </c>
    </row>
    <row r="20" ht="23.85" customHeight="1" s="18">
      <c r="A20" s="20" t="inlineStr">
        <is>
          <t>Link verification</t>
        </is>
      </c>
      <c r="B20" s="21" t="inlineStr">
        <is>
          <t>All 106 original URLs were re-fetched on 1 August 2026. 105 resolved and matched. One exception is flagged in the Link check column: the Ginnie Mae bulk-data layout page returned a generic shell rather than the layout content, so navigate from the Ginnie Mae disclosure-data index instead.</t>
        </is>
      </c>
    </row>
    <row r="21" ht="23.85" customHeight="1" s="18">
      <c r="A21" s="20" t="inlineStr">
        <is>
          <t>Counting</t>
        </is>
      </c>
      <c r="B21" s="21" t="inlineStr">
        <is>
          <t>The 'A Simple Model' distribution waterfall entry is described in the source research as five worked structures; the current page text describes four. Treat the count as approximate.</t>
        </is>
      </c>
    </row>
    <row r="22" ht="46.25" customHeight="1" s="18">
      <c r="A22" s="20" t="inlineStr">
        <is>
          <t>Licence caution</t>
        </is>
      </c>
      <c r="B22" s="21" t="inlineStr">
        <is>
          <t>Several high-value references are explicitly not redistributable — notably SIFMA's Standard Formulas chapter ('reproduction in any form is strictly forbidden') and the GSE loan-level datasets, whose terms bar third-party distribution and external commercial use. They remain usable as validation targets; they cannot be vendored into the repository. The MIT OpenCourseWare material (CC BY-NC-SA) and the BSD/MIT/Apache-licensed code are the sources that can actually ship as example deals.</t>
        </is>
      </c>
    </row>
    <row r="23" ht="15" customHeight="1" s="18">
      <c r="A23" s="20" t="inlineStr">
        <is>
          <t>Market figures</t>
        </is>
      </c>
      <c r="B23" s="21" t="inlineStr">
        <is>
          <t>Market sizes are as reported by the cited source on the date fetched and are used for relative sizing, not as a verified market study.</t>
        </is>
      </c>
    </row>
    <row r="24" ht="23.85" customHeight="1" s="18">
      <c r="A24" s="20" t="inlineStr">
        <is>
          <t>Tiering</t>
        </is>
      </c>
      <c r="B24" s="21" t="inlineStr">
        <is>
          <t>Tier assignments are a judgement about sequencing — how much reuses existing pack primitives, whether the gating engine capability is shared with other packs, and buyer density. They are a proposal, not a decision.</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1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7" min="1" max="1"/>
    <col width="26" customWidth="1" style="17" min="2" max="2"/>
    <col width="30" customWidth="1" style="17" min="3" max="3"/>
    <col width="42" customWidth="1" style="17" min="4" max="4"/>
    <col width="30" customWidth="1" style="17" min="5" max="5"/>
    <col width="46" customWidth="1" style="17" min="6" max="6"/>
    <col width="16" customWidth="1" style="17" min="7" max="7"/>
    <col width="42" customWidth="1" style="17" min="8" max="8"/>
    <col width="22" customWidth="1" style="17" min="9" max="9"/>
    <col width="34" customWidth="1" style="17" min="10" max="10"/>
    <col width="60" customWidth="1" style="17" min="11" max="11"/>
    <col width="52" customWidth="1" style="17" min="12" max="13"/>
    <col width="46" customWidth="1" style="17" min="14" max="14"/>
    <col width="14" customWidth="1" style="17" min="15" max="15"/>
    <col width="16" customWidth="1" style="18" min="16" max="16"/>
    <col width="13" customWidth="1" style="18" min="17" max="17"/>
  </cols>
  <sheetData>
    <row r="1" ht="30" customHeight="1" s="18">
      <c r="A1" s="23" t="inlineStr">
        <is>
          <t>ID</t>
        </is>
      </c>
      <c r="B1" s="23" t="inlineStr">
        <is>
          <t>Domain group</t>
        </is>
      </c>
      <c r="C1" s="23" t="inlineStr">
        <is>
          <t>Industry / asset class</t>
        </is>
      </c>
      <c r="D1" s="23" t="inlineStr">
        <is>
          <t>Model or source</t>
        </is>
      </c>
      <c r="E1" s="23" t="inlineStr">
        <is>
          <t>Publisher</t>
        </is>
      </c>
      <c r="F1" s="23" t="inlineStr">
        <is>
          <t>URL</t>
        </is>
      </c>
      <c r="G1" s="23" t="inlineStr">
        <is>
          <t>Access</t>
        </is>
      </c>
      <c r="H1" s="23" t="inlineStr">
        <is>
          <t>Licence / terms</t>
        </is>
      </c>
      <c r="I1" s="23" t="inlineStr">
        <is>
          <t>Fidelity</t>
        </is>
      </c>
      <c r="J1" s="23" t="inlineStr">
        <is>
          <t>Model type</t>
        </is>
      </c>
      <c r="K1" s="23" t="inlineStr">
        <is>
          <t>Scenario described</t>
        </is>
      </c>
      <c r="L1" s="23" t="inlineStr">
        <is>
          <t>Mechanics exercised</t>
        </is>
      </c>
      <c r="M1" s="23" t="inlineStr">
        <is>
          <t>Required capabilities</t>
        </is>
      </c>
      <c r="N1" s="23" t="inlineStr">
        <is>
          <t>What it validates for CFDL</t>
        </is>
      </c>
      <c r="O1" s="23" t="inlineStr">
        <is>
          <t>Link check</t>
        </is>
      </c>
      <c r="P1" s="23" t="inlineStr">
        <is>
          <t>Local copy</t>
        </is>
      </c>
      <c r="Q1" s="23" t="inlineStr">
        <is>
          <t>Duplicate of</t>
        </is>
      </c>
    </row>
    <row r="2" ht="96" customHeight="1" s="18">
      <c r="A2" s="24" t="n">
        <v>1</v>
      </c>
      <c r="B2" s="24" t="inlineStr">
        <is>
          <t>CRE (existing pack)</t>
        </is>
      </c>
      <c r="C2" s="24" t="inlineStr">
        <is>
          <t>Multi-asset commercial real estate — office, retail, industrial, multifamily, student housing, senior housing, self-storage; mixed-use (multifamily + commercial) in beta</t>
        </is>
      </c>
      <c r="D2" s="24" t="inlineStr">
        <is>
          <t>A.CRE All-in-One (Ai1) Underwriting Model for Real Estate Development and Acquisition</t>
        </is>
      </c>
      <c r="E2" s="24" t="inlineStr">
        <is>
          <t>Adventures in CRE (A.CRE) — Spencer Burton / Michael Belasco</t>
        </is>
      </c>
      <c r="F2" s="25" t="inlineStr">
        <is>
          <t>https://www.adventuresincre.com/all-in-one-underwriting-model-for-real-estate-development-and-acquisition/</t>
        </is>
      </c>
      <c r="G2" s="24" t="inlineStr">
        <is>
          <t>free registration</t>
        </is>
      </c>
      <c r="H2" s="24" t="inlineStr">
        <is>
          <t>Distributed "Pay What You're Able" — "no minimum (enter $0 if you'd like) or maximum" — in exchange for an email address to receive the download link. Model pages carry only this disclaimer: "Models downloaded from A.CRE may contain errors. Verify formulas/methodology before basing investment decisions on any model here." Redistribution rights are not stated on the model page; a site-wide Terms and Conditions of Use page exists at /terms-and-conditions-of-use/ but could not be retrieved during this research, so redistribution terms are best described as not stated.</t>
        </is>
      </c>
      <c r="I2" s="24" t="inlineStr">
        <is>
          <t>full cash flow table available</t>
        </is>
      </c>
      <c r="J2" s="24" t="inlineStr">
        <is>
          <t>Monthly institutional underwriting model covering both acquisition and ground-up development, with lease-by-lease office/retail/industrial module, multifamily unit module, two-tier permanent debt, construction-to-perm debt, and dual-level (double promote) equity waterfalls</t>
        </is>
      </c>
      <c r="K2" s="24" t="inlineStr">
        <is>
          <t>This is A.CRE's flagship general-purpose underwriting workbook, structured so a single file can underwrite either a stabilized acquisition or a ground-up development across seven property types. The development side carries a Sources and Uses tab, a Budget tab and a Gantt chart, with construction debt drawn interest-only through stabilization before converting to permanent financing. The ORI (office/retail/industrial) module supports a tenant rent roll with up to three lease generations per suite, while the MF module models unit lease-up and rollover.</t>
        </is>
      </c>
      <c r="L2" s="24" t="inlineStr">
        <is>
          <t>Lease-by-lease rent roll with up to three sequential lease generations per suite; renewal probability weighting; leasing commissions and free-rent concessions; rollover downtime; construction draw scheduling with interest accrual and operating-shortfall funding during construction; construction-to-permanent loan conversion; two-tier permanent debt with fixed or floating rates; interest-only periods; mid-hold refinance of senior debt; lender reserve escrows for debt service, capex, taxes and insurance; IRR-hurdle and equity-multiple-hurdle waterfalls computed both annually and monthly; double promote (LP promotes sponsor, then sponsor-level investors promote the GP)</t>
        </is>
      </c>
      <c r="M2" s="24" t="inlineStr">
        <is>
          <t>Express a lease as a first-class entity with a term, a rent schedule and a successor lease generated on expiry; express probability-weighted branching between renewal and new-lease outcomes with different TI, LC and downtime parameters per branch; express a draw schedule whose interest accrues onto a growing balance; express loan conversion events that change amortization and rate regime mid-life; express nested distribution waterfalls where the output of one waterfall is the input to another; express the same waterfall at two different period granularities from one specification; express escrow accounts that fund from operations and release on conditions</t>
        </is>
      </c>
      <c r="N2" s="24" t="inlineStr">
        <is>
          <t>Single best breadth test for CFDL — it exercises acquisition and development mechanics, seven asset classes, lease-level and unit-level revenue, multi-tranche debt and two-level promote structures in one file, so parity here demonstrates institutional-grade coverage rather than a narrow feature</t>
        </is>
      </c>
      <c r="O2" s="24" t="inlineStr">
        <is>
          <t>OK</t>
        </is>
      </c>
    </row>
    <row r="3" ht="96" customHeight="1" s="18">
      <c r="A3" s="28" t="n">
        <v>2</v>
      </c>
      <c r="B3" s="28" t="inlineStr">
        <is>
          <t>CRE (existing pack)</t>
        </is>
      </c>
      <c r="C3" s="28" t="inlineStr">
        <is>
          <t>Multifamily / apartment development</t>
        </is>
      </c>
      <c r="D3" s="28" t="inlineStr">
        <is>
          <t>A.CRE Apartment Development Model</t>
        </is>
      </c>
      <c r="E3" s="28" t="inlineStr">
        <is>
          <t>Adventures in CRE (A.CRE)</t>
        </is>
      </c>
      <c r="F3" s="29" t="inlineStr">
        <is>
          <t>https://www.adventuresincre.com/apartment-development-model/</t>
        </is>
      </c>
      <c r="G3" s="28" t="inlineStr">
        <is>
          <t>free registration</t>
        </is>
      </c>
      <c r="H3" s="28" t="inlineStr">
        <is>
          <t>"Pay What You're Able" with no minimum or maximum; email required for the download link. Disclaimer: "Models downloaded from A.CRE may contain errors. Verify formulas/methodology before basing investment decisions on any model here." Redistribution terms not stated.</t>
        </is>
      </c>
      <c r="I3" s="28" t="inlineStr">
        <is>
          <t>full cash flow table available</t>
        </is>
      </c>
      <c r="J3" s="28" t="inlineStr">
        <is>
          <t>Monthly ground-up multifamily development pro forma with S-curve construction draw schedule, capitalized construction interest, lease-up absorption, construction-to-perm conversion and single/double promote waterfall</t>
        </is>
      </c>
      <c r="K3" s="28" t="inlineStr">
        <is>
          <t>A ground-up apartment development underwritten monthly, defaulting to a 120-month analysis window when permanent debt is active. Development costs are distributed across the construction timeline via an S-curve module, with construction interest capitalized into basis at either a fixed or variable rate. Version 2.98 added the ability to size permanent debt on LTV as an alternative to the existing construction-debt-based sizing method.</t>
        </is>
      </c>
      <c r="L3" s="28" t="inlineStr">
        <is>
          <t>S-curve distribution of hard and soft costs across a construction period; construction interest capitalized into project basis; mezzanine tranche layered above the construction loan; construction-to-permanent loan conversion; permanent debt sized on either LTV or construction balance; lease-up absorption in basic or detailed mode; GP catch-up; single promote and double promote waterfalls; monthly cash flows with annual rollup reporting</t>
        </is>
      </c>
      <c r="M3" s="28" t="inlineStr">
        <is>
          <t>Express a cost curve as a parameterized distribution (S-curve) over a construction window; express interest that capitalizes into the asset basis rather than flowing to the period income statement; express a debt sizing constraint that resolves against a projected stabilized value; express absorption as a per-period lease-up rate feeding occupancy; express monthly computation with faithful annual aggregation, so annual figures are rollups of monthly results rather than independently computed</t>
        </is>
      </c>
      <c r="N3" s="28" t="inlineStr">
        <is>
          <t>Direct test of capitalized construction interest and the circularity it induces (interest funded by debt increases the balance, which increases interest), plus the monthly-to-annual aggregation contract</t>
        </is>
      </c>
      <c r="O3" s="28" t="inlineStr">
        <is>
          <t>OK</t>
        </is>
      </c>
    </row>
    <row r="4" ht="96" customHeight="1" s="18">
      <c r="A4" s="24" t="n">
        <v>3</v>
      </c>
      <c r="B4" s="24" t="inlineStr">
        <is>
          <t>CRE (existing pack)</t>
        </is>
      </c>
      <c r="C4" s="24" t="inlineStr">
        <is>
          <t>Hotels / hospitality</t>
        </is>
      </c>
      <c r="D4" s="24" t="inlineStr">
        <is>
          <t>A.CRE Hotel Valuation Model</t>
        </is>
      </c>
      <c r="E4" s="24" t="inlineStr">
        <is>
          <t>Adventures in CRE (A.CRE)</t>
        </is>
      </c>
      <c r="F4" s="25" t="inlineStr">
        <is>
          <t>https://www.adventuresincre.com/hotel-valuation-model/</t>
        </is>
      </c>
      <c r="G4" s="24" t="inlineStr">
        <is>
          <t>free registration</t>
        </is>
      </c>
      <c r="H4" s="24" t="inlineStr">
        <is>
          <t>"Pay What You're Able" — page states "no minimum (enter $0 if you'd like) or maximum"; email required. Same A.CRE error disclaimer applies. Redistribution terms not stated.</t>
        </is>
      </c>
      <c r="I4" s="24" t="inlineStr">
        <is>
          <t>full cash flow table available</t>
        </is>
      </c>
      <c r="J4" s="24" t="inlineStr">
        <is>
          <t>Departmental hotel DCF valuation driven by ADR and occupancy, with F&amp;B and other operated departments, FF&amp;E reserve, market penetration analysis and a 4-tier IRR waterfall</t>
        </is>
      </c>
      <c r="K4" s="24" t="inlineStr">
        <is>
          <t>A hotel valuation workbook built around eight worksheets (Summary, CFSummary, OpCashFlow, F&amp;B, OthOppDepts, OthExpenses, Penetration, Waterfall). Revenue is driven from ADR and occupancy to RevPAR with annual growth, layered with up to five separate food-and-beverage outlets plus other operated departments. FF&amp;E and capital reserves are input on the OthExpenses tab and deducted before the valuation cash flow.</t>
        </is>
      </c>
      <c r="L4" s="24" t="inlineStr">
        <is>
          <t>ADR × occupancy → RevPAR → rooms revenue derivation; multi-outlet F&amp;B departmental revenue and departmental expense modeling; other operated departments; undistributed operating expenses; FF&amp;E reserve as a deduction to net cash flow; market penetration / fair-share index analysis; 4-tier LP/GP waterfall on IRR hurdles</t>
        </is>
      </c>
      <c r="M4" s="24" t="inlineStr">
        <is>
          <t>Express derived operating metrics as named intermediate quantities that other lines reference (RevPAR from ADR and occupancy, then rooms revenue from RevPAR and available room-nights); express a department as a repeatable sub-unit with its own revenue and expense ratios, instantiated N times; express reserve deductions that sit between NOI and net cash flow; express a room-night denominator that scales with calendar days per period</t>
        </is>
      </c>
      <c r="N4" s="24" t="inlineStr">
        <is>
          <t>Tests operating-metric composition and day-count-sensitive revenue (available room-nights vary by month length), which is a distinct numerical challenge from lease-driven asset classes</t>
        </is>
      </c>
      <c r="O4" s="24" t="inlineStr">
        <is>
          <t>OK</t>
        </is>
      </c>
    </row>
    <row r="5" ht="96" customHeight="1" s="18">
      <c r="A5" s="28" t="n">
        <v>4</v>
      </c>
      <c r="B5" s="28" t="inlineStr">
        <is>
          <t>CRE (existing pack)</t>
        </is>
      </c>
      <c r="C5" s="28" t="inlineStr">
        <is>
          <t>Self-storage</t>
        </is>
      </c>
      <c r="D5" s="28" t="inlineStr">
        <is>
          <t>A.CRE Self Storage Acquisition Model</t>
        </is>
      </c>
      <c r="E5" s="28" t="inlineStr">
        <is>
          <t>Adventures in CRE (A.CRE)</t>
        </is>
      </c>
      <c r="F5" s="29" t="inlineStr">
        <is>
          <t>https://www.adventuresincre.com/self-storage-acquisition-model/</t>
        </is>
      </c>
      <c r="G5" s="28" t="inlineStr">
        <is>
          <t>free registration</t>
        </is>
      </c>
      <c r="H5" s="28" t="inlineStr">
        <is>
          <t>"Pay What You're Able", no minimum or maximum, email required for download link. Same A.CRE error disclaimer. Redistribution terms not stated.</t>
        </is>
      </c>
      <c r="I5" s="28" t="inlineStr">
        <is>
          <t>full cash flow table available</t>
        </is>
      </c>
      <c r="J5" s="28" t="inlineStr">
        <is>
          <t>Acquisition DCF built on an Investment / Operating / Reversion cash flow framework with dynamic unit-type schedule, occupancy ramp, ECRI rate increases, lender reserve module and refinance</t>
        </is>
      </c>
      <c r="K5" s="28" t="inlineStr">
        <is>
          <t>A self-storage acquisition underwriting model supporting an unlimited number of unit types (all but two of which can be deleted), each with its own rent and occupancy assumptions. Growth rates are set individually for years 1 through 5, with year-6 growth rates carried correctly across all impacted line items for the remainder of the hold. Version 1.1 added a Lender Reserve module where the user inputs reserve amounts, release timing, and the percentage returned to the owner.</t>
        </is>
      </c>
      <c r="L5" s="28" t="inlineStr">
        <is>
          <t>Dynamic (user-extensible) unit type schedule; existing customer rate increases (ECRI) applied to in-place tenancy; physical and economic occupancy ramp; per-year growth rate vectors for years 1-5 with a terminal growth rate applied from year 6 onward; initial financing plus mid-hold refinance; lender reserve funding, release timing and partial return to owner; property-level and partnership-level returns including gross levered IRR, equity multiple and cash-on-cash</t>
        </is>
      </c>
      <c r="M5" s="28" t="inlineStr">
        <is>
          <t>Express a collection whose cardinality is data-driven rather than fixed at model-authoring time; express a growth assumption as a time-indexed vector with a terminal value that extends indefinitely; express rate increases applied to the existing tenant base separately from asking-rate growth on new rentals; express a reserve account with independent funding, release and disposition rules</t>
        </is>
      </c>
      <c r="N5" s="28" t="inlineStr">
        <is>
          <t>Tests data-driven collection cardinality and the year-1-through-5-then-terminal growth vector pattern, which is a very common source of off-by-one errors in period indexing</t>
        </is>
      </c>
      <c r="O5" s="28" t="inlineStr">
        <is>
          <t>OK</t>
        </is>
      </c>
    </row>
    <row r="6" ht="96" customHeight="1" s="18">
      <c r="A6" s="24" t="n">
        <v>5</v>
      </c>
      <c r="B6" s="24" t="inlineStr">
        <is>
          <t>CRE (existing pack)</t>
        </is>
      </c>
      <c r="C6" s="24" t="inlineStr">
        <is>
          <t>Land development / residential lot subdivision</t>
        </is>
      </c>
      <c r="D6" s="24" t="inlineStr">
        <is>
          <t>A.CRE Residential Land Development Model</t>
        </is>
      </c>
      <c r="E6" s="24" t="inlineStr">
        <is>
          <t>Adventures in CRE (A.CRE)</t>
        </is>
      </c>
      <c r="F6" s="25" t="inlineStr">
        <is>
          <t>https://www.adventuresincre.com/residential-land-development-model/</t>
        </is>
      </c>
      <c r="G6" s="24" t="inlineStr">
        <is>
          <t>free registration</t>
        </is>
      </c>
      <c r="H6" s="24" t="inlineStr">
        <is>
          <t>"Pay What You're Able" with no minimum (enter $0) or maximum; email required. "Paid contributors to the model receive a new download link via email each time the model is updated." Same A.CRE error disclaimer. Redistribution terms not stated.</t>
        </is>
      </c>
      <c r="I6" s="24" t="inlineStr">
        <is>
          <t>full cash flow table available</t>
        </is>
      </c>
      <c r="J6" s="24" t="inlineStr">
        <is>
          <t>120-month land development and lot sellout pro forma with up to two phases, entitlement and horizontal construction costs, land loan draws and per-phase plus combined P&amp;L</t>
        </is>
      </c>
      <c r="K6" s="24" t="inlineStr">
        <is>
          <t>A residential land development model running monthly cash flows across up to 120 months, supporting either one or two development phases with phase-specific inputs (logic hides Phase II if only one phase is selected) and a combined cash flow. The user enters entitlement costs, construction length and cost, and land acquisition terms, then drives revenue from an absorption period, a finished lot sales price and closing costs. Financing is set by loan-to-cost and interest rate, with interest charged on the prior month's ending balance.</t>
        </is>
      </c>
      <c r="L6" s="24" t="inlineStr">
        <is>
          <t>Lot absorption / sellout over an absorption period; finished lot sales price and closing costs; entitlement and horizontal development cost timing; two-phase development with conditional phase activation; land loan sized on loan-to-cost; interest computed on prior-period ending balance; per-phase and combined profit and loss with net profit over the 120-month window</t>
        </is>
      </c>
      <c r="M6" s="24" t="inlineStr">
        <is>
          <t>Express inventory depletion (a finite lot count sold down over time) rather than recurring rental revenue; express conditional inclusion of an entire model subtree (Phase II) based on a scalar input; express interest accrued on a prior-period closing balance convention specifically; express roll-up of independently-scheduled phases into a combined statement</t>
        </is>
      </c>
      <c r="N6" s="24" t="inlineStr">
        <is>
          <t>Tests sellout/inventory-depletion revenue recognition and conditional structural composition — both distinct from the recurring-lease pattern that dominates the rest of the domain — plus the prior-period-balance interest convention</t>
        </is>
      </c>
      <c r="O6" s="24" t="inlineStr">
        <is>
          <t>OK</t>
        </is>
      </c>
    </row>
    <row r="7" ht="96" customHeight="1" s="18">
      <c r="A7" s="28" t="n">
        <v>6</v>
      </c>
      <c r="B7" s="28" t="inlineStr">
        <is>
          <t>CRE (existing pack)</t>
        </is>
      </c>
      <c r="C7" s="28" t="inlineStr">
        <is>
          <t>Multifamily — value-add / renovation</t>
        </is>
      </c>
      <c r="D7" s="28" t="inlineStr">
        <is>
          <t>A.CRE Value-Add Apartment Acquisition Model</t>
        </is>
      </c>
      <c r="E7" s="28" t="inlineStr">
        <is>
          <t>Adventures in CRE (A.CRE)</t>
        </is>
      </c>
      <c r="F7" s="29" t="inlineStr">
        <is>
          <t>https://www.adventuresincre.com/a-cre-value-add-apartment-acquisition-model/</t>
        </is>
      </c>
      <c r="G7" s="28" t="inlineStr">
        <is>
          <t>free registration</t>
        </is>
      </c>
      <c r="H7" s="28" t="inlineStr">
        <is>
          <t>"Pay What You're Able" basis with no minimum; email required to download. Paid contributors receive update notifications. Same A.CRE error disclaimer. Redistribution terms not stated.</t>
        </is>
      </c>
      <c r="I7" s="28" t="inlineStr">
        <is>
          <t>full cash flow table available</t>
        </is>
      </c>
      <c r="J7" s="28" t="inlineStr">
        <is>
          <t>12-to-120-month value-add apartment acquisition model with unit renovation program, renovation downtime vacancy, four capital sources, refinance-or-sell toggle and 4-tier European waterfall</t>
        </is>
      </c>
      <c r="K7" s="28" t="inlineStr">
        <is>
          <t>A value-add apartment acquisition underwritten over a dynamic 12-to-120-month analysis period. Renovation spend is scheduled straight-line, on an S-curve, or by manual entry, and a dedicated Downtime Vacancy (Renovation) module applies vacancy to units while they are being renovated using a customizable "% of Month" assumption where 100% equals one month of vacancy per unit. Income is tracked separately as Pre-Renovation and Post-Renovation (stabilized), with unlimited user-definable unit types labeled as Units, Beds, Rooms or Doors.</t>
        </is>
      </c>
      <c r="L7" s="28" t="inlineStr">
        <is>
          <t>Renovation program scheduling (straight-line / S-curve / manual); renovation downtime vacancy per unit expressed as a fraction of a month; pre- vs post-renovation rent premium; unlimited unit types with configurable unit-of-measure labels; general vacancy and credit loss / bad debt modules; basic vs detailed expense modes; up to four capital sources (2 equity + 2 debt) fixed or floating; refinance-at-stabilization vs sell toggle with subsequent-financing DSCR and debt yield tests; 4-tier European waterfall on annual IRR hurdles with GP catch-up, asset management fees and acquisition/disposition fees</t>
        </is>
      </c>
      <c r="M7" s="28" t="inlineStr">
        <is>
          <t>Express a per-unit state transition (unrenovated → offline → renovated) with a cost, a duration expressed as a fraction of a period, and a resulting rent uplift; express European (whole-fund) waterfall sequencing as distinct from American/deal-by-deal; express a scenario switch that replaces terminal disposition with a refinance event; express fee streams (asset management, acquisition, disposition) that accrue to the GP outside the promote</t>
        </is>
      </c>
      <c r="N7" s="28" t="inlineStr">
        <is>
          <t>Tests fractional-period downtime arithmetic and the European-waterfall-with-catch-up computation, plus the refinance-versus-sale terminal branch</t>
        </is>
      </c>
      <c r="O7" s="28" t="inlineStr">
        <is>
          <t>OK</t>
        </is>
      </c>
    </row>
    <row r="8" ht="96" customHeight="1" s="18">
      <c r="A8" s="24" t="n">
        <v>7</v>
      </c>
      <c r="B8" s="24" t="inlineStr">
        <is>
          <t>CRE (existing pack)</t>
        </is>
      </c>
      <c r="C8" s="24" t="inlineStr">
        <is>
          <t>Real estate private equity / JV partnership structuring (asset-class agnostic)</t>
        </is>
      </c>
      <c r="D8" s="24" t="inlineStr">
        <is>
          <t>A.CRE Real Estate Equity Waterfall Model with Catch Up and Clawback</t>
        </is>
      </c>
      <c r="E8" s="24" t="inlineStr">
        <is>
          <t>Adventures in CRE (A.CRE)</t>
        </is>
      </c>
      <c r="F8" s="25" t="inlineStr">
        <is>
          <t>https://www.adventuresincre.com/real-estate-equity-waterfall-model-catch-up-clawback/</t>
        </is>
      </c>
      <c r="G8" s="24" t="inlineStr">
        <is>
          <t>free registration</t>
        </is>
      </c>
      <c r="H8" s="24" t="inlineStr">
        <is>
          <t>"Pay What You're Able" basis with no minimum or maximum price — users can enter $0. "Paid contributors to the model receive a new download link via email each time the model is updated." Same A.CRE error disclaimer. Redistribution terms not stated.</t>
        </is>
      </c>
      <c r="I8" s="24" t="inlineStr">
        <is>
          <t>full cash flow table available</t>
        </is>
      </c>
      <c r="J8" s="24" t="inlineStr">
        <is>
          <t>Standalone equity distribution waterfall module — up to two tiers during operations and up to four tiers with three IRR hurdles at reversion, with sponsor profit catch-up and LP clawback</t>
        </is>
      </c>
      <c r="K8" s="24" t="inlineStr">
        <is>
          <t>A dedicated JV waterfall module isolating partnership distribution logic from property cash flow. It supports up to two tiers during the operating period and up to four tiers with three IRR hurdles at the capital event. The sponsor catch-up is implemented on a profit-share basis rather than an IRR basis: the sponsor receives 100% of excess cash flow until it has received a share of excess profits equal to its promote level. The LP clawback provides that if the LP fails to achieve its preferred return at the capital event, any promote distributed to the sponsor during operations is subject to clawback.</t>
        </is>
      </c>
      <c r="L8" s="24" t="inlineStr">
        <is>
          <t>Two-tier operating waterfall and four-tier reversion waterfall; three sequential IRR hurdles; hard versus soft hurdle treatment; sponsor profit catch-up at 100% of excess cash flow until the promote share is reached; LP clawback of interim promote distributions when the pref is missed at the capital event; separate operating-period and capital-event distribution paths</t>
        </is>
      </c>
      <c r="M8" s="24" t="inlineStr">
        <is>
          <t>Express IRR hurdles that are solved against the cumulative distribution history rather than a single period; express a catch-up that targets a profit-share ratio rather than a rate; express a retroactive correction (clawback) in which an already-made distribution is reversed based on a terminal condition; express separate distribution rules for operating cash flow versus capital-event proceeds within one partnership</t>
        </is>
      </c>
      <c r="N8" s="24" t="inlineStr">
        <is>
          <t>The single sharpest test of waterfall semantics for CFDL — clawback in particular requires the language to express a distribution that is provisional until a terminal test resolves, which is where most declarative modeling languages break down</t>
        </is>
      </c>
      <c r="O8" s="24" t="inlineStr">
        <is>
          <t>OK</t>
        </is>
      </c>
    </row>
    <row r="9" ht="96" customHeight="1" s="18">
      <c r="A9" s="28" t="n">
        <v>8</v>
      </c>
      <c r="B9" s="28" t="inlineStr">
        <is>
          <t>CRE (existing pack)</t>
        </is>
      </c>
      <c r="C9" s="28" t="inlineStr">
        <is>
          <t>Commercial real estate debt — lender-side underwriting</t>
        </is>
      </c>
      <c r="D9" s="28" t="inlineStr">
        <is>
          <t>A.CRE Commercial Mortgage Loan Analysis Model</t>
        </is>
      </c>
      <c r="E9" s="28" t="inlineStr">
        <is>
          <t>Adventures in CRE (A.CRE)</t>
        </is>
      </c>
      <c r="F9" s="29" t="inlineStr">
        <is>
          <t>https://www.adventuresincre.com/commercial-mortgage-loan-analysis-model/</t>
        </is>
      </c>
      <c r="G9" s="28" t="inlineStr">
        <is>
          <t>free registration</t>
        </is>
      </c>
      <c r="H9" s="28" t="inlineStr">
        <is>
          <t>"Pay What You're Able" with no minimum or maximum; email required. Users receive email updates on new versions. Same A.CRE error disclaimer. Redistribution terms not stated.</t>
        </is>
      </c>
      <c r="I9" s="28" t="inlineStr">
        <is>
          <t>full cash flow table available</t>
        </is>
      </c>
      <c r="J9" s="28" t="inlineStr">
        <is>
          <t>Loan-level amortization and sizing model supporting terms up to 50 years, three day-count conventions, floating rates against a forward curve, prepayment penalties and lender yield</t>
        </is>
      </c>
      <c r="K9" s="28" t="inlineStr">
        <is>
          <t>A lender-perspective commercial mortgage model supporting loan terms up to 50 years and three interest calculation methods: 30/360, Actual/360 and Actual/365. Maximum loan amount is set by the lowest of three sizing tests — DSCR, LTV and debt yield — unless manually overridden. Version 2.3 added a prepayment module supporting both yield maintenance and percentage-of-balance penalty methods, and version 2.4 added a variable rate module in which the user inputs a benchmark such as SOFR plus a forward curve.</t>
        </is>
      </c>
      <c r="L9" s="28" t="inlineStr">
        <is>
          <t>30/360, Actual/360 and Actual/365 day-count conventions; interest-only period separate from the amortization period; amortization term distinct from loan term (balloon); floating rate indexed to a benchmark forward curve; loan sizing as the binding minimum of DSCR, LTV and debt yield tests with manual override; yield maintenance prepayment penalty; percentage-of-balance prepayment penalty; weighted average life; complete lender cash flow from closing through maturity and lender yield</t>
        </is>
      </c>
      <c r="M9" s="28" t="inlineStr">
        <is>
          <t>Express day-count conventions as a selectable property of an instrument, with Actual/360 producing different interest than 30/360 on the same nominal rate; express amortization term independent of maturity so a balloon arises naturally; express a rate as a lookup against a supplied forward curve; express a constraint set that resolves to a binding minimum with an override; express yield maintenance, which requires discounting the remaining scheduled payments at a reference rate at the prepayment date</t>
        </is>
      </c>
      <c r="N9" s="28" t="inlineStr">
        <is>
          <t>Highest-precision numerical target in the set — day-count conventions and yield maintenance are exact, unambiguous computations where any discrepancy is a genuine bug rather than a modeling-convention difference. Ideal for bit-level accuracy validation.</t>
        </is>
      </c>
      <c r="O9" s="28" t="inlineStr">
        <is>
          <t>OK</t>
        </is>
      </c>
    </row>
    <row r="10" ht="96" customHeight="1" s="18">
      <c r="A10" s="24" t="n">
        <v>9</v>
      </c>
      <c r="B10" s="24" t="inlineStr">
        <is>
          <t>CRE (existing pack)</t>
        </is>
      </c>
      <c r="C10" s="24" t="inlineStr">
        <is>
          <t>Net lease retail / single-tenant office and industrial</t>
        </is>
      </c>
      <c r="D10" s="24" t="inlineStr">
        <is>
          <t>A.CRE Single Tenant NNN Lease Valuation Model</t>
        </is>
      </c>
      <c r="E10" s="24" t="inlineStr">
        <is>
          <t>Adventures in CRE (A.CRE)</t>
        </is>
      </c>
      <c r="F10" s="25" t="inlineStr">
        <is>
          <t>https://www.adventuresincre.com/single-tenant-nnn-lease-valuation-model/</t>
        </is>
      </c>
      <c r="G10" s="24" t="inlineStr">
        <is>
          <t>free registration</t>
        </is>
      </c>
      <c r="H10" s="24" t="inlineStr">
        <is>
          <t>"Pay What You're Able" basis — enter any amount including $0. Paid contributors receive lifetime email updates. Same A.CRE error disclaimer. Redistribution terms not stated.</t>
        </is>
      </c>
      <c r="I10" s="24" t="inlineStr">
        <is>
          <t>full cash flow table available</t>
        </is>
      </c>
      <c r="J10" s="24" t="inlineStr">
        <is>
          <t>Monthly single-tenant NNN lease DCF valuation using three separate discount rates (credit, speculative, residual) selected from a credit-rating matrix, with option-rent scenarios and a residual valuation module</t>
        </is>
      </c>
      <c r="K10" s="24" t="inlineStr">
        <is>
          <t>A net-lease valuation model whose defining feature is that it discounts three different cash flow streams at three different rates rather than applying one blended discount rate. A credit matrix assigns discount rates by rating from S&amp;P, Moody's and Fitch, so contractual rent from an investment-grade tenant is discounted at a credit rate while speculative and residual cash flows carry their own rates. Analysis runs monthly and aggregates to annual, with a customizable Residual Month input (v2.5+) defaulting to a 10-year maximum so the analysis can extend past lease expiry.</t>
        </is>
      </c>
      <c r="L10" s="24" t="inlineStr">
        <is>
          <t>Custom contractual rent step schedule with mid-year adjustments; rent expressed per SF/year or per M2/year; option rent scenarios; three-rate discounting with cash flows partitioned into credit, speculative and residual buckets; credit rating → discount rate lookup matrix across three agencies; residual building valuation at end of lease term; residual month decoupled from lease expiry; monthly cash flows cascading to annual summaries; free-and-clear and cash-on-cash returns</t>
        </is>
      </c>
      <c r="M10" s="24" t="inlineStr">
        <is>
          <t>Express a partition of a single asset's cash flows into risk buckets, each discounted at its own rate, and sum the present values — rather than assuming a single discount rate per asset; express a rating-to-rate lookup as a first-class table; express unit-system-independent rent (per SF or per M2); express an analysis horizon that is independent of the lease term so post-expiry residual value is valued separately</t>
        </is>
      </c>
      <c r="N10" s="24" t="inlineStr">
        <is>
          <t>Tests multi-rate discounting — a genuine expressiveness challenge, since many modeling frameworks hard-wire one discount rate per cash flow stream. Also tests unit-system flexibility (SF vs M2).</t>
        </is>
      </c>
      <c r="O10" s="24" t="inlineStr">
        <is>
          <t>OK</t>
        </is>
      </c>
    </row>
    <row r="11" ht="96" customHeight="1" s="18">
      <c r="A11" s="28" t="n">
        <v>10</v>
      </c>
      <c r="B11" s="28" t="inlineStr">
        <is>
          <t>CRE (existing pack)</t>
        </is>
      </c>
      <c r="C11" s="28" t="inlineStr">
        <is>
          <t>Real estate debt — construction lending with mezzanine tranche</t>
        </is>
      </c>
      <c r="D11" s="28" t="inlineStr">
        <is>
          <t>A.CRE Watch Me Build — Capital Stack with Mezzanine Debt</t>
        </is>
      </c>
      <c r="E11" s="28" t="inlineStr">
        <is>
          <t>Adventures in CRE (A.CRE)</t>
        </is>
      </c>
      <c r="F11" s="29" t="inlineStr">
        <is>
          <t>https://www.adventuresincre.com/watch-me-build-capital-stack-mezz-debt/</t>
        </is>
      </c>
      <c r="G11" s="28" t="inlineStr">
        <is>
          <t>free registration</t>
        </is>
      </c>
      <c r="H11" s="28" t="inlineStr">
        <is>
          <t>Downloadable files provided on a "Pay What You're Able" basis including a $0 option; the download includes both a blank template and a completed worksheet for follow-along learning. Same A.CRE error disclaimer. Redistribution terms not stated.</t>
        </is>
      </c>
      <c r="I11" s="28" t="inlineStr">
        <is>
          <t>full cash flow table available</t>
        </is>
      </c>
      <c r="J11" s="28" t="inlineStr">
        <is>
          <t>Step-by-step build of a three-tranche capital stack funding waterfall with sequential draw priority and accruing interest during construction</t>
        </is>
      </c>
      <c r="K11" s="28" t="inlineStr">
        <is>
          <t>A tutorial that builds a three-tranche capital stack — equity (junior), mezzanine debt (intermediate) and construction debt (senior) — under a strict priority-of-funding waterfall in which equity funds first, then mezzanine, then construction debt, each exhausted before the next activates. Each source is tracked with four rows: Available (opening capital), Draw (deployed via a MIN function against remaining need), Ending (remaining available) and Account Balance (deployed amount and debt balance for interest calculation). The tutorial explicitly names the circularity problem it creates: a higher debt balance produces more interest, which is funded by debt, which increases the balance.</t>
        </is>
      </c>
      <c r="L11" s="28" t="inlineStr">
        <is>
          <t>Sequential priority-of-funding across three capital sources; per-source available / draw / ending / balance state tracking; draw sized as the minimum of remaining need and remaining commitment; interest accrual on drawn mezzanine and senior balances during construction; explicit treatment of the construction interest circularity</t>
        </is>
      </c>
      <c r="M11" s="28" t="inlineStr">
        <is>
          <t>Express a funding waterfall in which each source has a commitment that depletes and a draw equal to min(remaining need, remaining commitment); express per-source running state across periods; express and resolve the circular dependency between accrued interest, funded balance and remaining need — either by iteration to a fixed point or by an algebraic closed form</t>
        </is>
      </c>
      <c r="N11" s="28" t="inlineStr">
        <is>
          <t>Isolates the construction-interest circularity in its simplest reproducible form. If CFDL can resolve this cleanly and match the completed worksheet, it validates the language's fixed-point/iterative resolution semantics without the noise of a full development model.</t>
        </is>
      </c>
      <c r="O11" s="28" t="inlineStr">
        <is>
          <t>OK</t>
        </is>
      </c>
    </row>
    <row r="12" ht="96" customHeight="1" s="18">
      <c r="A12" s="24" t="n">
        <v>11</v>
      </c>
      <c r="B12" s="24" t="inlineStr">
        <is>
          <t>CRE (existing pack)</t>
        </is>
      </c>
      <c r="C12" s="24" t="inlineStr">
        <is>
          <t>Affordable housing — HOME-funded multifamily rental, with LIHTC and other subsidy layering</t>
        </is>
      </c>
      <c r="D12" s="24" t="inlineStr">
        <is>
          <t>HOME Multifamily Underwriting Template (and populated Sample workbook)</t>
        </is>
      </c>
      <c r="E12" s="24" t="inlineStr">
        <is>
          <t>U.S. Department of Housing and Urban Development — Office of Community Planning and Development, via HUD Exchange</t>
        </is>
      </c>
      <c r="F12" s="25" t="inlineStr">
        <is>
          <t>https://www.hudexchange.info/resource/2468/home-multifamily-underwriting-template/</t>
        </is>
      </c>
      <c r="G12" s="24" t="inlineStr">
        <is>
          <t>direct download</t>
        </is>
      </c>
      <c r="H12" s="24" t="inlineStr">
        <is>
          <t>U.S. federal government work. The HUD Exchange resource page carries a public domain disclaimer stating the work's findings "are dedicated to the public," with no restrictive copyright notice. HUD-authored materials are generally in the public domain and freely redistributable. Direct file: https://files.hudexchange.info/resources/documents/HOME-Multifamily-Underwriting-Template.xlsm ; populated sample: https://files.hudexchange.info/resources/documents/HOME-Multifamily-Underwriting-Template-Sample.xlsm (both verified to resolve and serve Excel binaries)</t>
        </is>
      </c>
      <c r="I12" s="24" t="inlineStr">
        <is>
          <t>full cash flow table available</t>
        </is>
      </c>
      <c r="J12" s="24" t="inlineStr">
        <is>
          <t>Regulatory underwriting and subsidy layering workbook (.xlsm) with sources and uses, operating pro forma across the full affordability period, debt sizing and gap analysis</t>
        </is>
      </c>
      <c r="K12" s="24" t="inlineStr">
        <is>
          <t>HUD's official template for Participating Jurisdictions to build a customized profile of a rental housing development and determine the appropriate role and amount of HOME funds. It documents sources and uses, projects expenses against cash flow, and evaluates financial viability for the entire affordability period rather than a typical 10-year investor hold. It exists in a blank version and a populated Sample version containing worked numbers, and supports compliance with 24 CFR 92.250(b) and CPD Notice 15-11 (HOME Underwriting and Subsidy Layering Guidelines, December 22, 2015).</t>
        </is>
      </c>
      <c r="L12" s="24" t="inlineStr">
        <is>
          <t>Sources and uses reconciliation across layered public and private subsidy sources; funding gap determination (the subsidy amount is the output, solved for, not an input); operating pro forma extended over a long regulatory affordability period; hard debt sizing against restricted rents; soft/deferred debt and cash-flow-contingent repayment; restricted rent limits by AMI band; developer fee limits; replacement reserve funding</t>
        </is>
      </c>
      <c r="M12" s="24" t="inlineStr">
        <is>
          <t>Express a subsidy amount as a solved-for residual that closes a funding gap, rather than as a given input; express a capital source whose repayment is contingent on available surplus cash flow rather than scheduled; express rent as constrained by an external regulatory limit table (AMI-indexed) rather than by market; express a projection horizon set by a compliance period rather than an investment hold; express multiple stacked sources with distinct priority and repayment behavior</t>
        </is>
      </c>
      <c r="N12" s="24" t="inlineStr">
        <is>
          <t>The only government-published, public-domain, fully-numeric workbook in this set. Validates affordable-housing-specific mechanics (gap funding solved as a residual, cash-flow-contingent soft debt, AMI-restricted rents) and gives CFDL a citable public-domain reference with no licensing ambiguity — the populated Sample provides the numeric target.</t>
        </is>
      </c>
      <c r="O12" s="24" t="inlineStr">
        <is>
          <t>OK</t>
        </is>
      </c>
    </row>
    <row r="13" ht="96" customHeight="1" s="18">
      <c r="A13" s="28" t="n">
        <v>12</v>
      </c>
      <c r="B13" s="28" t="inlineStr">
        <is>
          <t>CRE (existing pack)</t>
        </is>
      </c>
      <c r="C13" s="28" t="inlineStr">
        <is>
          <t>Office</t>
        </is>
      </c>
      <c r="D13" s="28" t="inlineStr">
        <is>
          <t>11.431J Real Estate Finance and Investment — Problem Set 1 (office property DCF with expense stops)</t>
        </is>
      </c>
      <c r="E13" s="28" t="inlineStr">
        <is>
          <t>MIT OpenCourseWare — Prof. David Geltner and Prof. Tod McGrath, MIT Department of Urban Studies and Planning</t>
        </is>
      </c>
      <c r="F13" s="29" t="inlineStr">
        <is>
          <t>https://ocw.mit.edu/courses/11-431j-real-estate-finance-and-investment-fall-2006/3cdd8d84d7dd0fef202fcd0ba8d7a7a7_ps1.pdf</t>
        </is>
      </c>
      <c r="G13" s="28" t="inlineStr">
        <is>
          <t>direct download</t>
        </is>
      </c>
      <c r="H13" s="28" t="inlineStr">
        <is>
          <t>Creative Commons BY-NC-SA 4.0 (MIT OpenCourseWare standard license) — free to share and adapt with attribution, non-commercially, under share-alike terms. Explicitly redistributable, which is unusual and valuable for a project wanting to ship example deals.</t>
        </is>
      </c>
      <c r="I13" s="28" t="inlineStr">
        <is>
          <t>assumptions and outputs only</t>
        </is>
      </c>
      <c r="J13" s="28" t="inlineStr">
        <is>
          <t>5-year lease-by-lease office DCF with expense stops, differentiated new-versus-renewal leasing costs, rent abatement and a cap-rate reversion</t>
        </is>
      </c>
      <c r="K13" s="28" t="inlineStr">
        <is>
          <t>A 30,000 net rentable SF office building divided into two suites: Suite 100 at 20,000 SF leased at $15.00/SF/year with a $4.00/SF expense stop, and Suite 200 at 10,000 SF initially vacant with a $5.00/SF expense stop. Market rent is $14.00/SF on 5-year leases; operating expenses are $4.81/SF at full occupancy growing 4% per year, with capital improvements of $1.00/SF/year. TI is $10/SF for new leases and $3/SF on renewal, leasing commissions are 6% new and 3% renewal, and new leases carry 5 months of rent abatement. The analysis period is 5 years at a 12% discount rate with a 10% reversion cap rate and a 5% resale commission — and the problem set states the target present value as $2,292,810.</t>
        </is>
      </c>
      <c r="L13" s="28" t="inlineStr">
        <is>
          <t>Expense stops set per-suite at different levels, so reimbursement equals the tenant's pro-rata share of expenses above its own stop; expense growth at 4% driving growing reimbursement income; differentiated TI and LC for new versus renewal leases; 5-month free rent on new leases; absorption of an initially vacant suite; capital improvements as a per-SF recurring reserve; reversion valued on a going-out cap rate net of a 5% resale commission; 12% discount rate applied to a 5-year cash flow plus reversion</t>
        </is>
      </c>
      <c r="M13" s="28" t="inlineStr">
        <is>
          <t>Express an expense stop as a per-lease attribute so two tenants in the same building reimburse different amounts from the same expense pool; express pro-rata share allocation of a building-level expense to suites by area; express leasing cost parameters that differ by outcome branch (new versus renewal); express free rent as a delay in rent commencement distinct from the lease start; express a terminal value as a capitalization of forward NOI net of transaction costs</t>
        </is>
      </c>
      <c r="N13" s="28" t="inlineStr">
        <is>
          <t>The single best precision-validation target in the set: complete, unambiguous, fully-specified inputs plus a published exact answer of $2,292,810. CFDL reproducing that figure to the dollar is a clean, citable, academically-authoritative proof of DCF and expense-stop correctness — and the CC BY-NC-SA license permits shipping it as an example.</t>
        </is>
      </c>
      <c r="O13" s="28" t="inlineStr">
        <is>
          <t>OK</t>
        </is>
      </c>
    </row>
    <row r="14" ht="96" customHeight="1" s="18">
      <c r="A14" s="24" t="n">
        <v>13</v>
      </c>
      <c r="B14" s="24" t="inlineStr">
        <is>
          <t>CRE (existing pack)</t>
        </is>
      </c>
      <c r="C14" s="24" t="inlineStr">
        <is>
          <t>Office development / speculative CBD high-rise with institutional JV</t>
        </is>
      </c>
      <c r="D14" s="24" t="inlineStr">
        <is>
          <t>11.431J Case Assignment 3 — One Lincoln Street, Boston</t>
        </is>
      </c>
      <c r="E14" s="24" t="inlineStr">
        <is>
          <t>MIT OpenCourseWare — MIT Department of Urban Studies and Planning</t>
        </is>
      </c>
      <c r="F14" s="25" t="inlineStr">
        <is>
          <t>https://ocw.mit.edu/courses/11-431j-real-estate-finance-and-investment-fall-2006/2c49789596ca71e885d2747c0e59090c_case3.pdf</t>
        </is>
      </c>
      <c r="G14" s="24" t="inlineStr">
        <is>
          <t>direct download</t>
        </is>
      </c>
      <c r="H14" s="24" t="inlineStr">
        <is>
          <t>Creative Commons BY-NC-SA 4.0 (MIT OpenCourseWare standard license) — free to share and adapt with attribution, non-commercially, under share-alike terms.</t>
        </is>
      </c>
      <c r="I14" s="24" t="inlineStr">
        <is>
          <t>full cash flow table available</t>
        </is>
      </c>
      <c r="J14" s="24" t="inlineStr">
        <is>
          <t>Ground-up speculative office development case with quarterly construction funding schedule, construction interest accrual, three-party JV with cumulative preferred returns and a residual profit split</t>
        </is>
      </c>
      <c r="K14" s="24" t="inlineStr">
        <is>
          <t>A real, named transaction: the proposed 36-story One Lincoln Street development in Boston's Financial District — roughly 1 million rentable SF of office, 15,000 SF of retail and a 725-space, five-level underground parking garage, at a total development cost of $330.5 million on a 63,000 SF assemblage of four parcels (two city-owned; two private parcels bought by John Hynes for $22 million). The JV is MSGW III at 10% equity, State Teachers Retirement System at 90% equity, and Columbia Plaza Associates as developer contributing no capital but entitled to a $5 million reimbursement and 15% of residual profits; both capital partners receive an 11% cumulative preferred return before residual cash splits 34%/51%/15%. Debt is an 8% fixed-rate construction loan, four-year term, quarterly interest-only, with $2 million of origination fees and $200,000 of annual inspection reimbursement; Exhibit 7 projects $16.3 million of accumulated construction interest through lease-up. Exhibit 5 gives annual cash flows for 2003–2013 with stabilized NOI of roughly $37–43 million, a 2003 cash flow of negative $42.2 million, $55.3 million of staged tenant improvements, and an exit at year-10 NOI capitalized at 7.5%. Exhibit 6 details $285.1 million of quarterly construction funding across 2000–2003.</t>
        </is>
      </c>
      <c r="L14" s="24" t="inlineStr">
        <is>
          <t>Quarterly construction draw schedule totaling $285.1M; construction interest accruing to $16.3M through lease-up; origination fees and recurring lender inspection reimbursements; staged tenant improvement outlays of $55.3M tied to absorption; speculative lease-up with zero pre-leasing against a 25% pre-leasing policy; 11% cumulative (compounding, arrears-accruing) preferred return to two capital partners; promote to a non-capital developer partner; 34/51/15 residual split; exit at a 7.5% cap rate on year-10 NOI; unlevered returns computed both at the venture level and separately for one specific partner (STRS)</t>
        </is>
      </c>
      <c r="M14" s="24" t="inlineStr">
        <is>
          <t>Express a cumulative preferred return that accrues and compounds on unreturned capital across periods; express a partner who contributes no capital yet participates in residual profits and receives a fixed reimbursement ahead of the split; express partner-specific return attribution so a single deal yields both venture-level and per-partner IRRs; express quarterly periodicity for construction alongside annual operating reporting; express fee and reimbursement streams payable to the lender</t>
        </is>
      </c>
      <c r="N14" s="24" t="inlineStr">
        <is>
          <t>A real, named, institutionally-scaled transaction with published exhibit-level cash flows — the most credible "example deal" candidate in the set, and freely redistributable under CC BY-NC-SA. Validates cumulative preferred return accrual, promote to a zero-capital partner, and per-partner return attribution against a documented reference.</t>
        </is>
      </c>
      <c r="O14" s="24" t="inlineStr">
        <is>
          <t>OK</t>
        </is>
      </c>
    </row>
    <row r="15" ht="96" customHeight="1" s="18">
      <c r="A15" s="28" t="n">
        <v>14</v>
      </c>
      <c r="B15" s="28" t="inlineStr">
        <is>
          <t>CRE (existing pack)</t>
        </is>
      </c>
      <c r="C15" s="28" t="inlineStr">
        <is>
          <t>Commercial real estate (asset-class agnostic) plus REIT entity-level</t>
        </is>
      </c>
      <c r="D15" s="28" t="inlineStr">
        <is>
          <t>11.431J Real Estate Finance and Investment — Problem Set 2 (leverage, after-tax analysis and tax shields)</t>
        </is>
      </c>
      <c r="E15" s="28" t="inlineStr">
        <is>
          <t>MIT OpenCourseWare — MIT Department of Urban Studies and Planning</t>
        </is>
      </c>
      <c r="F15" s="29" t="inlineStr">
        <is>
          <t>https://ocw.mit.edu/courses/11-431j-real-estate-finance-and-investment-fall-2006/6a880c6270e6579be09c8bd516bce5fd_ps2.pdf</t>
        </is>
      </c>
      <c r="G15" s="28" t="inlineStr">
        <is>
          <t>direct download</t>
        </is>
      </c>
      <c r="H15" s="28" t="inlineStr">
        <is>
          <t>Creative Commons BY-NC-SA 4.0 (MIT OpenCourseWare standard license) — free to share and adapt with attribution, non-commercially, under share-alike terms.</t>
        </is>
      </c>
      <c r="I15" s="28" t="inlineStr">
        <is>
          <t>assumptions and outputs only</t>
        </is>
      </c>
      <c r="J15" s="28" t="inlineStr">
        <is>
          <t>Set of discrete valuation, leverage and after-tax analytical problems including a full 10-year levered after-tax pro forma</t>
        </is>
      </c>
      <c r="K15" s="28" t="inlineStr">
        <is>
          <t>A twelve-problem set covering entity and asset-level finance. Problem 1 uses the Donald Grump Corporation, a publicly-traded REIT with a 13% expected total return to equity, 7.5% average debt interest rate and 40% Debt/Total Asset Value, to derive weighted average cost of capital. Problem 2 requires a full 10-year pro forma for a $1 million commercial property at an 8% initial before-tax NOI yield growing 1% per year, financed 70% with a 9% interest-only loan, taxed at 40% on ordinary income and 20% on capital gains. Problems 4–8 examine equity return variability across 50%, 60%, 70% and 75% LTV with 9–10% cap rates and a 10% mortgage constant; problems 9–10 use NOI of $850,000, debt service of $600,000 of which $550,000 is interest, and depreciation of $350,000; problems 11–12 address depreciation deductions on $400,000–$500,000 properties with land at 25–30% of value.</t>
        </is>
      </c>
      <c r="L15" s="28" t="inlineStr">
        <is>
          <t>Weighted average cost of capital from levered equity return, debt rate and leverage ratio; 10-year levered pro forma with interest-only debt; separation of taxable income from cash flow via depreciation; land/improvement basis allocation excluding land from depreciation; ordinary income taxed at 40% versus capital gains at 20%; depreciation recapture at sale; positive and negative leverage across an LTV range; mortgage constant and cap rate relationships; income versus growth return decomposition</t>
        </is>
      </c>
      <c r="M15" s="28" t="inlineStr">
        <is>
          <t>Express taxable income as a separate ledger from cash flow, differing by depreciation and principal amortization; express a basis allocation between depreciable improvements and non-depreciable land; express multiple tax rates applied to differently-characterized income (ordinary versus capital gain versus recapture); express entity-level cost of capital derived from the capital structure</t>
        </is>
      </c>
      <c r="N15" s="28" t="inlineStr">
        <is>
          <t>The only after-tax and tax-basis validation target in the set. Depreciation, basis allocation and recapture are widely required for real-world CRE deals but are frequently omitted from modeling languages — this proves CFDL can maintain a tax ledger parallel to the cash ledger.</t>
        </is>
      </c>
      <c r="O15" s="28" t="inlineStr">
        <is>
          <t>OK</t>
        </is>
      </c>
    </row>
    <row r="16" ht="96" customHeight="1" s="18">
      <c r="A16" s="24" t="n">
        <v>15</v>
      </c>
      <c r="B16" s="24" t="inlineStr">
        <is>
          <t>CRE (existing pack)</t>
        </is>
      </c>
      <c r="C16" s="24" t="inlineStr">
        <is>
          <t>Mixed-use and residential development feasibility (for-sale and rental), parcel-scale</t>
        </is>
      </c>
      <c r="D16" s="24" t="inlineStr">
        <is>
          <t>pyforma — Real Estate Pro Formas in Python</t>
        </is>
      </c>
      <c r="E16" s="24" t="inlineStr">
        <is>
          <t>Oakland Analytics / Urban Data Science Toolkit (UDST) — open source</t>
        </is>
      </c>
      <c r="F16" s="25" t="inlineStr">
        <is>
          <t>https://github.com/oaklandanalytics/pyforma</t>
        </is>
      </c>
      <c r="G16" s="24" t="inlineStr">
        <is>
          <t>direct download</t>
        </is>
      </c>
      <c r="H16" s="24" t="inlineStr">
        <is>
          <t>BSD-3-Clause. Freely usable, modifiable and redistributable including commercially, with attribution and the standard no-endorsement clause. The most permissive license in this set — source code is directly inspectable, which no Excel model in this list offers.</t>
        </is>
      </c>
      <c r="I16" s="24" t="inlineStr">
        <is>
          <t>assumptions and outputs only</t>
        </is>
      </c>
      <c r="J16" s="24" t="inlineStr">
        <is>
          <t>Vectorized single-shot development residual/feasibility pro forma computing buildable program, cost, revenue and profitability for a parcel under zoning constraints</t>
        </is>
      </c>
      <c r="K16" s="24" t="inlineStr">
        <is>
          <t>An open-source Python library that runs a "spot" pro forma predicting what structure can be built on a land parcel, computing cash inflows and outflows during construction and sale, designed to be run across large parts of a city to learn how policy affects housing development. Configuration objects specify unit types with prices, sizes and parking ratios; building types and construction costs; parking configurations (surface, deck, underground); parcel size and zoning limits; and density and affordability requirements. The API accepts scalars or Pandas Series so a single call can evaluate many parcels or parameter combinations at once, returning roughly 20 metrics including FAR, height, unit counts by type, revenue, cost, profit, affordable unit counts, and explicit constraint-violation flags for FAR, height and density failures.</t>
        </is>
      </c>
      <c r="L16" s="24" t="inlineStr">
        <is>
          <t>Buildable envelope derivation from FAR, height and density limits; unit mix composition with per-type price, size and parking ratio; parking cost by configuration type; inclusionary affordability requirements reducing revenue; construction cost by building type; profit and residual land value; explicit feasibility constraint testing with failure reporting; vectorized evaluation across a cartesian product of parameter combinations</t>
        </is>
      </c>
      <c r="M16" s="24" t="inlineStr">
        <is>
          <t>Express zoning and physical constraints as declarative predicates that report which constraint binds rather than silently clamping; express a program (unit mix) as a composed collection with per-type economics; express the same model evaluated across a parameter sweep without restructuring it; express affordability set-asides that alter the revenue mix</t>
        </is>
      </c>
      <c r="N16" s="24" t="inlineStr">
        <is>
          <t>The only source here whose computational logic is fully readable rather than locked in spreadsheet formulas — CFDL's development-feasibility output can be diffed against inspectable source, and the repository's unit tests provide expected values. Also validates constraint-reporting semantics (naming the binding constraint) and parameter-sweep evaluation, which map directly to CFDL scenario analysis. Note this is a single-period residual model, not a multi-period DCF.</t>
        </is>
      </c>
      <c r="O16" s="24" t="inlineStr">
        <is>
          <t>OK</t>
        </is>
      </c>
    </row>
    <row r="17" ht="96" customHeight="1" s="18">
      <c r="A17" s="28" t="n">
        <v>16</v>
      </c>
      <c r="B17" s="28" t="inlineStr">
        <is>
          <t>CRE (existing pack)</t>
        </is>
      </c>
      <c r="C17" s="28" t="inlineStr">
        <is>
          <t>Office</t>
        </is>
      </c>
      <c r="D17" s="28" t="inlineStr">
        <is>
          <t>Office Building Proforma Excel Template</t>
        </is>
      </c>
      <c r="E17" s="28" t="inlineStr">
        <is>
          <t>PropertyMetrics</t>
        </is>
      </c>
      <c r="F17" s="29" t="inlineStr">
        <is>
          <t>https://propertymetrics.com/office-building-proforma-excel-template/</t>
        </is>
      </c>
      <c r="G17" s="28" t="inlineStr">
        <is>
          <t>free registration</t>
        </is>
      </c>
      <c r="H17" s="28" t="inlineStr">
        <is>
          <t>Free; email address required — "Fill out the quick form below and we'll email you your free real estate proforma template." No specific license or redistribution statement appears on the model page; site-wide Terms of Use exist at https://propertymetrics.com/terms-of-use/. Best described as: free to use, redistribution terms not stated.</t>
        </is>
      </c>
      <c r="I17" s="28" t="inlineStr">
        <is>
          <t>full cash flow table available</t>
        </is>
      </c>
      <c r="J17" s="28" t="inlineStr">
        <is>
          <t>6-year property-level office pro forma with both before-tax and after-tax cash flows, ratio analysis and IRR/NPV</t>
        </is>
      </c>
      <c r="K17" s="28" t="inlineStr">
        <is>
          <t>A compact office pro forma producing six years of cash flow on both a before-tax and after-tax basis, driven by gross potential income, vacancy, other income, operating expenses, debt service and net sale proceeds. It reports operating expense ratio, debt coverage ratio and break-even ratio alongside IRR and NPV, with a summary dashboard consolidating the results.</t>
        </is>
      </c>
      <c r="L17" s="28" t="inlineStr">
        <is>
          <t>Gross potential income less vacancy plus other income to effective gross income; operating expense deduction to NOI; debt service to before-tax cash flow; tax layer to after-tax cash flow; net sale proceeds at reversion; operating expense ratio, debt coverage ratio and break-even ratio; IRR and NPV over a 6-year hold</t>
        </is>
      </c>
      <c r="M17" s="28" t="inlineStr">
        <is>
          <t>Express the standard EGI → NOI → BTCF → ATCF cascade as named, individually-addressable line items; express derived ratio metrics (DCR, break-even ratio, OER) as first-class outputs computed from the statement; express a non-standard hold period (6 years) without the horizon being hard-coded</t>
        </is>
      </c>
      <c r="N17" s="28" t="inlineStr">
        <is>
          <t>Validates the canonical income-statement cascade and the standard lender/appraisal ratio set (break-even ratio in particular is rarely implemented and is a good expressiveness check). Its 6-year horizon is a useful test that the hold period is genuinely parameterized rather than assumed to be 5 or 10 years.</t>
        </is>
      </c>
      <c r="O17" s="28" t="inlineStr">
        <is>
          <t>OK</t>
        </is>
      </c>
    </row>
    <row r="18" ht="96" customHeight="1" s="18">
      <c r="A18" s="24" t="n">
        <v>17</v>
      </c>
      <c r="B18" s="24" t="inlineStr">
        <is>
          <t>CRE (existing pack)</t>
        </is>
      </c>
      <c r="C18" s="24" t="inlineStr">
        <is>
          <t>Retail — shopping centre / multi-tenant retail</t>
        </is>
      </c>
      <c r="D18" s="24" t="inlineStr">
        <is>
          <t>Retail Centre Model</t>
        </is>
      </c>
      <c r="E18" s="24" t="inlineStr">
        <is>
          <t>Finamodel</t>
        </is>
      </c>
      <c r="F18" s="25" t="inlineStr">
        <is>
          <t>https://finamodel.com/templates/retail-centre-model</t>
        </is>
      </c>
      <c r="G18" s="24" t="inlineStr">
        <is>
          <t>free registration</t>
        </is>
      </c>
      <c r="H18" s="24" t="inlineStr">
        <is>
          <t>Per site FAQ: "Every template is a free values-only Excel download after email signup. No credit card or paywall is required." Downloads are "unlocked values-only Excel workbooks with no macros or password protection." Footer states only: "Free Excel financial model templates. Not financial advice." No formal license (Creative Commons or otherwise) is stated — redistribution terms not stated. Note: values-only means formulas are not inspectable, but the full numeric output is.</t>
        </is>
      </c>
      <c r="I18" s="24" t="inlineStr">
        <is>
          <t>full cash flow table available</t>
        </is>
      </c>
      <c r="J18" s="24" t="inlineStr">
        <is>
          <t>Institutional multi-tenant retail acquisition model with rent roll, percentage/overage rent, CAM and tax recoveries, rollover reversion and cap-rate exit</t>
        </is>
      </c>
      <c r="K18" s="24" t="inlineStr">
        <is>
          <t>A multi-tenant retail centre acquisition model aimed at institutional deals in the $50M–$500M+ range. It carries a multi-tenant rent roll with base rent and escalation logic, distinguishing anchor, specialty and F&amp;B tenants with differing lease structures, and layers percentage rent as overage when tenant sales exceed a breakpoint. Recoveries cover CAM, property tax and insurance, and notably exclude management fees from the CAM recovery base to prevent circularity — matching institutional practice. Targets are DSCR of at least 1.25x and NOI margins of 62–72%.</t>
        </is>
      </c>
      <c r="L18" s="24" t="inlineStr">
        <is>
          <t>Multi-tenant rent roll with per-tenant escalation; percentage/overage rent above a sales breakpoint; CAM recovery with management fee excluded from the recovery base (deliberate circularity avoidance); property tax and insurance recovery; lease rollover with rent reversion to market; lease expiry concentration tracking and occupancy stress testing; debt schedule with interest-only period then amortization; cap-rate terminal valuation; levered IRR and equity multiple</t>
        </is>
      </c>
      <c r="M18" s="24" t="inlineStr">
        <is>
          <t>Express percentage rent as a conditional payment triggered when a tenant sales figure exceeds a natural or artificial breakpoint; express a recovery pool whose composition explicitly excludes selected expense lines, so the recovery base is a named, auditable subset rather than total opex; express tenant categories (anchor / specialty / F&amp;B) with category-specific lease behavior; express reversion of expiring rent to a market rate</t>
        </is>
      </c>
      <c r="N18" s="24" t="inlineStr">
        <is>
          <t>The best percentage-rent and recovery-pool-definition test available. The management-fee-exclusion detail is exactly the kind of institutional convention that separates a toy model from a real one, and it directly tests whether CFDL can define a recovery base as a named subset of expenses rather than a single total.</t>
        </is>
      </c>
      <c r="O18" s="24" t="inlineStr">
        <is>
          <t>OK</t>
        </is>
      </c>
    </row>
    <row r="19" ht="96" customHeight="1" s="18">
      <c r="A19" s="28" t="n">
        <v>18</v>
      </c>
      <c r="B19" s="28" t="inlineStr">
        <is>
          <t>CRE (existing pack)</t>
        </is>
      </c>
      <c r="C19" s="28" t="inlineStr">
        <is>
          <t>Multifamily development / construction lending</t>
        </is>
      </c>
      <c r="D19" s="28" t="inlineStr">
        <is>
          <t>Construction Draw Schedule Model</t>
        </is>
      </c>
      <c r="E19" s="28" t="inlineStr">
        <is>
          <t>Finamodel</t>
        </is>
      </c>
      <c r="F19" s="29" t="inlineStr">
        <is>
          <t>https://finamodel.com/templates/construction-draw-model</t>
        </is>
      </c>
      <c r="G19" s="28" t="inlineStr">
        <is>
          <t>free registration</t>
        </is>
      </c>
      <c r="H19" s="28" t="inlineStr">
        <is>
          <t>Free values-only Excel download after email signup per site FAQ; "No credit card or paywall is required." Unlocked, no macros, no password protection. Redistribution terms not stated.</t>
        </is>
      </c>
      <c r="I19" s="28" t="inlineStr">
        <is>
          <t>full cash flow table available</t>
        </is>
      </c>
      <c r="J19" s="28" t="inlineStr">
        <is>
          <t>Construction draw and funding waterfall model with equity-first mechanics, S-curve hard cost draws, retainage, capitalized interest and permanent loan takeout</t>
        </is>
      </c>
      <c r="K19" s="28" t="inlineStr">
        <is>
          <t>A 200-unit multifamily development with $48–50M of total development cost comprising land, hard costs, soft costs, contingency, developer fee, capitalized interest and an operating deficit reserve. Funding follows equity-first mechanics — equity is exhausted before construction debt draws — with interest accruing during construction and capitalizing onto the loan balance, increasing total project cost. Hard costs follow an S-curve while soft costs accrue pro-rata, with draws tied to completion percentages and milestone verification. Retainage of typically 5–10% is held back per draw and released against completion certificates and lender approval. A permanent loan converts at stabilization in Month 27 with 30-year amortization and a 5-year balloon.</t>
        </is>
      </c>
      <c r="L19" s="28" t="inlineStr">
        <is>
          <t>Equity-first funding priority with debt drawing only after equity exhaustion; S-curve hard cost distribution versus pro-rata soft cost accrual; draws tied to percentage-of-completion and milestone verification; retainage withheld at 5–10% per draw and released on certification; construction interest capitalized into the loan balance and into total development cost; loan-to-cost covenant monitoring at each draw; operating deficit reserve; permanent takeout at Month 27 with 30-year amortization and 5-year balloon</t>
        </is>
      </c>
      <c r="M19" s="28" t="inlineStr">
        <is>
          <t>Express funding priority as an ordered sequence of sources with depleting commitments; express two different cost-distribution shapes (S-curve and pro-rata) within one budget; express retainage as a withheld portion of an earned amount that is released on a later condition, so the payable and the earned amount diverge over time; express a covenant tested at each draw event; express a takeout event that retires one facility and originates another with different terms</t>
        </is>
      </c>
      <c r="N19" s="28" t="inlineStr">
        <is>
          <t>Retainage is the standout test — it requires the language to track earned-but-unpaid amounts as a distinct state from both cost incurred and cash paid, which many pro forma frameworks cannot express. Combined with concrete stated numbers (200 units, $48–50M TDC, Month 27 conversion, 30-year am, 5-year balloon), this gives a checkable construction-period target.</t>
        </is>
      </c>
      <c r="O19" s="28" t="inlineStr">
        <is>
          <t>OK</t>
        </is>
      </c>
    </row>
    <row r="20" ht="96" customHeight="1" s="18">
      <c r="A20" s="24" t="n">
        <v>19</v>
      </c>
      <c r="B20" s="24" t="inlineStr">
        <is>
          <t>CRE (existing pack)</t>
        </is>
      </c>
      <c r="C20" s="24" t="inlineStr">
        <is>
          <t>Mixed-use development — residential over ground-floor retail with office/amenity</t>
        </is>
      </c>
      <c r="D20" s="24" t="inlineStr">
        <is>
          <t>Mixed-Use Development Model</t>
        </is>
      </c>
      <c r="E20" s="24" t="inlineStr">
        <is>
          <t>Finamodel</t>
        </is>
      </c>
      <c r="F20" s="25" t="inlineStr">
        <is>
          <t>https://finamodel.com/templates/mixed-use-model</t>
        </is>
      </c>
      <c r="G20" s="24" t="inlineStr">
        <is>
          <t>free registration</t>
        </is>
      </c>
      <c r="H20" s="24" t="inlineStr">
        <is>
          <t>Free values-only Excel download after email signup; "No credit card or paywall is required." Unlocked workbook, no macros or password protection. Redistribution terms not stated.</t>
        </is>
      </c>
      <c r="I20" s="24" t="inlineStr">
        <is>
          <t>full cash flow table available</t>
        </is>
      </c>
      <c r="J20" s="24" t="inlineStr">
        <is>
          <t>Phased mixed-use development pro forma with component-specific lease-up, blended stabilization, construction-to-perm debt and yield-on-cost/development-spread analysis</t>
        </is>
      </c>
      <c r="K20" s="24" t="inlineStr">
        <is>
          <t>A mixed-use development combining 200 residential units at $1,200–$2,400/month, 15,000 SF of ground-floor NNN retail at $40/SF/year, and supporting office/amenity space, at roughly $70M total development cost (land $10M, hard costs $68.75M, soft costs $13.75M, developer fee $3.3M, capitalized interest $2–3M). Residential lease-up absorbs 15 units per month in Year 1 reaching 50% occupancy, stabilizing at 95% by Year 2, with Year 1 gross potential rent computed on an average-occupancy ramp specifically to avoid phantom income. Commercial space uses tiered vacancy (10% Year 1, 5% stabilized) with $50/SF TI totaling $750K and leasing commissions at 4% of 5-year rent, both expensed as Year 1 cash items rather than reducing stabilized NOI. Construction debt is 65% of TDC (~$45M at 8.0%) with 35% equity (~$25M); permanent debt sizes on the lesser of 65% LTV or 1.25x DSCR. Exit is Year 5+ NOI over a cap rate less loan balance and 2% sale costs, targeting 15–20% levered IRR and 1.8–2.5x MOIC over a 7–9 year hold.</t>
        </is>
      </c>
      <c r="L20" s="24" t="inlineStr">
        <is>
          <t>Component-specific revenue modeling (residential unit rents vs retail NNN per-SF); average-occupancy ramp for Year 1 gross potential rent to avoid phantom income; differing vacancy assumptions by component and by year; TI/LC treated as Year 1 cash items outside stabilized NOI; capitalized interest of $2–3M in TDC; permanent debt sized on the binding lesser of LTV and DSCR; yield-on-cost versus entry cap rate producing a 150–200bp development spread; phasing where earlier stabilized phases reduce construction draws on later phases; exit net of 2% sale costs</t>
        </is>
      </c>
      <c r="M20" s="24" t="inlineStr">
        <is>
          <t>Express one asset composed of heterogeneous components each with its own revenue basis, vacancy and lease-up curve, aggregating to a single project statement; express the distinction between a cash item and an NOI item so leasing capital is excluded from stabilized NOI but included in cash flow; express average-occupancy-based revenue for a partial ramp period; express cross-phase funding where one phase's cash flow offsets another's draw; express derived spread metrics (yield-on-cost minus entry cap)</t>
        </is>
      </c>
      <c r="N20" s="24" t="inlineStr">
        <is>
          <t>Best test of heterogeneous component composition — proving CFDL can model residential and commercial revenue mechanics side by side within one asset and aggregate correctly. The explicit "average-occupancy ramp, not phantom income" treatment is a precise, checkable convention, and the fully-stated cost stack gives a numeric target.</t>
        </is>
      </c>
      <c r="O20" s="24" t="inlineStr">
        <is>
          <t>OK</t>
        </is>
      </c>
    </row>
    <row r="21" ht="96" customHeight="1" s="18">
      <c r="A21" s="28" t="n">
        <v>20</v>
      </c>
      <c r="B21" s="28" t="inlineStr">
        <is>
          <t>CRE (existing pack)</t>
        </is>
      </c>
      <c r="C21" s="28" t="inlineStr">
        <is>
          <t>Hotels / hospitality — luxury full-service</t>
        </is>
      </c>
      <c r="D21" s="28" t="inlineStr">
        <is>
          <t>Hotel Operating Model (USALI structure)</t>
        </is>
      </c>
      <c r="E21" s="28" t="inlineStr">
        <is>
          <t>Finamodel</t>
        </is>
      </c>
      <c r="F21" s="29" t="inlineStr">
        <is>
          <t>https://finamodel.com/templates/hotel-model</t>
        </is>
      </c>
      <c r="G21" s="28" t="inlineStr">
        <is>
          <t>free registration</t>
        </is>
      </c>
      <c r="H21" s="28" t="inlineStr">
        <is>
          <t>Free values-only Excel download after email signup; "No credit card or paywall is required." Unlocked workbook, no macros or password protection. Redistribution terms not stated.</t>
        </is>
      </c>
      <c r="I21" s="28" t="inlineStr">
        <is>
          <t>full cash flow table available</t>
        </is>
      </c>
      <c r="J21" s="28" t="inlineStr">
        <is>
          <t>USALI-structured hotel acquisition DCF with departmental revenue and expense build, management fee stack, FF&amp;E reserve, senior debt and cap-rate exit</t>
        </is>
      </c>
      <c r="K21" s="28" t="inlineStr">
        <is>
          <t>A 200-key luxury hotel valued at £80M. Rooms revenue is occupancy times ADR; F&amp;B runs at £180 per occupied room in Year 1 escalating 3% annually; spa revenue uses a 15–18% capture rate growing 4% per year. Costs follow the USALI structure with departmental expenses of 25% of rooms revenue, 75% of F&amp;B revenue and 35% of spa revenue, plus undistributed operating expenses at 22.5%, before management fees and FF&amp;E reserves. Fees are 3% base plus a 4% FF&amp;E reserve plus a 10% incentive fee on adjusted GOP. Debt is £44M senior at 55% LTV, 6.5% fixed, 25-year amortization (~£3.65M annual payment), with minimum DSCR of 1.25x. The hold is 7 years, exiting on Year 8 NOI at a 6.5% cap rate, targeting a 12–16% levered IRR.</t>
        </is>
      </c>
      <c r="L21" s="28" t="inlineStr">
        <is>
          <t>USALI departmental profit structure (departmental revenue less departmental expense by department, then undistributed expenses to GOP); F&amp;B revenue driven per occupied room rather than per available room; spa capture rate applied to guest count; base management fee on revenue plus incentive management fee on adjusted GOP (a fee whose base is itself a computed profit measure); FF&amp;E reserve at 4%; senior debt at 55% LTV, 6.5%, 25-year amortization; DSCR covenant at 1.25x; exit on forward (Year 8) NOI at 6.5%; non-USD (GBP) denomination</t>
        </is>
      </c>
      <c r="M21" s="28" t="inlineStr">
        <is>
          <t>Express the USALI departmental hierarchy where profit is computed at the department level before undistributed costs; express a fee whose base is a downstream computed line (incentive fee on adjusted GOP), creating an ordering dependency within the statement; express per-occupied-room drivers distinct from per-available-room drivers; express exit value capitalizing a forward-year NOI that lies beyond the hold period, requiring the projection to extend past the sale date; support non-USD currency</t>
        </is>
      </c>
      <c r="N21" s="28" t="inlineStr">
        <is>
          <t>Two sharp tests: the incentive fee on adjusted GOP validates that CFDL can handle a fee whose base depends on lines computed after it in a naive ordering, and the Year-8 exit NOI on a 7-year hold validates that the projection horizon can extend beyond the disposition date. USALI is the global hotel accounting standard, so parity here is a recognized industry-convention benchmark. GBP denomination also tests currency-neutrality.</t>
        </is>
      </c>
      <c r="O21" s="28" t="inlineStr">
        <is>
          <t>OK</t>
        </is>
      </c>
    </row>
    <row r="22" ht="96" customHeight="1" s="18">
      <c r="A22" s="24" t="n">
        <v>21</v>
      </c>
      <c r="B22" s="24" t="inlineStr">
        <is>
          <t>Energy &amp; Infrastructure (existing pack + roadmap)</t>
        </is>
      </c>
      <c r="C22" s="24" t="inlineStr">
        <is>
          <t>Energy — utility-scale and distributed solar PV, CSP, wind, geothermal, biomass, battery storage, fuel cells, marine</t>
        </is>
      </c>
      <c r="D22" s="24" t="inlineStr">
        <is>
          <t>System Advisor Model (SAM) — full source, incl. financial models</t>
        </is>
      </c>
      <c r="E22" s="24" t="inlineStr">
        <is>
          <t>National Renewable Energy Laboratory (NREL) / Alliance for Sustainable Energy</t>
        </is>
      </c>
      <c r="F22" s="25" t="inlineStr">
        <is>
          <t>https://github.com/NREL/SAM</t>
        </is>
      </c>
      <c r="G22" s="24" t="inlineStr">
        <is>
          <t>direct download</t>
        </is>
      </c>
      <c r="H22" s="24" t="inlineStr">
        <is>
          <t>Verified on the repo page: "SAM's open source code is copyrighted by the Alliance for Energy Innovation and licensed with BSD-3-Clause terms." One caveat also stated on the page: the repo ships pre-compiled Fortran libraries from Sandia National Laboratories that are "licensed under LGPL." So BSD-3 for the model code, LGPL for a bundled binary dependency. The compiled desktop application on sam.nrel.gov is free but I could not fetch that page this session to confirm whether it requires registration.</t>
        </is>
      </c>
      <c r="I22" s="24" t="inlineStr">
        <is>
          <t>full cash flow table available</t>
        </is>
      </c>
      <c r="J22" s="24" t="inlineStr">
        <is>
          <t>Techno-economic simulation + project finance pro forma (hourly production model coupled to an annual after-tax cash flow model)</t>
        </is>
      </c>
      <c r="K22" s="24" t="inlineStr">
        <is>
          <t>SAM couples an 8760-hour physical performance simulation of a generating asset to a set of alternative project finance structures, so a single deal is expressed as (technology config + cost stack + revenue contract + capital structure). Shipped configurations span residential, commercial and utility-scale projects. Because the compute core is open, every intermediate annual cash flow line is inspectable rather than being a black-box LCOE.</t>
        </is>
      </c>
      <c r="L22" s="24" t="inlineStr">
        <is>
          <t>Hourly generation feeding annual energy; PPA revenue with escalation and time-of-delivery factors; DSCR-based or fixed-percentage debt sizing; debt service reserve accounts; MACRS 5yr/15yr and straight-line depreciation with bonus depreciation; ITC and PTC including the ITC basis reduction; capacity-based and investment-based incentives; federal vs state tax layering; land lease escalation; LCOE / NPV / IRR / payback.</t>
        </is>
      </c>
      <c r="M22" s="24" t="inlineStr">
        <is>
          <t>Express an hourly time series and aggregate it to annual periods within one model; define a depreciation schedule as a first-class object with selectable convention and a basis that other rules (ITC) can adjust; express debt sizing as a solve against a target coverage ratio rather than as an input; represent federal and state tax as two stacked regimes over a shared taxable-income base; represent reserve accounts with funding and release rules; carry escalation and indexation on revenue and cost lines.</t>
        </is>
      </c>
      <c r="N22" s="24" t="inlineStr">
        <is>
          <t>The single strongest end-to-end reference for CFDL: a CFDL deal can be run against SAM for the identical input set and reconciled line-by-line, and because SAM's source is BSD-3 the disagreement can always be traced to a specific formula rather than argued about. Also proves CFDL can carry a sub-annual production series into an annual finance model.</t>
        </is>
      </c>
      <c r="O22" s="24" t="inlineStr">
        <is>
          <t>OK</t>
        </is>
      </c>
    </row>
    <row r="23" ht="96" customHeight="1" s="18">
      <c r="A23" s="28" t="n">
        <v>22</v>
      </c>
      <c r="B23" s="28" t="inlineStr">
        <is>
          <t>Energy &amp; Infrastructure (existing pack + roadmap)</t>
        </is>
      </c>
      <c r="C23" s="28" t="inlineStr">
        <is>
          <t>Energy — utility-scale renewables under PPA</t>
        </is>
      </c>
      <c r="D23" s="28" t="inlineStr">
        <is>
          <t>PySAM — Singleowner (PPA single-owner financial model)</t>
        </is>
      </c>
      <c r="E23" s="28" t="inlineStr">
        <is>
          <t>NREL</t>
        </is>
      </c>
      <c r="F23" s="29" t="inlineStr">
        <is>
          <t>https://nrel-pysam.readthedocs.io/en/master/modules/Singleowner.html</t>
        </is>
      </c>
      <c r="G23" s="28" t="inlineStr">
        <is>
          <t>direct download</t>
        </is>
      </c>
      <c r="H23" s="28" t="inlineStr">
        <is>
          <t>Verified on https://github.com/NREL/pysam: "PySAM is distributed under the BSD-3-Clause license." Installable via `pip install nrel-pysam` or `conda install -c nrel nrel-pysam`. Requires Python 3.9–3.13, 64-bit.</t>
        </is>
      </c>
      <c r="I23" s="28" t="inlineStr">
        <is>
          <t>full cash flow table available</t>
        </is>
      </c>
      <c r="J23" s="28" t="inlineStr">
        <is>
          <t>Project finance pro forma exposed as a scriptable API</t>
        </is>
      </c>
      <c r="K23" s="28" t="inlineStr">
        <is>
          <t>The Singleowner module is the utility-scale single-owner PPA structure: one taxable owner takes all depreciation and tax credits, sells output under a PPA, and services term debt. Verified input groups on the docs page are Revenue (PPA price, escalation, TOD dispatch factors), FinancialParameters (analysis period, tax rates, inflation, discount rate, debt terms), SystemCosts, TaxCreditIncentives, Depreciation, PaymentIncentives and LandLease.</t>
        </is>
      </c>
      <c r="L23" s="28" t="inlineStr">
        <is>
          <t>Debt sizing by either fixed debt percent or target DSCR, with reserve accounts (verified on the page); MACRS depreciation with the documented enum "5yr MACRS, 1=15yr MACRS, 2=5yr SL, 3=15yr SL" plus custom schedules; ITC/PTC effects on depreciation basis and on taxability, tracked separately at federal and state level; CBI/IBI incentive payments; time-of-delivery dispatch factors applied to PPA price; land lease with escalation.</t>
        </is>
      </c>
      <c r="M23" s="28" t="inlineStr">
        <is>
          <t>Named, addressable cash flow line items that can be read back programmatically (not just a final metric); a depreciation primitive parameterised by method, life and convention; a debt tranche whose principal is solved from a coverage constraint; tax credits modelled as objects that mutate a depreciable basis; a per-period dispatch factor multiplying a contracted price.</t>
        </is>
      </c>
      <c r="N23" s="28" t="inlineStr">
        <is>
          <t>Gives CFDL a headless, scriptable oracle — a test harness can sweep hundreds of parameter combinations through PySAM and diff every annual cash flow array against CFDL, which is far stronger validation than reconciling one hand-built spreadsheet. The BSD-3 licence means the reference implementation can be vendored into CI.</t>
        </is>
      </c>
      <c r="O23" s="28" t="inlineStr">
        <is>
          <t>OK</t>
        </is>
      </c>
    </row>
    <row r="24" ht="96" customHeight="1" s="18">
      <c r="A24" s="24" t="n">
        <v>23</v>
      </c>
      <c r="B24" s="24" t="inlineStr">
        <is>
          <t>Energy &amp; Infrastructure (existing pack + roadmap)</t>
        </is>
      </c>
      <c r="C24" s="24" t="inlineStr">
        <is>
          <t>Energy — solar, wind, geothermal, anaerobic digestion (biogas), fuel cells</t>
        </is>
      </c>
      <c r="D24" s="24" t="inlineStr">
        <is>
          <t>CREST — Cost of Renewable Energy Spreadsheet Tool</t>
        </is>
      </c>
      <c r="E24" s="24" t="inlineStr">
        <is>
          <t>NREL, with US DOE and NARUC</t>
        </is>
      </c>
      <c r="F24" s="25" t="inlineStr">
        <is>
          <t>https://www.nrel.gov/analysis/crest</t>
        </is>
      </c>
      <c r="G24" s="24" t="inlineStr">
        <is>
          <t>direct download</t>
        </is>
      </c>
      <c r="H24" s="24" t="inlineStr">
        <is>
          <t>Not stated. The NREL page carries no terms-of-use, licence or restriction language and directs users to "Contact us if you have questions or concerns about these models." The OpenEI catalogue entry (https://openei.org/wiki/Cost_of_Renewable_Energy_Spreadsheet_Tool_(CREST)) notes the wiki page itself is Creative Commons Zero but does not assert a licence for the tool. US federal-lab work product, so likely unrestricted, but treat as unstated.</t>
        </is>
      </c>
      <c r="I24" s="24" t="inlineStr">
        <is>
          <t>full cash flow table available</t>
        </is>
      </c>
      <c r="J24" s="24" t="inlineStr">
        <is>
          <t>Annual after-tax project cash flow model / cost-based incentive and feed-in-tariff design tool</t>
        </is>
      </c>
      <c r="K24" s="24" t="inlineStr">
        <is>
          <t>Verified on the NREL page: CREST is a set of "economic, cash-flow models designed to assess project economics, design cost-based incentives, and evaluate the impact of state and federal support structures on renewable energy," available in Microsoft Excel across five technology variants. It is aimed at "state policymakers, regulators, utilities, developers, and investors" and computes year-one cost of energy and LCOE, and lets users set cost-based incentive rates.</t>
        </is>
      </c>
      <c r="L24" s="24" t="inlineStr">
        <is>
          <t>Year-one and levelized cost of energy derived from a full annual cash flow rather than a closed-form CRF; cost-based incentive / feed-in-tariff rate solving (i.e. solve the tariff that yields a target return); layering of state and federal support structures onto a base case; technology-specific cost and performance stacks across five distinct generation types.</t>
        </is>
      </c>
      <c r="M24" s="24" t="inlineStr">
        <is>
          <t>Solve for a price/tariff that hits a target equity return (a goal-seek over the whole cash flow, not a forward calculation); express an incentive as a policy overlay that can be switched on or off without rebuilding the deal; parameterise one structural template across five different technologies so the finance logic is shared and only the cost/production stack varies.</t>
        </is>
      </c>
      <c r="N24" s="24" t="inlineStr">
        <is>
          <t>Tests whether CFDL can run in the inverse direction — solving a required tariff rather than computing a return from a given tariff — and whether policy incentives compose as removable overlays. The five-technology family is a good test of template reuse.</t>
        </is>
      </c>
      <c r="O24" s="24" t="inlineStr">
        <is>
          <t>OK</t>
        </is>
      </c>
    </row>
    <row r="25" ht="96" customHeight="1" s="18">
      <c r="A25" s="28" t="n">
        <v>24</v>
      </c>
      <c r="B25" s="28" t="inlineStr">
        <is>
          <t>Energy &amp; Infrastructure (existing pack + roadmap)</t>
        </is>
      </c>
      <c r="C25" s="28" t="inlineStr">
        <is>
          <t>Energy — utility-scale and distributed solar PV</t>
        </is>
      </c>
      <c r="D25" s="28" t="inlineStr">
        <is>
          <t>CRESTSolarModelPython — Python reimplementation of NREL CREST Solar</t>
        </is>
      </c>
      <c r="E25" s="28" t="inlineStr">
        <is>
          <t>Independent open-source contributor (GitHub user syalsm)</t>
        </is>
      </c>
      <c r="F25" s="29" t="inlineStr">
        <is>
          <t>https://github.com/syalsm/CRESTSolarModelPython</t>
        </is>
      </c>
      <c r="G25" s="28" t="inlineStr">
        <is>
          <t>direct download</t>
        </is>
      </c>
      <c r="H25" s="28" t="inlineStr">
        <is>
          <t>Not stated. I checked the repository page and found no licence declared in the visible content; no LICENSE file surfaced. Absent a licence, default copyright applies — usable as a reading reference, but do not redistribute or vendor it without contacting the author.</t>
        </is>
      </c>
      <c r="I25" s="28" t="inlineStr">
        <is>
          <t>full cash flow table available</t>
        </is>
      </c>
      <c r="J25" s="28" t="inlineStr">
        <is>
          <t>Open-source annual project cash flow model (Excel-to-code port)</t>
        </is>
      </c>
      <c r="K25" s="28" t="inlineStr">
        <is>
          <t>Verified from the repo README: "This model is a rewritten version of the NREL CREST solar cost model," ported from the original Excel tool into Python. The repo contains cashflow.py and mainfunctions.py alongside data files data.csv, macrs.csv and macrs_halfyear.csv. The README states "This model has many assumptions associated with the model architecture, all of which are listed in the code."</t>
        </is>
      </c>
      <c r="L25" s="28" t="inlineStr">
        <is>
          <t>MACRS depreciation including an explicitly separate half-year-convention table (macrs.csv vs macrs_halfyear.csv — the convention is materialised as data, not buried in a formula); solar project annual cash flow construction in cashflow.py; the same incentive and cost-of-energy logic as CREST, but readable as code.</t>
        </is>
      </c>
      <c r="M25" s="28" t="inlineStr">
        <is>
          <t>Represent a depreciation convention as selectable data rather than a hardcoded branch; make the boundary between assumption tables and cash flow logic explicit; support a first-year partial-period convention that shifts the entire depreciation vector.</t>
        </is>
      </c>
      <c r="N25" s="28" t="inlineStr">
        <is>
          <t>Uniquely useful as a *cross-implementation* check: the same model exists as Excel (NREL) and as Python (this repo), so if CFDL is a third implementation, three-way agreement is far stronger evidence than two. The separate half-year MACRS table is a clean, isolated unit test for CFDL's depreciation primitive.</t>
        </is>
      </c>
      <c r="O25" s="28" t="inlineStr">
        <is>
          <t>OK</t>
        </is>
      </c>
    </row>
    <row r="26" ht="96" customHeight="1" s="18">
      <c r="A26" s="24" t="n">
        <v>25</v>
      </c>
      <c r="B26" s="24" t="inlineStr">
        <is>
          <t>Energy &amp; Infrastructure (existing pack + roadmap)</t>
        </is>
      </c>
      <c r="C26" s="24" t="inlineStr">
        <is>
          <t>Energy — wind (land-based and offshore), solar PV and CSP, geothermal, hydropower, nuclear, coal, natural gas, battery storage; utility, commercial and residential scales</t>
        </is>
      </c>
      <c r="D26" s="24" t="inlineStr">
        <is>
          <t>Annual Technology Baseline (ATB) — Electricity, 2024</t>
        </is>
      </c>
      <c r="E26" s="24" t="inlineStr">
        <is>
          <t>NREL</t>
        </is>
      </c>
      <c r="F26" s="25" t="inlineStr">
        <is>
          <t>https://atb.nrel.gov/electricity/2024/index</t>
        </is>
      </c>
      <c r="G26" s="24" t="inlineStr">
        <is>
          <t>direct download</t>
        </is>
      </c>
      <c r="H26" s="24" t="inlineStr">
        <is>
          <t>Not fully stated on the ATB pages. Verified on https://atb.nrel.gov/electricity/2024/data: files are hosted on the Open Energy Data Initiative in Excel, CSV, Parquet and Tableau formats, and "Before downloading ATB data, read the disclaimer agreement and this guide to technical limitations." The disclaimer text is not reproduced on the page. NREL describes ATB as "consistent, freely available, technology-specific cost and performance parameters." Comparable LBNL datasets on the same OEDI platform carry CC BY 4.0.</t>
        </is>
      </c>
      <c r="I26" s="24" t="inlineStr">
        <is>
          <t>assumptions and outputs only</t>
        </is>
      </c>
      <c r="J26" s="24" t="inlineStr">
        <is>
          <t>Reference cost and financial-assumption database with an LCOE methodology layer</t>
        </is>
      </c>
      <c r="K26" s="24" t="inlineStr">
        <is>
          <t>Verified on the 2024 index page: ATB publishes CAPEX, O&amp;M, capacity factor and LCOE for each technology, with all monetary values expressed in 2022 dollars. Two financial cases are published — an "R&amp;D Only Case" (default in the graphics, excludes policy effects) and a "Market + Policies Case" that incorporates Inflation Reduction Act impacts. Each technology carries Conservative / Moderate / Advanced cost trajectories out to 2050.</t>
        </is>
      </c>
      <c r="L26" s="24" t="inlineStr">
        <is>
          <t>Parallel policy-on / policy-off scenario construction over an identical cost stack; multi-decade cost trajectories as a scenario dimension; consistent real-dollar base-year convention across every technology; LCOE built from a capital recovery factor and financing assumptions rather than from a project cash flow.</t>
        </is>
      </c>
      <c r="M26" s="24" t="inlineStr">
        <is>
          <t>Carry a declared real base-year currency and convert consistently between real and nominal; treat scenario (Conservative/Moderate/Advanced) and policy case as orthogonal axes over one deal definition; bind a deal's cost and performance inputs to an external versioned reference dataset so the deal and its assumptions can be updated independently.</t>
        </is>
      </c>
      <c r="N26" s="24" t="inlineStr">
        <is>
          <t>Supplies the canonical, citable input assumptions for every CFDL energy example, so example deals are grounded in a published national reference rather than invented numbers. Also exercises scenario-axis composition and real-vs-nominal handling — a common source of silent error.</t>
        </is>
      </c>
      <c r="O26" s="24" t="inlineStr">
        <is>
          <t>OK</t>
        </is>
      </c>
    </row>
    <row r="27" ht="96" customHeight="1" s="18">
      <c r="A27" s="28" t="n">
        <v>26</v>
      </c>
      <c r="B27" s="28" t="inlineStr">
        <is>
          <t>Energy &amp; Infrastructure (existing pack + roadmap)</t>
        </is>
      </c>
      <c r="C27" s="28" t="inlineStr">
        <is>
          <t>Energy — US ground-mounted utility-scale solar PV, PV+battery hybrids, and CSP (&gt;5 MW-AC)</t>
        </is>
      </c>
      <c r="D27" s="28" t="inlineStr">
        <is>
          <t>Utility-Scale Solar, 2025 Edition — Data Update</t>
        </is>
      </c>
      <c r="E27" s="28" t="inlineStr">
        <is>
          <t>Lawrence Berkeley National Laboratory, Electricity Markets &amp; Policy</t>
        </is>
      </c>
      <c r="F27" s="29" t="inlineStr">
        <is>
          <t>https://emp.lbl.gov/utility-scale-solar/</t>
        </is>
      </c>
      <c r="G27" s="28" t="inlineStr">
        <is>
          <t>direct download</t>
        </is>
      </c>
      <c r="H27" s="28" t="inlineStr">
        <is>
          <t>Creative Commons Attribution 4.0 (CC-BY) — verified on the companion OEDI record at https://data.openei.org/submissions/8541, which lists the dataset as CC-BY and "Publicly accessible." The LBNL landing page itself states no explicit terms. Attribution to LBNL required.</t>
        </is>
      </c>
      <c r="I27" s="28" t="inlineStr">
        <is>
          <t>assumptions and outputs only</t>
        </is>
      </c>
      <c r="J27" s="28" t="inlineStr">
        <is>
          <t>Empirical market benchmark dataset (realised project costs, performance and contract prices)</t>
        </is>
      </c>
      <c r="K27" s="28" t="inlineStr">
        <is>
          <t>Verified on the LBNL page and OEDI record: the 2025 Data Update covers 1,760 utility-scale solar projects installed through 2024, with 57 tabs of non-confidential data spanning CapEx, O&amp;M, capacity factors, LCOE, PPA prices, wholesale market value, and PV+battery hybrid detail. Direct file: https://emp.lbl.gov/sites/default/files/2025-10/2025%20Utility-Scale%20Solar%20Data%20Update.xlsx (54.31 MB). Companion plant-level hourly generation estimates for 2012–2024 (5.98 GB zip) and project-level annual energy and capacity value estimates are on OEDI.</t>
        </is>
      </c>
      <c r="L27" s="28" t="inlineStr">
        <is>
          <t>Realised (not modelled) PPA price levels and escalation structures; degradation implied by multi-year realised capacity factors against nameplate; energy value versus capacity value decomposition of merchant revenue; PV+battery hybrid configurations where a shared interconnection serves two revenue streams.</t>
        </is>
      </c>
      <c r="M27" s="28" t="inlineStr">
        <is>
          <t>Express a hybrid asset where generation and storage share an interconnection limit and a single contract; separate energy revenue from capacity revenue as distinct streams with different price bases; apply an annual degradation factor to a production series; support back-testing a modelled production profile against a realised hourly series.</t>
        </is>
      </c>
      <c r="N27" s="28" t="inlineStr">
        <is>
          <t>Lets CFDL calibrate and then back-test — build a deal on ATB forward assumptions, then check the outputs land inside the empirical distribution of 1,760 real projects. The hourly plant-level file is the reference for validating that CFDL's sub-annual production handling reproduces observed capacity factors and market value.</t>
        </is>
      </c>
      <c r="O27" s="28" t="inlineStr">
        <is>
          <t>OK</t>
        </is>
      </c>
    </row>
    <row r="28" ht="96" customHeight="1" s="18">
      <c r="A28" s="24" t="n">
        <v>27</v>
      </c>
      <c r="B28" s="24" t="inlineStr">
        <is>
          <t>Energy &amp; Infrastructure (existing pack + roadmap)</t>
        </is>
      </c>
      <c r="C28" s="24" t="inlineStr">
        <is>
          <t>Energy — hydrogen production, hydrogen fueling stations, ammonia production</t>
        </is>
      </c>
      <c r="D28" s="24" t="inlineStr">
        <is>
          <t>H2FAST — Hydrogen Financial Analysis Scenario Tool</t>
        </is>
      </c>
      <c r="E28" s="24" t="inlineStr">
        <is>
          <t>NREL (US DOE Hydrogen and Fuel Cell Technologies Office)</t>
        </is>
      </c>
      <c r="F28" s="25" t="inlineStr">
        <is>
          <t>https://www.nrel.gov/hydrogen/h2fast</t>
        </is>
      </c>
      <c r="G28" s="24" t="inlineStr">
        <is>
          <t>free registration</t>
        </is>
      </c>
      <c r="H28" s="24" t="inlineStr">
        <is>
          <t>Not stated on the NREL H2FAST page — no terms-of-use or licence language appears. Download of the Excel version routes through NREL registration-confirmation pages (e.g. h2fast-registration-confirmed, h2fast-ammonia-registration-confirmed), so expect a free registration gate on the spreadsheet; the interactive web tool is directly usable.</t>
        </is>
      </c>
      <c r="I28" s="24" t="inlineStr">
        <is>
          <t>full cash flow table available</t>
        </is>
      </c>
      <c r="J28" s="24" t="inlineStr">
        <is>
          <t>Full three-statement project finance model (income statement, cash flow statement, balance sheet) with ratio analysis</t>
        </is>
      </c>
      <c r="K28" s="24" t="inlineStr">
        <is>
          <t>Verified on the NREL page: H2FAST produces annual financial projections including "income statements, cash flow statements, and balance sheets" and reports 65 common financial metrics with graphical output, plus life-cycle cost analysis. It exists in two forms — an interactive online tool driven by up to 20 user inputs via sliders, and a downloadable Excel spreadsheet. NREL publishes worked variants including a generic fueling-station example and an ammonia-production example.</t>
        </is>
      </c>
      <c r="L28" s="24" t="inlineStr">
        <is>
          <t>Verified ratio set includes "debt/equity position, return on equity, and debt service coverage ratio"; full balance-sheet closure alongside the cash flow statement; life-cycle cost analysis producing a levelized cost of hydrogen; scenario sweeps across the 20 headline inputs.</t>
        </is>
      </c>
      <c r="M28" s="24" t="inlineStr">
        <is>
          <t>Produce a balancing balance sheet, not just a cash flow — meaning retained earnings, working capital and accumulated depreciation must all be tracked as stateful balances that tie out; compute coverage and return ratios as derived views over the statements; support an input-sensitivity sweep as a native operation.</t>
        </is>
      </c>
      <c r="N28" s="24" t="inlineStr">
        <is>
          <t>The best available free test of whether CFDL can close a *balance sheet*, which is a much harder correctness constraint than a cash flow alone — if assets don't equal liabilities plus equity in every period, something upstream is wrong. Also extends CFDL coverage into hydrogen and ammonia, where the revenue unit is a commodity volume rather than MWh.</t>
        </is>
      </c>
      <c r="O28" s="24" t="inlineStr">
        <is>
          <t>OK</t>
        </is>
      </c>
    </row>
    <row r="29" ht="96" customHeight="1" s="18">
      <c r="A29" s="28" t="n">
        <v>28</v>
      </c>
      <c r="B29" s="28" t="inlineStr">
        <is>
          <t>Energy &amp; Infrastructure (existing pack + roadmap)</t>
        </is>
      </c>
      <c r="C29" s="28" t="inlineStr">
        <is>
          <t>Energy — geothermal power (hydrothermal and enhanced geothermal systems; flash-steam and air-cooled binary plants)</t>
        </is>
      </c>
      <c r="D29" s="28" t="inlineStr">
        <is>
          <t>GETEM — Geothermal Electricity Technology Evaluation Model</t>
        </is>
      </c>
      <c r="E29" s="28" t="inlineStr">
        <is>
          <t>US Department of Energy, Geothermal Technologies Office</t>
        </is>
      </c>
      <c r="F29" s="29" t="inlineStr">
        <is>
          <t>https://www.energy.gov/hgeo/geothermal/geothermal-electricity-technology-evaluation-model</t>
        </is>
      </c>
      <c r="G29" s="28" t="inlineStr">
        <is>
          <t>free to view, no download</t>
        </is>
      </c>
      <c r="H29" s="28" t="inlineStr">
        <is>
          <t>Verified disclaimer on the DOE page: estimates "should not be construed or represented as 'official DOE estimates'," with warranties as to accuracy or usefulness disclaimed. No licence asserted. Note the page states the latest GETEM version "is now fully implemented into the National Renewable Energy Laboratory's (NREL) System Advisor Model (SAM)" — so the maintained implementation is the BSD-3 SAM code, and the standalone Excel is legacy.</t>
        </is>
      </c>
      <c r="I29" s="28" t="inlineStr">
        <is>
          <t>methodology only</t>
        </is>
      </c>
      <c r="J29" s="28" t="inlineStr">
        <is>
          <t>Techno-economic cost and LCOE model with resource/reservoir physics</t>
        </is>
      </c>
      <c r="K29" s="28" t="inlineStr">
        <is>
          <t>Verified on the DOE page: GETEM is "a tool for estimating the levelized cost of energy for definable geothermal scenarios," covering hydrothermal or EGS resources with either flash-steam or air-cooled binary plants, and projecting costs 5–20 years forward from specified resource parameters. It is electricity-only and does not cover heating or cooling applications.</t>
        </is>
      </c>
      <c r="L29" s="28" t="inlineStr">
        <is>
          <t>Exploration and confirmation drilling treated as a staged, risked capital programme distinct from plant construction; resource temperature and flow rate driving both output and capital cost; well field decline requiring make-up wells as a recurring capital item during operations; technology-learning cost projections applied forward.</t>
        </is>
      </c>
      <c r="M29" s="28" t="inlineStr">
        <is>
          <t>Model staged capital deployment with success/failure gates before the main build commits; express a recurring capital replacement cycle (make-up wells) that is neither opex nor initial capex; let a physical resource parameter drive both the revenue side and the cost side of the same deal.</t>
        </is>
      </c>
      <c r="N29" s="28" t="inlineStr">
        <is>
          <t>Geothermal is the sharpest test of capex that is not a single up-front number — it forces CFDL to handle staged, risked, and recurring capital rather than assuming construction is one bucket that closes at COD. Reconciling against SAM's geothermal module gives a numeric check.</t>
        </is>
      </c>
      <c r="O29" s="28" t="inlineStr">
        <is>
          <t>OK</t>
        </is>
      </c>
    </row>
    <row r="30" ht="96" customHeight="1" s="18">
      <c r="A30" s="24" t="n">
        <v>29</v>
      </c>
      <c r="B30" s="24" t="inlineStr">
        <is>
          <t>Energy &amp; Infrastructure (existing pack + roadmap)</t>
        </is>
      </c>
      <c r="C30" s="24" t="inlineStr">
        <is>
          <t>Infrastructure — highway and toll road P3 concessions, including availability-payment structures</t>
        </is>
      </c>
      <c r="D30" s="24" t="inlineStr">
        <is>
          <t>P3-VALUE 2.3 Analytical Tool</t>
        </is>
      </c>
      <c r="E30" s="24" t="inlineStr">
        <is>
          <t>US DOT Federal Highway Administration, Center for Innovative Finance Support / Build America Bureau</t>
        </is>
      </c>
      <c r="F30" s="25" t="inlineStr">
        <is>
          <t>https://www.fhwa.dot.gov/ipd/p3/toolkit/analytical_tools/p3_value</t>
        </is>
      </c>
      <c r="G30" s="24" t="inlineStr">
        <is>
          <t>direct download</t>
        </is>
      </c>
      <c r="H30" s="24" t="inlineStr">
        <is>
          <t>Not stated as a formal licence. Verified disclaimer on the FHWA page: the tool "is not intended for use in detailed evaluation of actual projects" and is "a conceptual educational tool" for "planning and high-level screening evaluation of P3 procurements." US federal government work product, so effectively public domain, but the educational-use caveat is explicit and should be quoted if CFDL cites results.</t>
        </is>
      </c>
      <c r="I30" s="24" t="inlineStr">
        <is>
          <t>full cash flow table available</t>
        </is>
      </c>
      <c r="J30" s="24" t="inlineStr">
        <is>
          <t>Macro-enabled Excel tool performing risk assessment, value-for-money, benefit-cost and financial viability analysis</t>
        </is>
      </c>
      <c r="K30" s="24" t="inlineStr">
        <is>
          <t>Verified on the FHWA page: the tool runs four linked analyses — Risk Assessment (identifying and valuing risks), Value for Money Analysis (comparing P3 against conventional delivery financially), Benefit-Cost Analysis (societal impacts), and Financial Viability Analysis (public agency affordability). Direct file: https://www.fhwa.dot.gov/ipd/pdfs/p3/p3_value_2_3_tool_06092023.xlsm, with a User/Concept Guide at https://www.fhwa.dot.gov/ipd/pdfs/p3/p3_value_2_3_user_guide_0221.pdf and a Quick Start Guide at https://www.fhwa.dot.gov/ipd/pdfs/p3/p3_value_2_3_quick_start_guide_0221.pdf.</t>
        </is>
      </c>
      <c r="L30" s="24" t="inlineStr">
        <is>
          <t>Public Sector Comparator versus shadow-bid P3 built on a shared cost base; risk valued and allocated between public and private parties, then priced into each delivery option; availability payment and toll-revenue concession variants; public-side affordability and budget-impact projection alongside the private-side financial model; discounting of two option streams to a comparable present value.</t>
        </is>
      </c>
      <c r="M30" s="24" t="inlineStr">
        <is>
          <t>Hold two alternative delivery structures over one shared underlying project and diff them; attach a probability-weighted risk adjustment to specific cost lines and reallocate it between counterparties; model the public authority as a distinct entity with its own cash flow statement, not just as a counterparty; run the same asset under both a demand-risk (toll) and a no-demand-risk (availability payment) revenue regime.</t>
        </is>
      </c>
      <c r="N30" s="24" t="inlineStr">
        <is>
          <t>The definitive free reference for value-for-money analysis, which is the core artefact of the public-infrastructure market. It proves CFDL can represent counterparties symmetrically — the concessionaire's cash inflow is the authority's outflow — and can express one project under two competing structures without duplicating the project definition.</t>
        </is>
      </c>
      <c r="O30" s="24" t="inlineStr">
        <is>
          <t>OK</t>
        </is>
      </c>
    </row>
    <row r="31" ht="96" customHeight="1" s="18">
      <c r="A31" s="28" t="n">
        <v>30</v>
      </c>
      <c r="B31" s="28" t="inlineStr">
        <is>
          <t>Energy &amp; Infrastructure (existing pack + roadmap)</t>
        </is>
      </c>
      <c r="C31" s="28" t="inlineStr">
        <is>
          <t>Infrastructure — highway and transportation P3s</t>
        </is>
      </c>
      <c r="D31" s="28" t="inlineStr">
        <is>
          <t>P3-SCREEN</t>
        </is>
      </c>
      <c r="E31" s="28" t="inlineStr">
        <is>
          <t>US DOT Federal Highway Administration</t>
        </is>
      </c>
      <c r="F31" s="29" t="inlineStr">
        <is>
          <t>https://www.fhwa.dot.gov/ipd/p3/toolkit/analytical_tools/p3_screen/</t>
        </is>
      </c>
      <c r="G31" s="28" t="inlineStr">
        <is>
          <t>direct download</t>
        </is>
      </c>
      <c r="H31" s="28" t="inlineStr">
        <is>
          <t>Not stated. No terms-of-use language on the FHWA page; contact is InnovativeFinance@dot.gov. US federal work product.</t>
        </is>
      </c>
      <c r="I31" s="28" t="inlineStr">
        <is>
          <t>methodology only</t>
        </is>
      </c>
      <c r="J31" s="28" t="inlineStr">
        <is>
          <t>Qualitative screening checklist in Excel (pre-financial-model gate)</t>
        </is>
      </c>
      <c r="K31" s="28" t="inlineStr">
        <is>
          <t>Verified on the FHWA page: P3-SCREEN is "a preliminary, qualitative screening process highlighting key criteria and questions relevant to the viability of delivering highway projects" as a P3, and "guides decision-makers through what is potentially the first step of a more comprehensive evaluation process." It can be run before environmental review concludes. Direct file: https://www.fhwa.dot.gov/ipd/pdfs/p3/p3_screen_june2013.xlsx.</t>
        </is>
      </c>
      <c r="L31" s="28" t="inlineStr">
        <is>
          <t>Criteria-based gating that precedes any cash flow modelling; qualitative suitability scoring that determines whether a full P3-VALUE run is warranted.</t>
        </is>
      </c>
      <c r="M31" s="28" t="inlineStr">
        <is>
          <t>Attach non-numeric qualitative metadata and gating criteria to a deal definition and carry them through to the quantitative model, so that a deal can record *why* it was structured as a P3 alongside the numbers.</t>
        </is>
      </c>
      <c r="N31" s="28" t="inlineStr">
        <is>
          <t>Low numeric value but useful for CFDL's metadata and provenance story — it is the upstream artefact that a P3-VALUE model depends on, and shows what non-numeric context a real deal file needs to carry.</t>
        </is>
      </c>
      <c r="O31" s="28" t="inlineStr">
        <is>
          <t>OK</t>
        </is>
      </c>
    </row>
    <row r="32" ht="96" customHeight="1" s="18">
      <c r="A32" s="24" t="n">
        <v>31</v>
      </c>
      <c r="B32" s="24" t="inlineStr">
        <is>
          <t>Energy &amp; Infrastructure (existing pack + roadmap)</t>
        </is>
      </c>
      <c r="C32" s="24" t="inlineStr">
        <is>
          <t>Infrastructure — toll road / highway concession in a developing-country context</t>
        </is>
      </c>
      <c r="D32" s="24" t="inlineStr">
        <is>
          <t>Numerical Model for Financial Simulation of Highway PPP Projects</t>
        </is>
      </c>
      <c r="E32" s="24" t="inlineStr">
        <is>
          <t>PPIAF / World Bank Group (Module 6, Toolkit for PPPs in Roads and Highways)</t>
        </is>
      </c>
      <c r="F32" s="25" t="inlineStr">
        <is>
          <t>https://www.ppiaf.org/sites/ppiaf.org/files/documents/toolkits/highwaystoolkit-russian/6/pdf-version/numerical_model.pdf</t>
        </is>
      </c>
      <c r="G32" s="24" t="inlineStr">
        <is>
          <t>direct download</t>
        </is>
      </c>
      <c r="H32" s="24" t="inlineStr">
        <is>
          <t>Not stated in the document. The parent PPIAF site carries only a general "Copyright © 2024 PPIAF/WBG" footer; the toolkit index pages contain no terms-of-use statement. PPIAF/World Bank knowledge products are typically CC BY, but this specific item does not assert it.</t>
        </is>
      </c>
      <c r="I32" s="24" t="inlineStr">
        <is>
          <t>assumptions and outputs only</t>
        </is>
      </c>
      <c r="J32" s="24" t="inlineStr">
        <is>
          <t>Full concession-life project finance model with sculpted multi-tranche debt and subsidy solving</t>
        </is>
      </c>
      <c r="K32" s="24" t="inlineStr">
        <is>
          <t>This is the most numerically specific single source I found. The worked case is a 125 km 2x2-lane toll highway with Average Daily Traffic at opening of 10,000 vehicles/day and 3% annual traffic growth. Tolls are USD 0.13/vehicle/km for Category 1 and USD 0.25/vehicle/km for Category 2, against a vehicle mix of 70% light and 30% heavy. The comparison hurdle is a Minimum Equity IRR in real terms of 13%.</t>
        </is>
      </c>
      <c r="L32" s="24" t="inlineStr">
        <is>
          <t>Three debt tranches with distinct terms — Tranche 1 at 20-year maturity, 4% interest, 5-year grace, 80% of total debt; Tranche 2 at 15-year maturity, 4.5% interest, 6-year grace, 10%; Tranche 3 at 10-year maturity, 6% interest, 6-year grace, 10% — all repaid on a "constant Principal + Interests basis." Two subsidy modes: an automatic mode where "subsidies provided by the Contracting Authority are automatically calculated to enable the Project to be financially viable" against a target ADSCR of 1.3, and an input mode distributing a user-specified subsidy equally across operating years. Project IRR (pre-financing) and Equity IRR reported separately. Cash flows include toll revenue across four vehicle categories, construction spend over the build period, fixed and variable opex, debt service, corporate tax and VAT, and dividends.</t>
        </is>
      </c>
      <c r="M32" s="24" t="inlineStr">
        <is>
          <t>Multiple concurrent debt tranches with independent maturity, rate, grace period and allocation share, amortising on a stated basis; a grace period during which interest accrues but principal does not amortise; solve a government subsidy stream as the unknown that satisfies a target ADSCR across every period simultaneously; traffic demand as a growing volume disaggregated by vehicle category, each with its own per-km tariff; VAT modelled separately from corporate income tax; both unlevered and levered IRR from one model; real-terms return hurdles alongside nominal cash flows.</t>
        </is>
      </c>
      <c r="N32" s="24" t="inlineStr">
        <is>
          <t>The single richest set of verifiable numbers in this list, and the hardest structural test — the ADSCR-targeted subsidy solve is a genuine circular constraint across all periods, which is exactly the kind of thing a declarative language should handle natively and an imperative spreadsheet handles badly. Three tranches with different grace periods stress-test debt scheduling. Note: the guide describes model logic and case parameters but does not reproduce a complete annual cash flow table, so CFDL would reproduce the stated aggregates and IRRs rather than tie to every cell.</t>
        </is>
      </c>
      <c r="O32" s="24" t="inlineStr">
        <is>
          <t>OK</t>
        </is>
      </c>
    </row>
    <row r="33" ht="96" customHeight="1" s="18">
      <c r="A33" s="28" t="n">
        <v>32</v>
      </c>
      <c r="B33" s="28" t="inlineStr">
        <is>
          <t>Energy &amp; Infrastructure (existing pack + roadmap)</t>
        </is>
      </c>
      <c r="C33" s="28" t="inlineStr">
        <is>
          <t>Infrastructure — roads and highways PPP, developing-country focus</t>
        </is>
      </c>
      <c r="D33" s="28" t="inlineStr">
        <is>
          <t>Toolkit for Public-Private Partnerships in Roads and Highways (complete, 6 modules)</t>
        </is>
      </c>
      <c r="E33" s="28" t="inlineStr">
        <is>
          <t>PPIAF / World Bank Group</t>
        </is>
      </c>
      <c r="F33" s="29" t="inlineStr">
        <is>
          <t>https://www.ppiaf.org/sites/ppiaf.org/files/documents/toolkits/highwaystoolkit/6/toolkit_files/index.html</t>
        </is>
      </c>
      <c r="G33" s="28" t="inlineStr">
        <is>
          <t>direct download</t>
        </is>
      </c>
      <c r="H33" s="28" t="inlineStr">
        <is>
          <t>Not stated. The toolkit files page carries no copyright or terms-of-use statement; the PPIAF document record at https://www.ppiaf.org/documents/2066 shows only a general "Copyright © 2024 PPIAF/WBG" footer.</t>
        </is>
      </c>
      <c r="I33" s="28" t="inlineStr">
        <is>
          <t>methodology only</t>
        </is>
      </c>
      <c r="J33" s="28" t="inlineStr">
        <is>
          <t>Sector PPP structuring reference and methodology (risk allocation, finance, procurement)</t>
        </is>
      </c>
      <c r="K33" s="28" t="inlineStr">
        <is>
          <t>Verified on the PPIAF record: a 2009 reference guide assisting public authorities in developing countries with PPP programme development in the highways sector, covering "PPP policy development, project preparation and the sourcing and monitoring of external expertise" across six modules including risk assessment and finance. Verified downloads on the toolkit files page: high-resolution PDF (25.5 MB, toolKit_ppp_roads&amp;highways.zip), low-resolution PDF (7 MB), and a full CD-ROM ISO image (401 MB, Toolkit-Version_March_2009.iso). English and Russian editions.</t>
        </is>
      </c>
      <c r="L33" s="28" t="inlineStr">
        <is>
          <t>Concession risk allocation matrices across construction, traffic, revenue, currency and political risk; alternative PPP contract forms (BOT, DBFO, shadow toll, availability); government support instruments including minimum revenue guarantees and viability gap funding.</t>
        </is>
      </c>
      <c r="M33" s="28" t="inlineStr">
        <is>
          <t>Encode a risk allocation matrix as structured data linked to the cash flow lines each risk affects; represent alternative contract forms as swappable revenue regimes over a common asset; express government support instruments as contingent flows triggered by a condition on project performance.</t>
        </is>
      </c>
      <c r="N33" s="28" t="inlineStr">
        <is>
          <t>Provides the structural vocabulary that the numerical model above instantiates — useful for checking that CFDL's concession abstractions cover the full space of contract forms the sector actually uses, not just the one variant in the worked example. The ISO contains the full toolkit file set including the numerical model materials.</t>
        </is>
      </c>
      <c r="O33" s="28" t="inlineStr">
        <is>
          <t>OK</t>
        </is>
      </c>
    </row>
    <row r="34" ht="96" customHeight="1" s="18">
      <c r="A34" s="24" t="n">
        <v>33</v>
      </c>
      <c r="B34" s="24" t="inlineStr">
        <is>
          <t>Energy &amp; Infrastructure (existing pack + roadmap)</t>
        </is>
      </c>
      <c r="C34" s="24" t="inlineStr">
        <is>
          <t>Infrastructure — all PPP sectors (transport, water, social infrastructure, energy) viewed from the government balance sheet</t>
        </is>
      </c>
      <c r="D34" s="24" t="inlineStr">
        <is>
          <t>PFRAM 2.0 — PPP Fiscal Risk Assessment Model</t>
        </is>
      </c>
      <c r="E34" s="24" t="inlineStr">
        <is>
          <t>International Monetary Fund and World Bank Group (jointly)</t>
        </is>
      </c>
      <c r="F34" s="25" t="inlineStr">
        <is>
          <t>https://ppp.worldbank.org/public-private-partnership/node/5841</t>
        </is>
      </c>
      <c r="G34" s="24" t="inlineStr">
        <is>
          <t>direct download</t>
        </is>
      </c>
      <c r="H34" s="24" t="inlineStr">
        <is>
          <t>No open-source licence asserted. Verified disclaimer on the World Bank page: "The World Bank does not take responsibility for the accuracy, completeness, or quality of the information provided" and "inclusion of documents on this website should not be construed as either a commitment to provide financing or an endorsement by the World Bank." Freely downloadable with no registration gate. A Guidance Note accompanies the tool.</t>
        </is>
      </c>
      <c r="I34" s="24" t="inlineStr">
        <is>
          <t>full cash flow table available</t>
        </is>
      </c>
      <c r="J34" s="24" t="inlineStr">
        <is>
          <t>Macro-enabled Excel model translating project-level PPP cash flows into government fiscal accounts</t>
        </is>
      </c>
      <c r="K34" s="24" t="inlineStr">
        <is>
          <t>Verified on the World Bank page: PFRAM 2.0 is an analytical tool developed jointly by the IMF and World Bank Group to "assess fiscal costs and risks arising from public-private partnership (PPP) projects," covering medium- to long-term fiscal consequences of PPP arrangements. Direct files: English https://ppp.worldbank.org/sites/default/files/2022-03/PFRAM_2_EN_200213.xlsm and French https://ppp.worldbank.org/sites/default/files/2024-06/PFRAM_2_FR.xlsm. Note: I verified the tool's availability, description and download URLs but did not open the workbook, so the internal cash flow structure is described from the publisher's framing.</t>
        </is>
      </c>
      <c r="L34" s="24" t="inlineStr">
        <is>
          <t>Availability payment obligations projected over the concession as a multi-year government commitment; contingent liabilities from guarantees recognised separately from firm obligations; on- versus off-balance-sheet classification of the PPP asset and the resulting effect on reported public debt; stress scenarios propagating macro shocks into fiscal exposure.</t>
        </is>
      </c>
      <c r="M34" s="24" t="inlineStr">
        <is>
          <t>Model the same contract from two perspectives simultaneously — concessionaire and government — where one party's payment is the other's obligation; distinguish firm contractual obligations from contingent ones that only crystallise on a trigger; apply an accounting classification rule that changes how a flow is reported without changing the cash itself; propagate a macro shock through to a fiscal aggregate.</t>
        </is>
      </c>
      <c r="N34" s="24" t="inlineStr">
        <is>
          <t>The best free test of contingent liabilities and dual-perspective modelling — a language that can only model the private SPV side is missing half of every PPP. Being the IMF/World Bank standard, it is also the credibility benchmark: if CFDL reproduces PFRAM, public-sector users have a reason to trust it.</t>
        </is>
      </c>
      <c r="O34" s="24" t="inlineStr">
        <is>
          <t>OK</t>
        </is>
      </c>
    </row>
    <row r="35" ht="96" customHeight="1" s="18">
      <c r="A35" s="28" t="n">
        <v>34</v>
      </c>
      <c r="B35" s="28" t="inlineStr">
        <is>
          <t>Energy &amp; Infrastructure (existing pack + roadmap)</t>
        </is>
      </c>
      <c r="C35" s="28" t="inlineStr">
        <is>
          <t>Infrastructure — cross-sector PPP screening with a climate-resilience emphasis</t>
        </is>
      </c>
      <c r="D35" s="28" t="inlineStr">
        <is>
          <t>PSAT 2.0 — PPP Project Screening and Analytics Tool</t>
        </is>
      </c>
      <c r="E35" s="28" t="inlineStr">
        <is>
          <t>World Bank Group</t>
        </is>
      </c>
      <c r="F35" s="29" t="inlineStr">
        <is>
          <t>https://ppp.worldbank.org/public-private-partnership/library/ppp-project-screening-and-analytics-tool-psat-2-0</t>
        </is>
      </c>
      <c r="G35" s="28" t="inlineStr">
        <is>
          <t>direct download</t>
        </is>
      </c>
      <c r="H35" s="28" t="inlineStr">
        <is>
          <t>No licence asserted. Verified disclaimer on the page: "The World Bank does not take responsibility for the accuracy, completeness, or quality of the information provided," and inclusion "should not be construed as either a commitment to provide financing or an endorsement by the World Bank." Free download, no registration.</t>
        </is>
      </c>
      <c r="I35" s="28" t="inlineStr">
        <is>
          <t>assumptions and outputs only</t>
        </is>
      </c>
      <c r="J35" s="28" t="inlineStr">
        <is>
          <t>Excel/VBA multi-criteria screening and prioritisation tool</t>
        </is>
      </c>
      <c r="K35" s="28" t="inlineStr">
        <is>
          <t>Verified on the World Bank page: PSAT 2.0 is "a Microsoft Excel Visual Basic–based decision-making tool that can be used by countries for the screening and prioritizing of climate resilient PPP projects." It evaluates projects on qualitative and quantitative variables, incorporates climate change parameters and a Climate Change Vulnerability Assessment (CCVA), and analyses preliminary risk, budget impacts and a "qualitative value-for-money assessment." The page explicitly notes the tool does not replace comprehensive feasibility studies or detailed project cash flow modelling. Direct files: tool https://ppp.worldbank.org/sites/default/files/2023-05/PSAT%202.0_4May2023.xlsm, user guide https://ppp.worldbank.org/sites/default/files/2023-05/PSAT%20Guide_26April23.pdf.</t>
        </is>
      </c>
      <c r="L35" s="28" t="inlineStr">
        <is>
          <t>Multi-criteria weighted scoring across qualitative and quantitative dimensions; climate vulnerability assessment feeding a project risk profile; preliminary budget impact estimation; qualitative VfM gate.</t>
        </is>
      </c>
      <c r="M35" s="28" t="inlineStr">
        <is>
          <t>Attach climate and resilience attributes to a deal as structured, queryable metadata; support weighted multi-criteria scoring alongside cash flow computation; express a budget-impact estimate at a coarser fidelity than a full model, and later refine it without redefining the deal.</t>
        </is>
      </c>
      <c r="N35" s="28" t="inlineStr">
        <is>
          <t>Tests CFDL's ability to carry a deal through fidelity levels — coarse screening early, full cash flow later — using one definition. Also the clearest signal of where the market is heading on climate attributes, which CFDL will need to represent if it wants multilateral adoption.</t>
        </is>
      </c>
      <c r="O35" s="28" t="inlineStr">
        <is>
          <t>OK</t>
        </is>
      </c>
    </row>
    <row r="36" ht="96" customHeight="1" s="18">
      <c r="A36" s="24" t="n">
        <v>35</v>
      </c>
      <c r="B36" s="24" t="inlineStr">
        <is>
          <t>Energy &amp; Infrastructure (existing pack + roadmap)</t>
        </is>
      </c>
      <c r="C36" s="24" t="inlineStr">
        <is>
          <t>Infrastructure and energy — sovereign guarantees supporting project finance across sectors</t>
        </is>
      </c>
      <c r="D36" s="24" t="inlineStr">
        <is>
          <t>Scenario Analysis Tool for Assessment and Monitoring of Government Guarantees (MTI Discussion Paper No. 21)</t>
        </is>
      </c>
      <c r="E36" s="24" t="inlineStr">
        <is>
          <t>World Bank (Macroeconomics, Trade and Investment Global Practice)</t>
        </is>
      </c>
      <c r="F36" s="25" t="inlineStr">
        <is>
          <t>https://openknowledge.worldbank.org/entities/publication/bdb5f581-b490-5884-8ba7-868a562e8ef9</t>
        </is>
      </c>
      <c r="G36" s="24" t="inlineStr">
        <is>
          <t>direct download</t>
        </is>
      </c>
      <c r="H36" s="24" t="inlineStr">
        <is>
          <t>CC BY 3.0 IGO — verified explicitly on the World Bank Open Knowledge Repository record. This is the clearest, most permissive licence of any non-code item in this list: redistribution and adaptation permitted with attribution.</t>
        </is>
      </c>
      <c r="I36" s="24" t="inlineStr">
        <is>
          <t>methodology only</t>
        </is>
      </c>
      <c r="J36" s="24" t="inlineStr">
        <is>
          <t>Guarantee valuation and portfolio scenario-analysis methodology with accompanying Excel models</t>
        </is>
      </c>
      <c r="K36" s="24" t="inlineStr">
        <is>
          <t>Verified on the OKR record: published May 2020 as MTI Discussion Paper No. 21. The method assesses "potential payments from the government when a beneficiary faces difficulty with debt payments," and extends to "estimate the combined loss of multiple guarantees when simultaneously subjected to negative economic conditions." It also covers methods for calculating guarantee fees. The World Bank PPP Resource Center page (https://ppp.worldbank.org/node/10147) states the guidance note "describes the methodology, gives examples, and gives directions on using the accompanying Excel models" — I confirmed the note and its stated Excel companions, but could not locate direct URLs for the spreadsheets themselves. Focus is debt guarantees; minimum revenue and FX guarantees are not explicitly covered.</t>
        </is>
      </c>
      <c r="L36" s="24" t="inlineStr">
        <is>
          <t>Guarantee call probability conditioned on borrower distress; expected loss on a single guarantee; correlated portfolio loss when multiple guarantees are stressed simultaneously; guarantee fee pricing derived from expected loss.</t>
        </is>
      </c>
      <c r="M36" s="24" t="inlineStr">
        <is>
          <t>Express a contingent payment whose trigger is a condition on another entity's debt service; aggregate contingent exposures across a portfolio with correlation rather than summing independently; derive a fee or premium from a computed expected loss; run correlated multi-deal stress scenarios.</t>
        </is>
      </c>
      <c r="N36" s="24" t="inlineStr">
        <is>
          <t>Pushes CFDL beyond single-deal modelling into portfolio-level correlated risk — important because guarantees are how most emerging-market energy and infrastructure deals actually reach bankability. The CC BY 3.0 IGO licence means the methodology and examples can be reproduced in CFDL documentation without permission issues.</t>
        </is>
      </c>
      <c r="O36" s="24" t="inlineStr">
        <is>
          <t>OK</t>
        </is>
      </c>
    </row>
    <row r="37" ht="96" customHeight="1" s="18">
      <c r="A37" s="28" t="n">
        <v>36</v>
      </c>
      <c r="B37" s="28" t="inlineStr">
        <is>
          <t>Energy &amp; Infrastructure (existing pack + roadmap)</t>
        </is>
      </c>
      <c r="C37" s="28" t="inlineStr">
        <is>
          <t>Infrastructure — airport concessions and privatisations</t>
        </is>
      </c>
      <c r="D37" s="28" t="inlineStr">
        <is>
          <t>Airport Project Finance Models (Ed Bodmer)</t>
        </is>
      </c>
      <c r="E37" s="28" t="inlineStr">
        <is>
          <t>Edward Bodmer — Project and Corporate Finance</t>
        </is>
      </c>
      <c r="F37" s="29" t="inlineStr">
        <is>
          <t>https://edbodmer.com/project-finance-model-collection/airport-project-finance-models/</t>
        </is>
      </c>
      <c r="G37" s="28" t="inlineStr">
        <is>
          <t>direct download</t>
        </is>
      </c>
      <c r="H37" s="28" t="inlineStr">
        <is>
          <t>Not stated. I checked this page and the site's model-collection hub and found no licence, copyright or terms-of-use statement, and no paywall on the file links. Treat as freely downloadable but unlicensed — fine for reference and validation, but confirm with the author before redistributing derived files.</t>
        </is>
      </c>
      <c r="I37" s="28" t="inlineStr">
        <is>
          <t>full cash flow table available</t>
        </is>
      </c>
      <c r="J37" s="28" t="inlineStr">
        <is>
          <t>Macro-enabled Excel project finance models with traffic forecasting and financing modules</t>
        </is>
      </c>
      <c r="K37" s="28" t="inlineStr">
        <is>
          <t>Four files verified on the page. An airport financial model restructured with exercises, demonstrating incorporation of historical data and computation of financial ratios (https://edbodmer.com/wp-content/uploads/2019/06/Airport-Model-Re-structured-with-Exercises.xlsm). A Dakar Airport traffic forecast using GDP and price elasticity, comparing historical actuals against projections (https://edbodmer.com/wp-content/uploads/2020/09/Dakar-Airport-Traffic-Forecast-Working.xlsm) — a real named asset. A comprehensive airport financial model including economic analysis and financing modules (https://edbodmer.com/wp-content/uploads/2020/09/Airport-Financial-Model.xlsm). And an airport risk matrix (https://edbodmer.com/wp-content/uploads/2018/09/Airport Model Example.xlsm).</t>
        </is>
      </c>
      <c r="L37" s="28" t="inlineStr">
        <is>
          <t>Passenger traffic forecast driven by GDP elasticity and price elasticity; aeronautical versus non-aeronautical revenue split with different drivers; historical actuals spliced into a forward projection at a transition date; concession-life financing with ratio computation; risk matrix linked to the financial model.</t>
        </is>
      </c>
      <c r="M37" s="28" t="inlineStr">
        <is>
          <t>Drive a revenue volume from an exogenous macro series through an elasticity relationship; splice historical actuals and forecast periods into one continuous timeline with a clean handover; carry multiple revenue streams with independent drivers under one concession; compute back-tested forecast error against realised data.</t>
        </is>
      </c>
      <c r="N37" s="28" t="inlineStr">
        <is>
          <t>The historical-actuals-plus-forecast splice is a capability most modelling languages get wrong and every real asset needs — Dakar is a named, real airport, so the back-test is meaningful rather than synthetic. Extends CFDL into demand-driven transport concessions where revenue is a forecast, not a contract.</t>
        </is>
      </c>
      <c r="O37" s="28" t="inlineStr">
        <is>
          <t>OK</t>
        </is>
      </c>
    </row>
    <row r="38" ht="96" customHeight="1" s="18">
      <c r="A38" s="24" t="n">
        <v>37</v>
      </c>
      <c r="B38" s="24" t="inlineStr">
        <is>
          <t>Energy &amp; Infrastructure (existing pack + roadmap)</t>
        </is>
      </c>
      <c r="C38" s="24" t="inlineStr">
        <is>
          <t>Energy and infrastructure — solar, onshore and offshore wind, thermal generation, hydro, toll roads, sea ports, airports, downstream oil and LNG, mining, plus PPP value-for-money, university PPPs, parking and street lighting</t>
        </is>
      </c>
      <c r="D38" s="24" t="inlineStr">
        <is>
          <t>Project Finance Model Collection (Ed Bodmer) — sector library</t>
        </is>
      </c>
      <c r="E38" s="24" t="inlineStr">
        <is>
          <t>Edward Bodmer — Project and Corporate Finance</t>
        </is>
      </c>
      <c r="F38" s="25" t="inlineStr">
        <is>
          <t>https://edbodmer.com/project-finance-model-collection/</t>
        </is>
      </c>
      <c r="G38" s="24" t="inlineStr">
        <is>
          <t>direct download</t>
        </is>
      </c>
      <c r="H38" s="24" t="inlineStr">
        <is>
          <t>Not stated. No licence, copyright notice, pricing or terms-of-use statement appears on the collection hub or on the sector pages I fetched. Files are served directly from wp-content with no gate.</t>
        </is>
      </c>
      <c r="I38" s="24" t="inlineStr">
        <is>
          <t>full cash flow table available</t>
        </is>
      </c>
      <c r="J38" s="24" t="inlineStr">
        <is>
          <t>Library of macro-enabled Excel project finance models organised by sector</t>
        </is>
      </c>
      <c r="K38" s="24" t="inlineStr">
        <is>
          <t>Verified sector taxonomy on the hub page: Solar Project Finance Models; On-Shore and Off-Shore Wind; Project Finance for Thermal Electricity Plants; Hydro; Toll Road Project Finance; Sea Port Models; Airport Project Finance Models; Downstream Oil and LNG; Mining; Agriculture; Upstream Oil; plus a PPP group covering Value for Money Analysis, University PPP Examples, and Other PPP Examples (Parking, Street Lights). A shared Generic-Macros.xlsm utility library is referenced across pages (https://edbodmer.com/wp-content/uploads/2026/07/Generic-Macros.xlsm). Caveat: the sector index pages are navigation-heavy and several did not render their file lists to my fetcher, so individual file URLs outside the airport page are unconfirmed — the airport entry above is the verified exemplar.</t>
        </is>
      </c>
      <c r="L38" s="24" t="inlineStr">
        <is>
          <t>Across the library: DSCR-sculpted debt sizing, debt service reserve accounts, construction-period interest capitalisation (IDC), refinancing and refinancing gain-share, cash flow waterfalls with lock-up tests, merchant tail valuation after contract expiry, and value-for-money PSC comparisons.</t>
        </is>
      </c>
      <c r="M38" s="24" t="inlineStr">
        <is>
          <t>Sculpt an amortisation profile to a target coverage ratio rather than to a fixed schedule; capitalise interest during construction into the depreciable basis; express a cash waterfall as an ordered set of priority claims with lock-up conditions; support a mid-life refinancing that replaces one debt object with another and splits the resulting gain; switch a revenue regime from contracted to merchant at a specified date.</t>
        </is>
      </c>
      <c r="N38" s="24" t="inlineStr">
        <is>
          <t>The broadest single sector library available free, and the closest thing to how practitioners actually build these models — valuable both as a breadth test (can CFDL express a port, a toll road and an offshore wind farm from the same primitives?) and as a source of the specific conventions bankers expect. Verify individual files before citing them.</t>
        </is>
      </c>
      <c r="O38" s="24" t="inlineStr">
        <is>
          <t>OK</t>
        </is>
      </c>
    </row>
    <row r="39" ht="96" customHeight="1" s="18">
      <c r="A39" s="28" t="n">
        <v>38</v>
      </c>
      <c r="B39" s="28" t="inlineStr">
        <is>
          <t>Energy &amp; Infrastructure (existing pack + roadmap)</t>
        </is>
      </c>
      <c r="C39" s="28" t="inlineStr">
        <is>
          <t>Infrastructure — seaports, terminal concessions, landlord-port models</t>
        </is>
      </c>
      <c r="D39" s="28" t="inlineStr">
        <is>
          <t>World Bank Port Reform Toolkit (2025 full version)</t>
        </is>
      </c>
      <c r="E39" s="28" t="inlineStr">
        <is>
          <t>World Bank Group</t>
        </is>
      </c>
      <c r="F39" s="29" t="inlineStr">
        <is>
          <t>https://ppp.worldbank.org/library/world-bank-port-reform-toolkit</t>
        </is>
      </c>
      <c r="G39" s="28" t="inlineStr">
        <is>
          <t>direct download</t>
        </is>
      </c>
      <c r="H39" s="28" t="inlineStr">
        <is>
          <t>Not stated on the PPP Resource Center record beyond the standard disclaimer that the World Bank "does not take responsibility for the accuracy, completeness, or quality of the information provided." World Bank publications distributed via the Open Knowledge Repository are generally CC BY 3.0 IGO, but this record does not assert it.</t>
        </is>
      </c>
      <c r="I39" s="28" t="inlineStr">
        <is>
          <t>methodology only</t>
        </is>
      </c>
      <c r="J39" s="28" t="inlineStr">
        <is>
          <t>Sector reform and concession-structuring reference with financial-implications methodology</t>
        </is>
      </c>
      <c r="K39" s="28" t="inlineStr">
        <is>
          <t>Verified on the World Bank record: described as "one of the most comprehensive guides for implementing port reforms," with editions in 2001 and 2007 and a 2025 full version, addressing "port privatization, labor, and modernization programs." Direct file: https://ppp.worldbank.org/sites/default/files/2025-08/World%20Bank%20%282025%29_Port%20Reform%20Toolkit_Full%20Version_0.pdf. Verification caveat: my fetch of the PDF returned HTTP 413 (response body exceeded the 20 MB fetch limit), which confirms the file exists and is large but means I could not read its financial module directly.</t>
        </is>
      </c>
      <c r="L39" s="28" t="inlineStr">
        <is>
          <t>Landlord-port concession structures separating infrastructure ownership from terminal operation; throughput-linked concession fees combining fixed and variable components; tariff regulation interacting with concessionaire revenue; capital investment commitments embedded in concession obligations.</t>
        </is>
      </c>
      <c r="M39" s="28" t="inlineStr">
        <is>
          <t>Express a concession fee as a two-part tariff (fixed plus per-unit-throughput variable) with a floor; represent a contractual capital investment commitment as an obligation that binds the operator regardless of demand; separate landlord and operator as distinct entities in one deal structure.</t>
        </is>
      </c>
      <c r="N39" s="28" t="inlineStr">
        <is>
          <t>Fills the ports gap in CFDL's infrastructure coverage and tests two-part concession fee structures, which recur across ports, airports and rail. Given the fetch caveat, treat the financial content as unconfirmed until the PDF is downloaded and inspected directly.</t>
        </is>
      </c>
      <c r="O39" s="28" t="inlineStr">
        <is>
          <t>OK</t>
        </is>
      </c>
    </row>
    <row r="40" ht="96" customHeight="1" s="18">
      <c r="A40" s="24" t="n">
        <v>39</v>
      </c>
      <c r="B40" s="24" t="inlineStr">
        <is>
          <t>Energy &amp; Infrastructure (existing pack + roadmap)</t>
        </is>
      </c>
      <c r="C40" s="24" t="inlineStr">
        <is>
          <t>Energy — US utility-scale and distributed solar and wind tax equity</t>
        </is>
      </c>
      <c r="D40" s="24" t="inlineStr">
        <is>
          <t>Partnership Flips: Structures and Issues (Project Finance NewsWire)</t>
        </is>
      </c>
      <c r="E40" s="24" t="inlineStr">
        <is>
          <t>Norton Rose Fulbright</t>
        </is>
      </c>
      <c r="F40" s="25" t="inlineStr">
        <is>
          <t>https://www.projectfinance.law/publications/2021/february/partnership-flips</t>
        </is>
      </c>
      <c r="G40" s="24" t="inlineStr">
        <is>
          <t>free to view, no download</t>
        </is>
      </c>
      <c r="H40" s="24" t="inlineStr">
        <is>
          <t>Not stated. Verified as free to read with no paywall or registration on the Project Finance NewsWire site. Standard law-firm publication copyright applies; suitable to cite and paraphrase, not to reproduce wholesale.</t>
        </is>
      </c>
      <c r="I40" s="24" t="inlineStr">
        <is>
          <t>methodology only</t>
        </is>
      </c>
      <c r="J40" s="24" t="inlineStr">
        <is>
          <t>Tax equity structuring methodology (partnership flip)</t>
        </is>
      </c>
      <c r="K40" s="24" t="inlineStr">
        <is>
          <t>The authoritative free industry reference on partnership flip mechanics. I verified a companion article in the same series, "Calculating how much tax equity can be raised" (https://www.projectfinance.law/publications/2022/february/calculating-how-much-tax-equity-can-be-raised), which is also free to read and gives the market rules of thumb: "tax equity accounts for 35% of the capital stack of a typical solar project, plus or minus 5%" and "65% of the capital stack of a typical wind farm, plus or minus 10%." Important caveat: these articles are conceptual — they explain capital accounts, outside basis, minimum gain chargebacks and section 704(c) adjustments in prose and with small illustrative figures (a hypothetical $100 project with $60 debt and $40 equity), but contain no full numeric tables, depreciation schedules or worked flip-yield calculations.</t>
        </is>
      </c>
      <c r="L40" s="24" t="inlineStr">
        <is>
          <t>Partnership flip with pre-flip and post-flip sharing ratios; flip triggered on a target after-tax yield rather than a fixed date; capital account maintenance under section 704(b) with deficit restoration obligations; minimum gain chargeback; section 704(c) built-in gain allocation; outside basis limits constraining loss allocation; ITC recapture over the five-year vesting period.</t>
        </is>
      </c>
      <c r="M40" s="24" t="inlineStr">
        <is>
          <t>Allocate income, loss and tax credits between partners on ratios that change on a computed trigger; maintain per-partner capital accounts as stateful balances that constrain future allocations; solve for the flip date as the first period at which a partner's cumulative after-tax IRR crosses a threshold; model a credit recapture liability that decays over a vesting schedule.</t>
        </is>
      </c>
      <c r="N40" s="24" t="inlineStr">
        <is>
          <t>Tax equity is the hardest structure in US renewables and the clearest test of whether CFDL can express allocation rules that are circular (the flip date depends on returns, which depend on allocations, which depend on the flip date). Use these articles as the correctness specification and validate the arithmetic against SAM's or PySAM's partnership-flip financial model, since this source supplies rules rather than numbers.</t>
        </is>
      </c>
      <c r="O40" s="24" t="inlineStr">
        <is>
          <t>OK</t>
        </is>
      </c>
    </row>
    <row r="41" ht="96" customHeight="1" s="18">
      <c r="A41" s="28" t="n">
        <v>40</v>
      </c>
      <c r="B41" s="28" t="inlineStr">
        <is>
          <t>Credit &amp; Structured Finance (existing pack + roadmap)</t>
        </is>
      </c>
      <c r="C41" s="28" t="inlineStr">
        <is>
          <t>Residential mortgage-backed securities / agency MBS</t>
        </is>
      </c>
      <c r="D41" s="28" t="inlineStr">
        <is>
          <t>Standard Formulas for the Analysis of Mortgage-Backed Securities and Other Related Securities (Uniform Practices Manual, Chapter SF)</t>
        </is>
      </c>
      <c r="E41" s="28" t="inlineStr">
        <is>
          <t>The Bond Market Association (now SIFMA)</t>
        </is>
      </c>
      <c r="F41" s="29" t="inlineStr">
        <is>
          <t>https://www.sifma.org/wp-content/uploads/2017/08/chsf.pdf</t>
        </is>
      </c>
      <c r="G41" s="28" t="inlineStr">
        <is>
          <t>direct download</t>
        </is>
      </c>
      <c r="H41" s="28" t="inlineStr">
        <is>
          <t>"© 1999 The Bond Market Association. All rights reserved. Reproduction in any form is strictly forbidden." Freely downloadable from SIFMA's public site but not licensed for redistribution — treat as reference-only for republication; safe to use as a numerical validation target.</t>
        </is>
      </c>
      <c r="I41" s="28" t="inlineStr">
        <is>
          <t>full cash flow table available</t>
        </is>
      </c>
      <c r="J41" s="28" t="inlineStr">
        <is>
          <t>Industry-standard prepayment, default and cash flow convention specification with worked cash flow schedules</t>
        </is>
      </c>
      <c r="K41" s="28" t="inlineStr">
        <is>
          <t>Defines the canonical MBS conventions and then works them through two complete 176-month sample cash flow schedules ('Cash Flow A' and 'Cash Flow B') showing performing balance, new defaults, foreclosure balances, scheduled amortization factors, prepayments and recovery values period by period. Includes a concrete PSA back-out example: a pool issued 3/1/88 evaluated in June 1989 yielding 150% PSA, 5.1% CPR, 0.435% SMM. Also specifies 100% PSA as 0.2% CPR in month 1 ramping 0.2%/month to 6.0% CPR at month 30, and SDA with a 0.60% annual peak and 0.03% tail.</t>
        </is>
      </c>
      <c r="L41" s="28" t="inlineStr">
        <is>
          <t>PSA prepayment ramp; SMM/CPR conversion ((1-SMM/100)^12 = 1-CPR/100); SDA default ramp with plateau (months 30-60) and decline (months 61-120); pool factor and survival factor arithmetic; scheduled amortization vs. prepayment decomposition; servicing strip; defaulted-balance foreclosure pipeline with recovery lag; loss calculation</t>
        </is>
      </c>
      <c r="M41" s="28" t="inlineStr">
        <is>
          <t>Express a per-period hazard rate that is a piecewise-linear function of loan age; convert between monthly and annualized rates with an exact compounding identity; decompose a payment into scheduled principal, interest, and unscheduled prepayment against a declining balance; carry a separate foreclosure/liquidation state with a timing lag before recovery; support factor arithmetic where balances are expressed as fractions of original; solve inversely for an implied speed given observed balances.</t>
        </is>
      </c>
      <c r="N41" s="28" t="inlineStr">
        <is>
          <t>This is the single highest-value numerical target in the domain: it is the industry's definitional source for CPR/SMM/PSA/SDA, and it ships full 176-period tables. CFDL can assert period-by-period equality against a published, universally accepted reference and prove its prepayment/default primitives match market convention exactly rather than approximately.</t>
        </is>
      </c>
      <c r="O41" s="28" t="inlineStr">
        <is>
          <t>OK</t>
        </is>
      </c>
    </row>
    <row r="42" ht="96" customHeight="1" s="18">
      <c r="A42" s="24" t="n">
        <v>41</v>
      </c>
      <c r="B42" s="24" t="inlineStr">
        <is>
          <t>Credit &amp; Structured Finance (existing pack + roadmap)</t>
        </is>
      </c>
      <c r="C42" s="24" t="inlineStr">
        <is>
          <t>Cross-sector securitization — RMBS, ARM, auto loans, corporate loans, consumer installment, leases, receivables</t>
        </is>
      </c>
      <c r="D42" s="24" t="inlineStr">
        <is>
          <t>AbsBox — analytical library for cash flow modeling on ABS/MBS products (library + notebook gallery)</t>
        </is>
      </c>
      <c r="E42" s="24" t="inlineStr">
        <is>
          <t>Xiaoyu Zhang (yellowbean) / absbox project</t>
        </is>
      </c>
      <c r="F42" s="25" t="inlineStr">
        <is>
          <t>https://absbox-doc.readthedocs.io/en/latest/nbsample/single_mortgage.html</t>
        </is>
      </c>
      <c r="G42" s="24" t="inlineStr">
        <is>
          <t>direct download</t>
        </is>
      </c>
      <c r="H42" s="24" t="inlineStr">
        <is>
          <t>Apache-2.0 (open source, per the AbsBox GitHub repository). Permits commercial use, modification and redistribution with attribution and notice retention.</t>
        </is>
      </c>
      <c r="I42" s="24" t="inlineStr">
        <is>
          <t>full cash flow table available</t>
        </is>
      </c>
      <c r="J42" s="24" t="inlineStr">
        <is>
          <t>Open-source deal cash flow engine with declarative waterfall specification and executable worked examples</t>
        </is>
      </c>
      <c r="K42" s="24" t="inlineStr">
        <is>
          <t>The single-mortgage notebook projects a level-pay mortgage with $12,000 original balance, $10,000 current balance, 7.5% current rate and 20 months remaining, producing a full monthly table where month 1 shows balance falling from $10,000.00 to $9,529.05 with $470.95 principal and $62.50 interest. Companion notebooks (PoolAndTag, run_deal) project pools under CPR of 0.1 and CDR from 0% to 5% with recovery lags, emitting Balance, Principal, Interest, Prepayment, Default, Recovery, Loss plus cumulative columns and WAC.</t>
        </is>
      </c>
      <c r="L42" s="24" t="inlineStr">
        <is>
          <t>Level-pay amortization; CPR/CDR/recovery-lag assumption stacking; assumption scoping at pool level, by asset index, by tag, and by numeric field value; scenario sensitivity runs; structure sensitivity runs comparing alternative capital stacks; bond-level balance/interest/principal/cash-paid schedules</t>
        </is>
      </c>
      <c r="M42" s="24" t="inlineStr">
        <is>
          <t>Represent an asset as a state machine with balance, rate, remaining term and payment convention; apply prepayment and default hazards as first-class assumption objects that can be scoped to arbitrary subsets of a pool; emit both flow and cumulative aggregations; parameterize a deal so the same waterfall can be run across a scenario grid; separate pool projection from liability allocation so each can be validated independently.</t>
        </is>
      </c>
      <c r="N42" s="24" t="inlineStr">
        <is>
          <t>The closest existing analogue to CFDL's ambition, and Apache-2.0 licensed so its outputs can be freely used as a regression oracle. CFDL can run identical asset and pool definitions through AbsBox and assert cell-level agreement, and can also compare expressiveness: anything AbsBox's declarative waterfall lists can encode, CFDL should encode at least as clearly.</t>
        </is>
      </c>
      <c r="O42" s="24" t="inlineStr">
        <is>
          <t>OK</t>
        </is>
      </c>
    </row>
    <row r="43" ht="96" customHeight="1" s="18">
      <c r="A43" s="28" t="n">
        <v>42</v>
      </c>
      <c r="B43" s="28" t="inlineStr">
        <is>
          <t>Credit &amp; Structured Finance (existing pack + roadmap)</t>
        </is>
      </c>
      <c r="C43" s="28" t="inlineStr">
        <is>
          <t>Cross-sector structured finance — mortgage, student loan, auto loan, rental, corporate loan, consumer installment</t>
        </is>
      </c>
      <c r="D43" s="28" t="inlineStr">
        <is>
          <t>Hastructure — ABS/MBS cash flow engine</t>
        </is>
      </c>
      <c r="E43" s="28" t="inlineStr">
        <is>
          <t>Xiaoyu Zhang (absbox organization)</t>
        </is>
      </c>
      <c r="F43" s="29" t="inlineStr">
        <is>
          <t>https://github.com/absbox/Hastructure</t>
        </is>
      </c>
      <c r="G43" s="28" t="inlineStr">
        <is>
          <t>direct download</t>
        </is>
      </c>
      <c r="H43" s="28" t="inlineStr">
        <is>
          <t>BSD 3-Clause License, Copyright (c) 2022-2025 Xiaoyu Zhang. Permits redistribution and modification in source and binary form with copyright notice retention; no endorsement using the author's name; provided "as is" without warranty.</t>
        </is>
      </c>
      <c r="I43" s="28" t="inlineStr">
        <is>
          <t>full cash flow table available</t>
        </is>
      </c>
      <c r="J43" s="28" t="inlineStr">
        <is>
          <t>Open-source waterfall/cash flow calculation engine (Haskell core, JSON REST API, Docker)</t>
        </is>
      </c>
      <c r="K43" s="28" t="inlineStr">
        <is>
          <t>A general-purpose engine that accepts a JSON deal specification and projects pool and liability cash flows. It supports pre-enforcement and post-enforcement waterfalls, clean-up call waterfalls, and a distinct pool-collection waterfall, together with bond pricing outputs (IRR, WAL, duration, accrued interest). Bond types include fixed, floating-index, step-up coupon, sequential, prepay-lockout, PAC and Z bonds.</t>
        </is>
      </c>
      <c r="L43" s="28" t="inlineStr">
        <is>
          <t>Sequential-pay and PAC/companion allocation; Z-bond interest accretion; prepayment lockout; pre/post-enforcement waterfall switching; clean-up call; date-based, formula-based and pool-performance triggers (delinquency and default rate); pool-based and bond-based fees at fixed amounts, percentage rates and annualized rates; interest rate swaps; liquidity facility draws and repayment</t>
        </is>
      </c>
      <c r="M43" s="28" t="inlineStr">
        <is>
          <t>Encode multiple named waterfalls within one deal and switch between them on an enforcement or call event; express triggers as boolean formulas over live deal metrics (not just dates); accrue and capitalize interest on an accrual bond; enforce PAC schedule bands with a companion absorber; model a liquidity provider as a facility with draw, accrual and repayment priority; compute IRR/WAL/duration from a generated schedule.</t>
        </is>
      </c>
      <c r="N43" s="28" t="inlineStr">
        <is>
          <t>A BSD-licensed independent implementation of the exact semantic surface CFDL targets. It gives CFDL a feature checklist for waterfall expressiveness and a runnable second opinion — same JSON deal, two engines, assert identical schedules. Its trigger and multi-waterfall design is a direct test of whether CFDL can express state-dependent payment priority.</t>
        </is>
      </c>
      <c r="O43" s="28" t="inlineStr">
        <is>
          <t>OK</t>
        </is>
      </c>
    </row>
    <row r="44" ht="96" customHeight="1" s="18">
      <c r="A44" s="24" t="n">
        <v>43</v>
      </c>
      <c r="B44" s="24" t="inlineStr">
        <is>
          <t>Credit &amp; Structured Finance (existing pack + roadmap)</t>
        </is>
      </c>
      <c r="C44" s="24" t="inlineStr">
        <is>
          <t>Cross-sector securitization (generic SPV structures)</t>
        </is>
      </c>
      <c r="D44" s="24" t="inlineStr">
        <is>
          <t>Open Source Securitisation — declarative securitisation structure specification and Python waterfall implementation</t>
        </is>
      </c>
      <c r="E44" s="24" t="inlineStr">
        <is>
          <t>Open Risk (openriskmanagement.com)</t>
        </is>
      </c>
      <c r="F44" s="25" t="inlineStr">
        <is>
          <t>https://www.openriskmanagement.com/open-source-securitisation/</t>
        </is>
      </c>
      <c r="G44" s="24" t="inlineStr">
        <is>
          <t>free to view, no download</t>
        </is>
      </c>
      <c r="H44" s="24" t="inlineStr">
        <is>
          <t>Not stated on the article page. Companion code is published at github.com/open-risk/openSecuritisation; verify the repository license before reuse.</t>
        </is>
      </c>
      <c r="I44" s="24" t="inlineStr">
        <is>
          <t>methodology only</t>
        </is>
      </c>
      <c r="J44" s="24" t="inlineStr">
        <is>
          <t>Declarative (YAML) securitisation structure specification plus lambda-function cash flow distribution rules and Python payment-waterfall logic</t>
        </is>
      </c>
      <c r="K44" s="24" t="inlineStr">
        <is>
          <t>Proposes and demonstrates a three-part open specification for securitisation deals: YAML declarations of bonds, equity and collateral tests; lambda functions defining how cash is distributed at each waterfall node; and Python implementations of the resulting payment waterfall. The article walks through sample YAML structure definitions for bond and equity tranches with collateral test definitions, alongside code excerpts showing the waterfall execution.</t>
        </is>
      </c>
      <c r="L44" s="24" t="inlineStr">
        <is>
          <t>Declarative tranche and collateral-test definition; cash flow distribution rules expressed as composable functions; sequential waterfall node evaluation; collateral test (OC/IC-style) evaluation feeding allocation decisions</t>
        </is>
      </c>
      <c r="M44" s="24" t="inlineStr">
        <is>
          <t>Separate the declarative description of a capital structure from the procedural rules that move cash; allow each waterfall step to be a named, independently testable function of deal state; express collateral quality tests as first-class deal objects whose pass/fail result redirects cash; support a serializable, human-auditable deal file format.</t>
        </is>
      </c>
      <c r="N44" s="24" t="inlineStr">
        <is>
          <t>This is the closest published prior art to CFDL's core design thesis — that a securitisation is best expressed as a declarative document plus a small set of cash-movement primitives. It is a design benchmark for CFDL's syntax and a source of concrete YAML/lambda idioms to compare against, rather than a numerical oracle.</t>
        </is>
      </c>
      <c r="O44" s="24" t="inlineStr">
        <is>
          <t>OK</t>
        </is>
      </c>
    </row>
    <row r="45" ht="96" customHeight="1" s="18">
      <c r="A45" s="28" t="n">
        <v>44</v>
      </c>
      <c r="B45" s="28" t="inlineStr">
        <is>
          <t>Credit &amp; Structured Finance (existing pack + roadmap)</t>
        </is>
      </c>
      <c r="C45" s="28" t="inlineStr">
        <is>
          <t>Residential mortgage / agency credit risk transfer</t>
        </is>
      </c>
      <c r="D45" s="28" t="inlineStr">
        <is>
          <t>Fannie Mae Single-Family Loan Performance Dataset (with HARP supplement)</t>
        </is>
      </c>
      <c r="E45" s="28" t="inlineStr">
        <is>
          <t>Fannie Mae (Capital Markets / Data Dynamics)</t>
        </is>
      </c>
      <c r="F45" s="29" t="inlineStr">
        <is>
          <t>https://capitalmarkets.fanniemae.com/credit-risk-transfer/single-family-credit-risk-transfer/fannie-mae-single-family-loan-performance-data</t>
        </is>
      </c>
      <c r="G45" s="28" t="inlineStr">
        <is>
          <t>free registration</t>
        </is>
      </c>
      <c r="H45" s="28" t="inlineStr">
        <is>
          <t>Free with registration and acceptance of Terms and Conditions which prohibit "distributing data to third parties or using it in support of external commercial purposes without the express written consent of Fannie Mae." Internal analysis and research permitted; commercial redistribution requires Fannie Mae consent.</t>
        </is>
      </c>
      <c r="I45" s="28" t="inlineStr">
        <is>
          <t>full cash flow table available</t>
        </is>
      </c>
      <c r="J45" s="28" t="inlineStr">
        <is>
          <t>Loan-level origination and monthly performance history dataset (empirical, not a model)</t>
        </is>
      </c>
      <c r="K45" s="28" t="inlineStr">
        <is>
          <t>Covers 30-year and shorter fully amortizing conventional fixed-rate mortgages Fannie Mae acquired from 1 January 2000 through 31 March 2012, with monthly performance records updated quarterly (most recent update 30 April 2026 carrying Q4 2025 performance). Excludes ARMs, balloons, IO, prepayment-penalty, government-insured, Alt-A and LTV&gt;97% loans. A separate population of roughly 1 million HARP refinances (April 2009 to September 2016) is provided.</t>
        </is>
      </c>
      <c r="L45" s="28" t="inlineStr">
        <is>
          <t>Actual observed monthly prepayment and default behavior; delinquency status transitions; loan modification events; termination types including payoff, repurchase, short sale and REO disposition with realized loss</t>
        </is>
      </c>
      <c r="M45" s="28" t="inlineStr">
        <is>
          <t>Ingest loan-level static attributes and join them to a monthly performance panel; represent a loan as a multi-state entity (current, delinquent by bucket, modified, terminated) with typed termination reasons; support loan modification as an event that rewrites rate, term and balance mid-life; compute realized loss net of disposition proceeds and expenses; aggregate loan-level histories into pool-level CPR/CDR/severity series.</t>
        </is>
      </c>
      <c r="N45" s="28" t="inlineStr">
        <is>
          <t>Lets CFDL calibrate and then back-test: derive empirical CPR/CDR/severity vectors from real loans, feed them into a CFDL pool projection, and check the projected pool balance path against the actual observed balance path. This is the strongest available test that CFDL's asset-level state machine reproduces reality rather than just a convention.</t>
        </is>
      </c>
      <c r="O45" s="28" t="inlineStr">
        <is>
          <t>OK</t>
        </is>
      </c>
    </row>
    <row r="46" ht="96" customHeight="1" s="18">
      <c r="A46" s="24" t="n">
        <v>45</v>
      </c>
      <c r="B46" s="24" t="inlineStr">
        <is>
          <t>Credit &amp; Structured Finance (existing pack + roadmap)</t>
        </is>
      </c>
      <c r="C46" s="24" t="inlineStr">
        <is>
          <t>Residential mortgage / agency credit risk transfer</t>
        </is>
      </c>
      <c r="D46" s="24" t="inlineStr">
        <is>
          <t>Freddie Mac Single-Family Loan-Level Dataset (Terms and Conditions + dataset portal)</t>
        </is>
      </c>
      <c r="E46" s="24" t="inlineStr">
        <is>
          <t>Freddie Mac</t>
        </is>
      </c>
      <c r="F46" s="25" t="inlineStr">
        <is>
          <t>https://capitalmarkets.freddiemac.com/crt/docs/pdfs/fre_terms_conditions_sflld.pdf</t>
        </is>
      </c>
      <c r="G46" s="24" t="inlineStr">
        <is>
          <t>free registration</t>
        </is>
      </c>
      <c r="H46" s="24" t="inlineStr">
        <is>
          <t>Quoted: permitted to "retrieve, copy and use the Single-Family Loan-Level Dataset solely for your personal, or for your company's or your organization's internal, purposes related to analyzing or researching credit performance"; may "use the Single-Family Loan-Level Dataset for academic or research purposes, and make your academic or research results and any related Derived Products available to the public, provided that any such distribution is solely for noncommercial purposes"; may "derive data from" and "create products that incorporate data from" the dataset. Prohibited from "licensing, distributing, providing, re-posting, or otherwise making available ... to any third party" and from re-identification. Provided "AS IS". Dataset access portal: https://freddiemac.embs.com/FLoan/menu.php</t>
        </is>
      </c>
      <c r="I46" s="24" t="inlineStr">
        <is>
          <t>full cash flow table available</t>
        </is>
      </c>
      <c r="J46" s="24" t="inlineStr">
        <is>
          <t>Loan-level origination and monthly performance history dataset (empirical)</t>
        </is>
      </c>
      <c r="K46" s="24" t="inlineStr">
        <is>
          <t>Freddie Mac's publicly released loan-level file covering fixed-rate single-family mortgages with origination attributes and full monthly performance histories including delinquency status, modifications, and terminations with loss detail. It is the direct counterpart to the Fannie Mae dataset and is the standard academic benchmark for US mortgage credit modeling.</t>
        </is>
      </c>
      <c r="L46" s="24" t="inlineStr">
        <is>
          <t>Observed monthly prepayment and default; delinquency roll rates; modification events; liquidation with expense and proceeds detail producing realized severity</t>
        </is>
      </c>
      <c r="M46" s="24" t="inlineStr">
        <is>
          <t>Same as the Fannie dataset — multi-state loan lifecycle with typed terminations, mid-life modification, and net loss computation — plus the ability to reconcile two differently-schema'd loan tapes into one canonical CFDL asset representation.</t>
        </is>
      </c>
      <c r="N46" s="24" t="inlineStr">
        <is>
          <t>A second, independent real-world mortgage panel. Running CFDL against both GSE datasets tests that the language's asset model is schema-agnostic and that calibrated projections generalize across issuers. Its explicit permission for public noncommercial research output makes it usable in CFDL's published example deals.</t>
        </is>
      </c>
      <c r="O46" s="24" t="inlineStr">
        <is>
          <t>OK</t>
        </is>
      </c>
    </row>
    <row r="47" ht="96" customHeight="1" s="18">
      <c r="A47" s="28" t="n">
        <v>46</v>
      </c>
      <c r="B47" s="28" t="inlineStr">
        <is>
          <t>Credit &amp; Structured Finance (existing pack + roadmap)</t>
        </is>
      </c>
      <c r="C47" s="28" t="inlineStr">
        <is>
          <t>Residential mortgage credit risk transfer (synthetic RMBS)</t>
        </is>
      </c>
      <c r="D47" s="28" t="inlineStr">
        <is>
          <t>Freddie Mac STACR Deal Documents (Private Placement Memoranda, Trust Agreements, Collateral Administration Agreements)</t>
        </is>
      </c>
      <c r="E47" s="28" t="inlineStr">
        <is>
          <t>Freddie Mac Capital Markets</t>
        </is>
      </c>
      <c r="F47" s="29" t="inlineStr">
        <is>
          <t>https://capitalmarkets.freddiemac.com/crt/securities/deal-documents</t>
        </is>
      </c>
      <c r="G47" s="28" t="inlineStr">
        <is>
          <t>direct download</t>
        </is>
      </c>
      <c r="H47" s="28" t="inlineStr">
        <is>
          <t>Not stated; documents are posted publicly as offering and transaction documents. No registration or paywall observed.</t>
        </is>
      </c>
      <c r="I47" s="28" t="inlineStr">
        <is>
          <t>assumptions and outputs only</t>
        </is>
      </c>
      <c r="J47" s="28" t="inlineStr">
        <is>
          <t>Full transaction legal documentation with reference-tranche loss and principal allocation mechanics</t>
        </is>
      </c>
      <c r="K47" s="28" t="inlineStr">
        <is>
          <t>Freely downloadable PPMs, preliminary PPMs, trust agreements, capital contribution agreements, collateral administration agreements and risk-retention letters for the full STACR series from 2013 to present, including STACR 2026-HQA1, STACR 2026-DNA2 (due March 2046), STACR 2025-DNA4 and STACR 2024-HQA2. Individual PDFs and bulk ZIP downloads are available per deal.</t>
        </is>
      </c>
      <c r="L47" s="28" t="inlineStr">
        <is>
          <t>Hypothetical reference-tranche accounting; senior/subordinate reduction amount allocation; write-down on credit events and write-up on reversals; modification loss amount allocation separate from principal write-down; minimum credit enhancement and delinquency-based sequential-to-pro-rata switching triggers</t>
        </is>
      </c>
      <c r="M47" s="28" t="inlineStr">
        <is>
          <t>Model a synthetic reference tranche whose balance is driven by a reference pool it does not own; apply write-downs and subsequent write-ups to a tranche balance; allocate a modification loss against interest entitlement independently of principal write-down; implement a performance trigger that flips principal allocation between pro rata and sequential; express a lockout and a minimum-credit-enhancement test as gating conditions on subordinate paydown.</t>
        </is>
      </c>
      <c r="N47" s="28" t="inlineStr">
        <is>
          <t>CRT reference-tranche mechanics are the hardest common structure in the market — balances move on events, not just on cash — and are an excellent stress test of whether CFDL can express notional/synthetic tranches and bidirectional balance adjustments. Multiple deals across years let CFDL prove one template parameterizes an entire program.</t>
        </is>
      </c>
      <c r="O47" s="28" t="inlineStr">
        <is>
          <t>OK</t>
        </is>
      </c>
    </row>
    <row r="48" ht="96" customHeight="1" s="18">
      <c r="A48" s="24" t="n">
        <v>47</v>
      </c>
      <c r="B48" s="24" t="inlineStr">
        <is>
          <t>Credit &amp; Structured Finance (existing pack + roadmap)</t>
        </is>
      </c>
      <c r="C48" s="24" t="inlineStr">
        <is>
          <t>Residential mortgage credit risk transfer</t>
        </is>
      </c>
      <c r="D48" s="24" t="inlineStr">
        <is>
          <t>Connecticut Avenue Securities Trust 2025-R03 Preliminary Offering Memorandum</t>
        </is>
      </c>
      <c r="E48" s="24" t="inlineStr">
        <is>
          <t>Fannie Mae Capital Markets</t>
        </is>
      </c>
      <c r="F48" s="25" t="inlineStr">
        <is>
          <t>https://capitalmarkets.fanniemae.com/media/document/pdf/connave-2025-r03-prelim-offering-memorandum.pdf</t>
        </is>
      </c>
      <c r="G48" s="24" t="inlineStr">
        <is>
          <t>direct download</t>
        </is>
      </c>
      <c r="H48" s="24" t="inlineStr">
        <is>
          <t>Not stated; publicly posted offering memorandum.</t>
        </is>
      </c>
      <c r="I48" s="24" t="inlineStr">
        <is>
          <t>assumptions and outputs only</t>
        </is>
      </c>
      <c r="J48" s="24" t="inlineStr">
        <is>
          <t>Structured note offering document with weighted average life, declining balance, credit event sensitivity and yield tables</t>
        </is>
      </c>
      <c r="K48" s="24" t="inlineStr">
        <is>
          <t>A $619,454,000 CRT note offering with Class 2A-1 ($253,942,000, initial credit support 4.20%), Class 2M-1 ($253,942,000, credit support 3.05%) and Class 2M-2 ($111,570,000), where 2M-2 is exchangeable into 2M-2A/2M-2B/2M-2C sub-tranches with staggered payment windows via a Related Combination and Recombination (RCR) mechanism. The 'Prepayment and Yield Considerations' section (from p.170) contains Weighted Average Life Tables, Declining Balances Tables, a Credit Event Sensitivity Table and Yield Tables, with a baseline assumption of 10% CPR calculated from the Closing Date.</t>
        </is>
      </c>
      <c r="L48" s="24" t="inlineStr">
        <is>
          <t>Sequential subordination with stated credit support percentages; tranche write-down on credit events and modification events; write-up on loss reversal; Senior Reduction Amount vs. Subordinate Reduction Amount allocation; RCR tranche exchange/recombination; WAL and yield sensitivity across CPR and default grids</t>
        </is>
      </c>
      <c r="M48" s="24" t="inlineStr">
        <is>
          <t>Express exchangeable/combinable tranches where a class can be split into sub-classes with different payment windows and coupons that must sum back to the parent; run a deal across a two-dimensional sensitivity grid (prepayment speed × credit event rate) and emit WAL, declining balance and yield per class; apply write-up amounts that restore previously written-down principal; compute yield-to-investor given a purchase price and a generated cash flow vector.</t>
        </is>
      </c>
      <c r="N48" s="24" t="inlineStr">
        <is>
          <t>Provides published WAL and declining-balance tables at stated assumptions, so CFDL can reproduce the issuer's own numbers cell by cell — a genuine third-party numerical check on a live, complex deal. The RCR exchange feature specifically tests whether CFDL can represent tranches as combinable notional claims.</t>
        </is>
      </c>
      <c r="O48" s="24" t="inlineStr">
        <is>
          <t>OK</t>
        </is>
      </c>
    </row>
    <row r="49" ht="96" customHeight="1" s="18">
      <c r="A49" s="28" t="n">
        <v>48</v>
      </c>
      <c r="B49" s="28" t="inlineStr">
        <is>
          <t>Credit &amp; Structured Finance (existing pack + roadmap)</t>
        </is>
      </c>
      <c r="C49" s="28" t="inlineStr">
        <is>
          <t>Subprime auto loan ABS</t>
        </is>
      </c>
      <c r="D49" s="28" t="inlineStr">
        <is>
          <t>AmeriCredit Automobile Receivables Trust 2017-1 Prospectus (Form 424B5)</t>
        </is>
      </c>
      <c r="E49" s="28" t="inlineStr">
        <is>
          <t>SEC EDGAR / AmeriCredit (GM Financial)</t>
        </is>
      </c>
      <c r="F49" s="29" t="inlineStr">
        <is>
          <t>https://www.sec.gov/Archives/edgar/data/1694010/000119312517045288/d269131d424b5.htm</t>
        </is>
      </c>
      <c r="G49" s="28" t="inlineStr">
        <is>
          <t>direct download</t>
        </is>
      </c>
      <c r="H49" s="28" t="inlineStr">
        <is>
          <t>US government public filing on EDGAR; no access restriction. Not stated whether the underlying document text carries issuer copyright — treat filing content as public record.</t>
        </is>
      </c>
      <c r="I49" s="28" t="inlineStr">
        <is>
          <t>assumptions and outputs only</t>
        </is>
      </c>
      <c r="J49" s="28" t="inlineStr">
        <is>
          <t>Public ABS prospectus with full priority-of-payments waterfall and credit enhancement specification</t>
        </is>
      </c>
      <c r="K49" s="28" t="inlineStr">
        <is>
          <t>A $930,000,000 publicly offered note issuance against a $1.011 billion subprime auto receivables pool (weighted average APR 12.71%, weighted average remaining term 66 months, weighted average FICO 575). Capital structure: A-1 $182M at 0.92%, A-2-A $230M at 1.51%, A-2-B $75M at LIBOR+30bp, A-3 $189M at 1.87%, B $73.4M at 2.30%, C $91.1M at 2.71%, D $89.6M at 3.13%, and non-offered E $23.8M at 0.00%.</t>
        </is>
      </c>
      <c r="L49" s="28" t="inlineStr">
        <is>
          <t>22-step priority of payments; servicer and trustee fees ahead of noteholders; sequential interest then sequential principal by class seniority; overcollateralization building from ~5.75% initial to a 14.75% target; 2.0% funded reserve account; subordination; excess cash flow deployment to build OC (turbo)</t>
        </is>
      </c>
      <c r="M49" s="28" t="inlineStr">
        <is>
          <t>Express a long ordered waterfall where each step is a capped draw against a shrinking available-funds balance; support both fixed-rate and floating-rate (index + spread) tranches in the same structure; model overcollateralization as a target level that excess spread turbos toward and that then releases cash once reached; model a reserve account with a required balance, draw priority and replenishment step; handle a retained equity class with a 0.00% stated coupon.</t>
        </is>
      </c>
      <c r="N49" s="28" t="inlineStr">
        <is>
          <t>A canonical, fully specified real waterfall in a free public document. If CFDL can encode all 22 steps declaratively and produce a stack that satisfies the OC target trajectory, that is strong evidence the language handles mainstream consumer ABS. The mixed fixed/floating A-2 split also tests index-linked coupon support.</t>
        </is>
      </c>
      <c r="O49" s="28" t="inlineStr">
        <is>
          <t>OK</t>
        </is>
      </c>
    </row>
    <row r="50" ht="96" customHeight="1" s="18">
      <c r="A50" s="24" t="n">
        <v>49</v>
      </c>
      <c r="B50" s="24" t="inlineStr">
        <is>
          <t>Credit &amp; Structured Finance (existing pack + roadmap)</t>
        </is>
      </c>
      <c r="C50" s="24" t="inlineStr">
        <is>
          <t>Auto lease ABS (residual-value-dependent)</t>
        </is>
      </c>
      <c r="D50" s="24" t="inlineStr">
        <is>
          <t>BMW Vehicle Lease Trust 2023-2 Prospectus (Form 424B5)</t>
        </is>
      </c>
      <c r="E50" s="24" t="inlineStr">
        <is>
          <t>SEC EDGAR / BMW Financial Services NA, LLC</t>
        </is>
      </c>
      <c r="F50" s="25" t="inlineStr">
        <is>
          <t>https://www.sec.gov/Archives/edgar/data/1126530/000092963823002717/bmw2023-2_424b5.htm</t>
        </is>
      </c>
      <c r="G50" s="24" t="inlineStr">
        <is>
          <t>direct download</t>
        </is>
      </c>
      <c r="H50" s="24" t="inlineStr">
        <is>
          <t>US government public filing on EDGAR; no access restriction.</t>
        </is>
      </c>
      <c r="I50" s="24" t="inlineStr">
        <is>
          <t>assumptions and outputs only</t>
        </is>
      </c>
      <c r="J50" s="24" t="inlineStr">
        <is>
          <t>Public ABS prospectus with securitization-value amortization, residual value mechanics and priority of payments</t>
        </is>
      </c>
      <c r="K50" s="24" t="inlineStr">
        <is>
          <t>$1,250,000,000 of notes (A-1 $187.5M at 5.687% act/360; A-2 $468.75M at 5.95% 30/360; A-3 $468.75M at 5.99%; A-4 $125M at 5.98%) backed by 32,105 leases with aggregate securitization value of $1,439,263,097.37, weighted average original term 36 months and remaining term 24 months. Discounted residual value is $823,565,557.68, approximately 57.22% of securitization value. Target overcollateralization is 15.65% of cutoff-date securitization value; reserve fund minimum is 0.25%.</t>
        </is>
      </c>
      <c r="L50" s="24" t="inlineStr">
        <is>
          <t>Securitization value as a discounted sum of remaining lease payments plus discounted residual; first-priority principal triggered when note balance exceeds securitization value; regular principal driven by excess securitization value over the OC target; sequential A-1 through A-4 paydown; pari passu interest across all classes; servicer advance reimbursement ahead of servicing fee; capped ($250,000/yr) trustee and administrator fees with an uncapped arrears step lower in the waterfall; residual capped at the lower of inception ALG residual or July/August 2023 ALG value</t>
        </is>
      </c>
      <c r="M50" s="24" t="inlineStr">
        <is>
          <t>Discount a stream of contractual lease payments plus a terminal residual at a stated securitization rate to produce a synthetic asset balance; express a principal payment defined as a deficiency (note balance minus asset value) rather than as collections; express a second principal payment defined as an excess over a target OC percentage; support fee caps with overflow to a lower waterfall priority; model residual realization as min(contract residual, market index value) with the shortfall flowing to enhancement; mix act/360 and 30/360 accrual conventions within one deal.</t>
        </is>
      </c>
      <c r="N50" s="24" t="inlineStr">
        <is>
          <t>Lease ABS is structurally distinct from loan ABS because the asset balance is a discounted valuation, not an amortizing principal balance, and a majority of value (57%) sits in a terminal residual. This is a sharp test of whether CFDL can define asset value declaratively via discounting and drive principal off balance-vs-value deficiencies. The capped-fee-with-arrears-overflow pattern is also a good waterfall expressiveness test.</t>
        </is>
      </c>
      <c r="O50" s="24" t="inlineStr">
        <is>
          <t>OK</t>
        </is>
      </c>
    </row>
    <row r="51" ht="96" customHeight="1" s="18">
      <c r="A51" s="28" t="n">
        <v>50</v>
      </c>
      <c r="B51" s="28" t="inlineStr">
        <is>
          <t>Credit &amp; Structured Finance (existing pack + roadmap)</t>
        </is>
      </c>
      <c r="C51" s="28" t="inlineStr">
        <is>
          <t>Credit card ABS (revolving master trust)</t>
        </is>
      </c>
      <c r="D51" s="28" t="inlineStr">
        <is>
          <t>American Express Credit Account Master Trust, Series 2017-4 Prospectus (Form 424B5)</t>
        </is>
      </c>
      <c r="E51" s="28" t="inlineStr">
        <is>
          <t>SEC EDGAR / American Express</t>
        </is>
      </c>
      <c r="F51" s="29" t="inlineStr">
        <is>
          <t>https://www.sec.gov/Archives/edgar/data/1283434/000119312517179867/d363726d424b5.htm</t>
        </is>
      </c>
      <c r="G51" s="28" t="inlineStr">
        <is>
          <t>direct download</t>
        </is>
      </c>
      <c r="H51" s="28" t="inlineStr">
        <is>
          <t>US government public filing on EDGAR; no access restriction.</t>
        </is>
      </c>
      <c r="I51" s="28" t="inlineStr">
        <is>
          <t>assumptions and outputs only</t>
        </is>
      </c>
      <c r="J51" s="28" t="inlineStr">
        <is>
          <t>Master trust series prospectus with collection allocation and pay-out event specification</t>
        </is>
      </c>
      <c r="K51" s="28" t="inlineStr">
        <is>
          <t>Series 2017-4 issued 30 May 2017 from a master trust holding $24,569,322,283 of total receivables, comprising Class A $1,600,000,000 at 1.64%, Class B $68,572,000 at 1.82% (both with expected final payment 15 May 2019) and a subordinated Collateral Interest of $160,001,000 with expected final December 2021. The document specifies a four-step allocation methodology for collections and defines pay-out events in the Series Provisions.</t>
        </is>
      </c>
      <c r="L51" s="28" t="inlineStr">
        <is>
          <t>Separate allocation of finance charge collections and principal collections; investor vs. seller interest allocation across a revolving master trust; excess spread computation and application; revolving period followed by accumulation/controlled amortization; early amortization ('pay-out') event triggers; subordination via a collateral interest</t>
        </is>
      </c>
      <c r="M51" s="28" t="inlineStr">
        <is>
          <t>Model a revolving pool where the asset balance is replenished by new receivables rather than amortizing; split collections into two economically distinct streams (finance charge and principal) with separate waterfalls; allocate between a series investor interest and a fluctuating seller interest by floating allocation percentage; support a multi-phase deal lifecycle (revolving → accumulation → amortization) where the phase changes on a trigger; compute excess spread as portfolio yield minus coupon minus servicing minus charge-offs and route it to enhancement.</t>
        </is>
      </c>
      <c r="N51" s="28" t="inlineStr">
        <is>
          <t>Credit card master trusts are the archetype of a non-amortizing, phase-switching structure and are where most simple cash flow languages break. Encoding this proves CFDL supports revolving pools, dual collection streams, floating allocation percentages, and lifecycle state transitions — none of which appear in a plain amortizing deal.</t>
        </is>
      </c>
      <c r="O51" s="28" t="inlineStr">
        <is>
          <t>OK</t>
        </is>
      </c>
    </row>
    <row r="52" ht="96" customHeight="1" s="18">
      <c r="A52" s="24" t="n">
        <v>51</v>
      </c>
      <c r="B52" s="24" t="inlineStr">
        <is>
          <t>Credit &amp; Structured Finance (existing pack + roadmap)</t>
        </is>
      </c>
      <c r="C52" s="24" t="inlineStr">
        <is>
          <t>Auto loan ABS</t>
        </is>
      </c>
      <c r="D52" s="24" t="inlineStr">
        <is>
          <t>Auto Receivables Trust — Exhibit 99.4, Weighted Average Life of the Notes (Outstanding) tables</t>
        </is>
      </c>
      <c r="E52" s="24" t="inlineStr">
        <is>
          <t>SEC EDGAR (auto ABS registrant, CIK 1477336)</t>
        </is>
      </c>
      <c r="F52" s="25" t="inlineStr">
        <is>
          <t>https://www.sec.gov/Archives/edgar/data/1477336/000119312518274846/d623786dex994.htm</t>
        </is>
      </c>
      <c r="G52" s="24" t="inlineStr">
        <is>
          <t>direct download</t>
        </is>
      </c>
      <c r="H52" s="24" t="inlineStr">
        <is>
          <t>US government public filing on EDGAR; no access restriction.</t>
        </is>
      </c>
      <c r="I52" s="24" t="inlineStr">
        <is>
          <t>full cash flow table available</t>
        </is>
      </c>
      <c r="J52" s="24" t="inlineStr">
        <is>
          <t>Published prepayment sensitivity tables — percent of original balance outstanding by distribution date and weighted average life, by note class and prepayment speed</t>
        </is>
      </c>
      <c r="K52" s="24" t="inlineStr">
        <is>
          <t>Automotive receivables pooled as of 31 August 2018 with distributions beginning 15 October 2018, across six note classes (A-1 through D) with coupons from 1.10% to 2.91%. The exhibit tabulates, for each class, percent of principal outstanding at every monthly distribution date under seven Absolute Prepayment Model speeds (0.00%, 0.50%, 0.90%, 1.10%, 1.30%, 1.50%, 1.80% ABS), plus weighted average life to maturity both with and without exercise of the servicer clean-up call. Example: Class A-2 shows 87.37% outstanding on 10/15/18 and WAL of 0.37 years at 0% ABS, versus 68.91% outstanding and WAL of 0.18 years at 1.80% ABS.</t>
        </is>
      </c>
      <c r="L52" s="24" t="inlineStr">
        <is>
          <t>Absolute Prepayment Model (ABS) speed — a convention distinct from CPR/PSA, expressed as a monthly percentage of original units; sequential-pay class-by-class amortization; weighted average life computation; optional servicer clean-up call and its effect on WAL</t>
        </is>
      </c>
      <c r="M52" s="24" t="inlineStr">
        <is>
          <t>Support the ABS prepayment convention alongside CPR/PSA and convert between them; generate a full percent-of-original-balance schedule per tranche across a parameter sweep; compute weighted average life from a principal schedule; model an optional redemption (clean-up call) at a stated pool-balance threshold and produce both called and uncalled variants of every metric.</t>
        </is>
      </c>
      <c r="N52" s="24" t="inlineStr">
        <is>
          <t>This is a rare free document containing the complete numeric grid, not just summary WALs — CFDL can reproduce every cell of a seven-speed × six-class × full-maturity table published by the issuer itself. It is the single best available period-by-period liability-side validation target for auto ABS, and it forces support for the ABS speed convention and clean-up call optionality.</t>
        </is>
      </c>
      <c r="O52" s="24" t="inlineStr">
        <is>
          <t>OK</t>
        </is>
      </c>
    </row>
    <row r="53" ht="96" customHeight="1" s="18">
      <c r="A53" s="28" t="n">
        <v>52</v>
      </c>
      <c r="B53" s="28" t="inlineStr">
        <is>
          <t>Credit &amp; Structured Finance (existing pack + roadmap)</t>
        </is>
      </c>
      <c r="C53" s="28" t="inlineStr">
        <is>
          <t>Private student loan ABS</t>
        </is>
      </c>
      <c r="D53" s="28" t="inlineStr">
        <is>
          <t>Sallie Mae Smart Option Student Loan Historical Performance Data (Regulation AB static pool disclosure)</t>
        </is>
      </c>
      <c r="E53" s="28" t="inlineStr">
        <is>
          <t>Sallie Mae (SLM Corporation)</t>
        </is>
      </c>
      <c r="F53" s="29" t="inlineStr">
        <is>
          <t>https://www.salliemae.com/content/dam/slm/writtencontent/Reports/investors/Reg-AB-Loan-Performance-Data-201812-FINAL.pdf</t>
        </is>
      </c>
      <c r="G53" s="28" t="inlineStr">
        <is>
          <t>direct download</t>
        </is>
      </c>
      <c r="H53" s="28" t="inlineStr">
        <is>
          <t>Not stated; posted publicly as Regulation AB investor disclosure.</t>
        </is>
      </c>
      <c r="I53" s="28" t="inlineStr">
        <is>
          <t>full cash flow table available</t>
        </is>
      </c>
      <c r="J53" s="28" t="inlineStr">
        <is>
          <t>Static pool / vintage cohort performance disclosure with default and prepayment triangles</t>
        </is>
      </c>
      <c r="K53" s="28" t="inlineStr">
        <is>
          <t>Static pool performance as of 31 December 2018 for Smart Option private student loans, broken out by product variant (Interest Only, Fixed Payment, Deferred Payment) and by cosigner presence. A representative cohort triangle shows the 2010 P&amp;I repayment vintage with $428 million of disbursed principal entering repayment, periodic default percentages by years since first P&amp;I payment (Year 0 = 1.2%, Year 1 = 1.3%, Year 2 = 1.2%) accumulating to 7.2% total cumulative default.</t>
        </is>
      </c>
      <c r="L53" s="28" t="inlineStr">
        <is>
          <t>Vintage/cohort static pool analysis; default timing curves indexed to years since entering repayment rather than to loan age; deferment and forbearance periods preceding amortization; delinquency bucketing (31-60, 61-90, 91+ days as % of P&amp;I repayment balance); CPR by disbursement vintage; recovery rates on charged-off balances</t>
        </is>
      </c>
      <c r="M53" s="28" t="inlineStr">
        <is>
          <t>Represent a loan whose clock has multiple phases (in-school/deferment, interest-only, then full P&amp;I) where hazard curves are indexed to the repayment start rather than origination; support forbearance as a state that suspends amortization while interest may capitalize; slice a pool into cohorts by vintage and attribute (cosigner, product type) and produce per-cohort curves; express cumulative default as an integral of a periodic default vector; apply recovery rates with lag to charged-off balances.</t>
        </is>
      </c>
      <c r="N53" s="28" t="inlineStr">
        <is>
          <t>Gives CFDL real published cumulative default and CPR curves to calibrate against, and specifically exercises multi-phase loan lifecycles with deferment, interest capitalization and forbearance — mechanics absent from mortgage and auto deals. Reproducing the 2010 vintage's 7.2% cumulative default from the disclosed periodic vector is a clean arithmetic check.</t>
        </is>
      </c>
      <c r="O53" s="28" t="inlineStr">
        <is>
          <t>OK</t>
        </is>
      </c>
    </row>
    <row r="54" ht="96" customHeight="1" s="18">
      <c r="A54" s="24" t="n">
        <v>53</v>
      </c>
      <c r="B54" s="24" t="inlineStr">
        <is>
          <t>Credit &amp; Structured Finance (existing pack + roadmap)</t>
        </is>
      </c>
      <c r="C54" s="24" t="inlineStr">
        <is>
          <t>Bank loan portfolios — corporate, CRE, residential mortgage, credit card</t>
        </is>
      </c>
      <c r="D54" s="24" t="inlineStr">
        <is>
          <t>2023 Supervisory Stress Test Methodology — Modeled Loss Rates</t>
        </is>
      </c>
      <c r="E54" s="24" t="inlineStr">
        <is>
          <t>Board of Governors of the Federal Reserve System</t>
        </is>
      </c>
      <c r="F54" s="25" t="inlineStr">
        <is>
          <t>https://www.federalreserve.gov/publications/2023-june-supervisory-stress-test-methodology-modeled-loss-rates.htm</t>
        </is>
      </c>
      <c r="G54" s="24" t="inlineStr">
        <is>
          <t>free to view, no download</t>
        </is>
      </c>
      <c r="H54" s="24" t="inlineStr">
        <is>
          <t>US federal government publication; generally public domain in the United States. Not stated explicitly on the page.</t>
        </is>
      </c>
      <c r="I54" s="24" t="inlineStr">
        <is>
          <t>assumptions and outputs only</t>
        </is>
      </c>
      <c r="J54" s="24" t="inlineStr">
        <is>
          <t>Published supervisory loss rates by loan segment under the severely adverse scenario, with hypothetical portfolio outputs</t>
        </is>
      </c>
      <c r="K54" s="24" t="inlineStr">
        <is>
          <t>Discloses nine-quarter cumulative loss rates under the 2022 severely adverse scenario for segmented hypothetical portfolios. Corporate loans across eight categories: financial secured investment grade 4.3%, financial unsecured non-investment grade 6.4%, nonfinancial secured investment grade 1.3%, nonfinancial unsecured non-investment grade 7.6%; hypothetical portfolios at 2.3% (lower risk), 6.3% (typical), 9.3% (higher risk). CRE across nine categories: hotel/retail/office with ≤3 years to maturity and ≤70% LTV at 14.2%, construction at 10.4%; portfolios 4.4% / 5.2% / 16.5%. First-lien mortgage: LTV ≤80% with FICO &lt;680 at 3.0%, LTV &gt;80% with FICO &lt;680 at 6.6%; portfolios 1.1% / 1.3% / 3.1%. Credit cards across four FICO bands at roughly 10-15%.</t>
        </is>
      </c>
      <c r="L54" s="24" t="inlineStr">
        <is>
          <t>Segment-level cumulative loss rate applied over a nine-quarter horizon; loss rate defined as cumulative projected losses divided by initial balance; portfolio aggregation from segment-level rates with percentile distributions; scenario-conditional (severely adverse) loss projection</t>
        </is>
      </c>
      <c r="M54" s="24" t="inlineStr">
        <is>
          <t>Attach loss assumptions to loans by multi-dimensional segmentation (LTV band × FICO band, or sector × security × rating, or property type × maturity × LTV); apply a cumulative loss rate over a defined horizon and translate it into a periodic loss vector; aggregate segment losses to a portfolio loss rate weighted by balance; run the same portfolio under named macro scenarios and report loss rates per scenario.</t>
        </is>
      </c>
      <c r="N54" s="24" t="inlineStr">
        <is>
          <t>A rare case where a regulator publishes actual numeric loss rates for defined, reconstructable portfolio segments. CFDL can build the stated hypothetical portfolios, apply the disclosed segment rates, and check that its aggregation reproduces the published 2.3%/6.3%/9.3%-style portfolio figures — validating segmentation and weighted aggregation logic against an authoritative source.</t>
        </is>
      </c>
      <c r="O54" s="24" t="inlineStr">
        <is>
          <t>OK</t>
        </is>
      </c>
    </row>
    <row r="55" ht="96" customHeight="1" s="18">
      <c r="A55" s="28" t="n">
        <v>54</v>
      </c>
      <c r="B55" s="28" t="inlineStr">
        <is>
          <t>Credit &amp; Structured Finance (existing pack + roadmap)</t>
        </is>
      </c>
      <c r="C55" s="28" t="inlineStr">
        <is>
          <t>Bank loan portfolios — first-lien mortgage, CRE, corporate, credit card, auto</t>
        </is>
      </c>
      <c r="D55" s="28" t="inlineStr">
        <is>
          <t>Dodd-Frank Act Stress Test 2021: Supervisory Stress Test Methodology</t>
        </is>
      </c>
      <c r="E55" s="28" t="inlineStr">
        <is>
          <t>Board of Governors of the Federal Reserve System</t>
        </is>
      </c>
      <c r="F55" s="29" t="inlineStr">
        <is>
          <t>https://www.federalreserve.gov/publications/files/2021-april-supervisory-stress-test-methodology.pdf</t>
        </is>
      </c>
      <c r="G55" s="28" t="inlineStr">
        <is>
          <t>direct download</t>
        </is>
      </c>
      <c r="H55" s="28" t="inlineStr">
        <is>
          <t>US federal government publication; generally public domain in the United States. Not stated explicitly.</t>
        </is>
      </c>
      <c r="I55" s="28" t="inlineStr">
        <is>
          <t>methodology only</t>
        </is>
      </c>
      <c r="J55" s="28" t="inlineStr">
        <is>
          <t>Published econometric model specification for credit loss projection (PD/LGD/EAD and transition models)</t>
        </is>
      </c>
      <c r="K55" s="28" t="inlineStr">
        <is>
          <t>Specifies the supervisory credit loss models used for DFAST. First-lien mortgage uses a competing-risks framework built from a system of five binomial logit models producing transitions among current, impaired (90-179 DPD), default (180+ DPD) and paid off, with separate fixed- and adjustable-rate models, quality strata (prime, Alt-A, subprime) and state/county unemployment and house price inputs; LGD is a two-step accelerated-failure-time liquidation timeline model plus a loss severity model. CRE PD uses binomial logit with a loan-age function, LGD uses a Tobit model to accommodate zero-loss outcomes, with separate income-producing and construction/land equations. Corporate PD derives from a structural firm-value model, with LGD a function of PD adjusted for country and lien, and EAD splitting closed-end (outstanding balance) from revolving (balance plus drawdown rate times unfunded commitment). Equations 3-11 are given; regression coefficients are not disclosed.</t>
        </is>
      </c>
      <c r="L55" s="28" t="inlineStr">
        <is>
          <t>Competing-risks multi-state transition modeling; loan-age hazard functions; accelerated failure time liquidation timing; Tobit-censored severity; expected loss as PD × LGD × EAD; EAD with committed-but-undrawn exposure and a drawdown rate; macro-conditional (unemployment, HPI, vacancy, rents) hazard drivers</t>
        </is>
      </c>
      <c r="M55" s="28" t="inlineStr">
        <is>
          <t>Represent a loan as a Markov-style multi-state entity with explicitly parameterized transition probabilities among current/delinquent/default/prepaid; drive those transitions from exogenous macro time series joined by geography; separate default timing from liquidation timing so recovery lands with a modeled lag; express exposure at default as drawn balance plus a drawdown fraction of an undrawn commitment (essential for revolvers and delayed-draw term loans in private credit); compose PD, LGD and EAD as independently specified functions.</t>
        </is>
      </c>
      <c r="N55" s="28" t="inlineStr">
        <is>
          <t>Defines the reference architecture regulators expect for credit loss modeling. It gives CFDL a specification to prove it can express — competing risks, macro-linked hazards, separated default and liquidation timing, and commitment-based EAD — which together cover the private credit / direct lending revolver and delayed-draw cases. Note that coefficients are withheld, so this validates structure and expressiveness, not numbers.</t>
        </is>
      </c>
      <c r="O55" s="28" t="inlineStr">
        <is>
          <t>OK</t>
        </is>
      </c>
    </row>
    <row r="56" ht="96" customHeight="1" s="18">
      <c r="A56" s="24" t="n">
        <v>55</v>
      </c>
      <c r="B56" s="24" t="inlineStr">
        <is>
          <t>Credit &amp; Structured Finance (existing pack + roadmap)</t>
        </is>
      </c>
      <c r="C56" s="24" t="inlineStr">
        <is>
          <t>European/UK ABS across asset classes (RMBS, auto, consumer, SME, CMBS) plus covered bonds</t>
        </is>
      </c>
      <c r="D56" s="24" t="inlineStr">
        <is>
          <t>Detailed transparency requirements for asset-backed securities and covered bonds (Market Notice, 11 October 2019)</t>
        </is>
      </c>
      <c r="E56" s="24" t="inlineStr">
        <is>
          <t>Bank of England</t>
        </is>
      </c>
      <c r="F56" s="25" t="inlineStr">
        <is>
          <t>https://www.bankofengland.co.uk/markets/market-notices/2019/detailed-transparency-requirements-for-abs-and-covered-bonds-october-2019</t>
        </is>
      </c>
      <c r="G56" s="24" t="inlineStr">
        <is>
          <t>free to view, no download</t>
        </is>
      </c>
      <c r="H56" s="24" t="inlineStr">
        <is>
          <t>Not stated on the notice; Bank of England content is generally published under its standard terms of use. Loan-level templates are separately downloadable (e.g. residential-mortgages-loan-level-data-template.xlsx from the eligible collateral page).</t>
        </is>
      </c>
      <c r="I56" s="24" t="inlineStr">
        <is>
          <t>methodology only</t>
        </is>
      </c>
      <c r="J56" s="24" t="inlineStr">
        <is>
          <t>Regulatory mandate defining the required contents of a publicly available deal cash flow / waterfall model</t>
        </is>
      </c>
      <c r="K56" s="24" t="inlineStr">
        <is>
          <t>To be eligible as Bank of England collateral, ABS issuers must satisfy detailed transparency requirements. Quoted: "A cash flow model is required to be made freely available by or on behalf of the transaction originator, arranger or cash manager." The model must include asset-specific inputs (principal, interest, delinquencies, defaults), liability-specific inputs (note balances, trigger breaches), sundry factors (interest rates, exchange rates), complete waterfall payment flows and account balances across the transaction's life, all structural features affecting cash flows, and transparent calculations visible to users. Issuers must also supply anonymized loan-level data on the published per-asset-class template with mandatory fields completed, and standardized investor reports at least quarterly, "downloadable in a recognisable spreadsheet format (e.g. .xls, .xlsx, .csv)" covering asset performance, cash flow allocation, triggers, counterparties and swap details. The cash flow model requirement does not apply to covered bonds.</t>
        </is>
      </c>
      <c r="L56" s="24" t="inlineStr">
        <is>
          <t>Full-lifetime waterfall projection; trigger breach as an explicit liability-side input; account balance tracking (reserve, liquidity, principal/revenue ledgers); FX and interest rate inputs implying multi-currency and swap-hedged structures; user-transparent (non-black-box) calculation</t>
        </is>
      </c>
      <c r="M56" s="24" t="inlineStr">
        <is>
          <t>Produce a complete, inspectable period-by-period waterfall and account ledger for the whole life of a deal from declared inputs; accept externally supplied trigger states as inputs as well as computing them internally; carry multiple named accounts/ledgers with their own balances and priorities; support currency and rate inputs feeding swap legs; render calculations in a form a third party can audit step by step.</t>
        </is>
      </c>
      <c r="N56" s="24" t="inlineStr">
        <is>
          <t>This is effectively a regulator-written requirements specification for exactly what CFDL is trying to be, and it is a strong external justification for CFDL's transparency-first design. CFDL can claim conformance by demonstrating that a deal expressed in the language emits every element the Bank of England mandates — a concrete, citable compliance target rather than a vague claim of expressiveness.</t>
        </is>
      </c>
      <c r="O56" s="24" t="inlineStr">
        <is>
          <t>OK</t>
        </is>
      </c>
    </row>
    <row r="57" ht="96" customHeight="1" s="18">
      <c r="A57" s="28" t="n">
        <v>56</v>
      </c>
      <c r="B57" s="28" t="inlineStr">
        <is>
          <t>Credit &amp; Structured Finance (existing pack + roadmap)</t>
        </is>
      </c>
      <c r="C57" s="28" t="inlineStr">
        <is>
          <t>Australian RMBS</t>
        </is>
      </c>
      <c r="D57" s="28" t="inlineStr">
        <is>
          <t>Waterfall Template for Repo-Eligible RMBS (specification for issuer-published cash flow waterfall models)</t>
        </is>
      </c>
      <c r="E57" s="28" t="inlineStr">
        <is>
          <t>Reserve Bank of Australia</t>
        </is>
      </c>
      <c r="F57" s="29" t="inlineStr">
        <is>
          <t>https://rba.gov.au/mkt-operations/pdf/waterfall-template-for-repo-eligible-rmbs.pdf</t>
        </is>
      </c>
      <c r="G57" s="28" t="inlineStr">
        <is>
          <t>direct download</t>
        </is>
      </c>
      <c r="H57" s="28" t="inlineStr">
        <is>
          <t>Not stated in the draft. The document requires that issuer waterfall code "should be made completely visible and transparent" and published publicly.</t>
        </is>
      </c>
      <c r="I57" s="28" t="inlineStr">
        <is>
          <t>methodology only</t>
        </is>
      </c>
      <c r="J57" s="28" t="inlineStr">
        <is>
          <t>Standardized specification for a machine-readable, publicly disclosed cash flow waterfall model</t>
        </is>
      </c>
      <c r="K57" s="28" t="inlineStr">
        <is>
          <t>An April 2013 RBA specification requiring issuers of repo-eligible RMBS to publish their cash flow waterfall as an Excel workbook with VBA code in a 'Waterfall_1' module. Issuers must report defined inputs (collection dates, pool balances, interest rates, trigger conditions) and defined outputs (coupon and principal payments, chargeoffs, closing balances), modeling sequential waterfalls that pay senior fees, then note coupons, then principal, with switching logic driven by performance metrics or counterparty downgrade triggers. Appendix B provides only a code skeleton; no worked numeric example is included.</t>
        </is>
      </c>
      <c r="L57" s="28" t="inlineStr">
        <is>
          <t>Sequential waterfall with senior fees → coupon → principal ordering; pro-rata to sequential switching on performance triggers; counterparty-downgrade-driven structural changes; chargeoff allocation to notes; cumulative loss tracking across reporting periods</t>
        </is>
      </c>
      <c r="M57" s="28" t="inlineStr">
        <is>
          <t>Define a stable, named input/output interface for a deal model so that independent implementations are comparable; express counterparty rating downgrade as a trigger that alters the waterfall (e.g. forcing collateral posting or reserve funding); allocate chargeoffs to note balances in reverse seniority; maintain cumulative loss state across periods; keep the entire waterfall inspectable as source rather than compiled logic.</t>
        </is>
      </c>
      <c r="N57" s="28" t="inlineStr">
        <is>
          <t>Together with the Bank of England notice, this establishes that regulators in two jurisdictions independently specify a standard input/output contract for waterfall models. CFDL can adopt this contract as its canonical deal interface, giving it a credible, externally-defined schema and an interoperability story — a CFDL model that satisfies the RBA template can substitute for an issuer's Excel/VBA submission.</t>
        </is>
      </c>
      <c r="O57" s="28" t="inlineStr">
        <is>
          <t>OK</t>
        </is>
      </c>
    </row>
    <row r="58" ht="96" customHeight="1" s="18">
      <c r="A58" s="24" t="n">
        <v>57</v>
      </c>
      <c r="B58" s="24" t="inlineStr">
        <is>
          <t>Credit &amp; Structured Finance (existing pack + roadmap)</t>
        </is>
      </c>
      <c r="C58" s="24" t="inlineStr">
        <is>
          <t>Government-guaranteed residential mortgage (FHA/VA/USDA) MBS, HMBS reverse mortgage, and multifamily</t>
        </is>
      </c>
      <c r="D58" s="24" t="inlineStr">
        <is>
          <t>Ginnie Mae Disclosure Data Download — file layouts and sample files (including Pool RPB, Tax and Factor History)</t>
        </is>
      </c>
      <c r="E58" s="24" t="inlineStr">
        <is>
          <t>Ginnie Mae (Government National Mortgage Association)</t>
        </is>
      </c>
      <c r="F58" s="25" t="inlineStr">
        <is>
          <t>https://www.ginniemae.gov/data_and_reports/disclosure_data/Pages/bulk_data_download_layout.aspx</t>
        </is>
      </c>
      <c r="G58" s="24" t="inlineStr">
        <is>
          <t>direct download</t>
        </is>
      </c>
      <c r="H58" s="24" t="inlineStr">
        <is>
          <t>Not stated; US government agency disclosure data published for investors. No paywall or registration observed on the layout/sample page.</t>
        </is>
      </c>
      <c r="I58" s="24" t="inlineStr">
        <is>
          <t>full cash flow table available</t>
        </is>
      </c>
      <c r="J58" s="24" t="inlineStr">
        <is>
          <t>Pool- and loan-level disclosure data with period-by-period factor and remaining principal balance history</t>
        </is>
      </c>
      <c r="K58" s="24" t="inlineStr">
        <is>
          <t>Public bulk disclosure covering MBS single family (daily and monthly new issues and portfolio at pool, supplemental and loan level, plus loan liquidations), HMBS, multifamily (pool and loan data with prepayment penalty tracking and terminated pools), Platinum, factor files for Ginnie I, Ginnie II, Platinum and REMIC, and other files including issuer information, forbearance data, loan payment history, loan performance and conditional prepayment rates. Each file has a PDF layout paired with a downloadable .txt sample. The Pool RPB, Tax and Factor History file carries 16 pipe-delimited fields with one record per reporting period, including CUSIP, pool number, issue and maturity dates, original aggregate amount, current interest rate, remaining principal balance, pool factor, income factor, expense factor, OID and Market Discount Fraction.</t>
        </is>
      </c>
      <c r="L58" s="24" t="inlineStr">
        <is>
          <t>Pool factor time series; remaining principal balance amortization including prepayment; realized CPR published by the agency; multifamily prepayment penalty (lockout and declining premium) tracking; HMBS negative amortization / reverse mortgage balance accretion; forbearance; loan liquidation events</t>
        </is>
      </c>
      <c r="M58" s="24" t="inlineStr">
        <is>
          <t>Reconstruct a pool balance path from published factors and validate against amortization plus prepayment; support prepayment penalty schedules (lockout periods and step-down premiums) as cash flow items; represent a negatively-amortizing reverse mortgage where balance grows with accrued interest and MIP until a termination event; handle pool-level aggregation from loan-level records including liquidations; consume pipe-delimited fixed-schema tapes.</t>
        </is>
      </c>
      <c r="N58" s="24" t="inlineStr">
        <is>
          <t>Ginnie Mae publishes both the realized CPR and the actual factor history for the same pools, so CFDL can take a pool's loan tape, project it at the published CPR, and check the resulting factor against the agency's published factor for each month — a true independent numerical reconciliation. HMBS additionally tests negative amortization, which most amortization engines cannot express.</t>
        </is>
      </c>
      <c r="O58" s="24" t="inlineStr">
        <is>
          <t>Shell page — use disclosure-data index</t>
        </is>
      </c>
    </row>
    <row r="59" ht="96" customHeight="1" s="18">
      <c r="A59" s="28" t="n">
        <v>58</v>
      </c>
      <c r="B59" s="28" t="inlineStr">
        <is>
          <t>Credit &amp; Structured Finance (existing pack + roadmap)</t>
        </is>
      </c>
      <c r="C59" s="28" t="inlineStr">
        <is>
          <t>Banks and financial service firms / lenders</t>
        </is>
      </c>
      <c r="D59" s="28" t="inlineStr">
        <is>
          <t>Equity Excess Return Valuation Model for Banks (eqexret.xls) and Dividend Discount Model (divginzu.xls)</t>
        </is>
      </c>
      <c r="E59" s="28" t="inlineStr">
        <is>
          <t>Aswath Damodaran, NYU Stern School of Business</t>
        </is>
      </c>
      <c r="F59" s="29" t="inlineStr">
        <is>
          <t>https://pages.stern.nyu.edu/~adamodar/pc/eqexret.xls</t>
        </is>
      </c>
      <c r="G59" s="28" t="inlineStr">
        <is>
          <t>direct download</t>
        </is>
      </c>
      <c r="H59" s="28" t="inlineStr">
        <is>
          <t>Not stated; posted for free public download on the author's NYU faculty page (listing: https://pages.stern.nyu.edu/~adamodar/New_Home_Page/eqspread.htm). Widely used and cited in teaching and practice.</t>
        </is>
      </c>
      <c r="I59" s="28" t="inlineStr">
        <is>
          <t>full cash flow table available</t>
        </is>
      </c>
      <c r="J59" s="28" t="inlineStr">
        <is>
          <t>Excess return (residual income) equity valuation model, and multi-stage dividend discount model</t>
        </is>
      </c>
      <c r="K59" s="28" t="inlineStr">
        <is>
          <t>eqexret.xls "estimates the value of equity in a bank by discounting expected excess returns to equity investors over time and adding them to book value of equity." divginzu.xls is "a complete dividend discount model that can do stable growth, 2-stage or 3-stage valuation," described by the author as "your best choice if you are analyzing financial service firms." Both are live Excel workbooks with formulas exposed, not locked outputs.</t>
        </is>
      </c>
      <c r="L59" s="28" t="inlineStr">
        <is>
          <t>Residual income / excess return valuation: book value plus present value of (ROE minus cost of equity) times book equity; regulatory-capital-constrained reinvestment where growth requires retained equity; multi-stage growth with an explicit high-growth phase, transition and stable terminal phase; cost of equity via CAPM with levered beta</t>
        </is>
      </c>
      <c r="M59" s="28" t="inlineStr">
        <is>
          <t>Value an entity from a book-value anchor plus a discounted spread stream rather than from free cash flow; express reinvestment as a regulatory capital requirement tied to asset growth; support multi-stage growth schedules with linearly transitioning parameters; compute a terminal value under a stable-growth constraint; discount at a cost of equity derived from a beta and equity risk premium.</t>
        </is>
      </c>
      <c r="N59" s="28" t="inlineStr">
        <is>
          <t>Provides the lender/balance-sheet valuation counterpart to the deal-level cash flow work: the value of the originator or the equity residual, not just the tranches. Because the spreadsheets are open-formula, every intermediate cell is a checkable target, letting CFDL validate discounting, multi-stage growth interpolation and terminal value arithmetic against a widely accepted independent implementation.</t>
        </is>
      </c>
      <c r="O59" s="28" t="inlineStr">
        <is>
          <t>OK</t>
        </is>
      </c>
    </row>
    <row r="60" ht="96" customHeight="1" s="18">
      <c r="A60" s="24" t="n">
        <v>59</v>
      </c>
      <c r="B60" s="24" t="inlineStr">
        <is>
          <t>Credit &amp; Structured Finance (existing pack + roadmap)</t>
        </is>
      </c>
      <c r="C60" s="24" t="inlineStr">
        <is>
          <t>Bank securitization across asset classes, with emphasis on credit card and consumer</t>
        </is>
      </c>
      <c r="D60" s="24" t="inlineStr">
        <is>
          <t>Comptroller's Handbook: Asset Securitization</t>
        </is>
      </c>
      <c r="E60" s="24" t="inlineStr">
        <is>
          <t>Office of the Comptroller of the Currency (OCC), US Department of the Treasury</t>
        </is>
      </c>
      <c r="F60" s="25" t="inlineStr">
        <is>
          <t>https://www.occ.treas.gov/publications-and-resources/publications/comptrollers-handbook/files/asset-securitization/pub-ch-asset-securitization.pdf</t>
        </is>
      </c>
      <c r="G60" s="24" t="inlineStr">
        <is>
          <t>direct download</t>
        </is>
      </c>
      <c r="H60" s="24" t="inlineStr">
        <is>
          <t>US federal government regulatory publication; no explicit licensing restrictions noted. Originally November 1997, updated 20 March 2025 per OCC Bulletin 2025-4.</t>
        </is>
      </c>
      <c r="I60" s="24" t="inlineStr">
        <is>
          <t>methodology only</t>
        </is>
      </c>
      <c r="J60" s="24" t="inlineStr">
        <is>
          <t>Supervisory guidance on securitization structure, risk and examination — structural taxonomy with an illustrative percentage waterfall</t>
        </is>
      </c>
      <c r="K60" s="24" t="inlineStr">
        <is>
          <t>Covers securitization mechanics, benefits, risk management and examination procedures for national banks. Contains an illustrative credit card cash flow waterfall expressed in percentages — finance charges 16.5%, investor coupon 7.0%, charge-offs 5.0% — demonstrating how excess spread is derived, and a table of generic borrower credit quality tiers (A through D) with debt-to-income and loan-to-value metrics. These are illustrative percentages rather than a worked dollar cash flow.</t>
        </is>
      </c>
      <c r="L60" s="24" t="inlineStr">
        <is>
          <t>Excess spread as portfolio yield minus investor coupon minus servicing minus charge-offs; credit enhancement layering; residual/interest-only strip retention and its valuation risk; recourse and implicit recourse; early amortization economics</t>
        </is>
      </c>
      <c r="M60" s="24" t="inlineStr">
        <is>
          <t>Express excess spread as a derived rate-level quantity that can be computed both as a percentage and as a dollar flow; represent a retained residual/IO strip as a valued position whose worth depends on projected excess spread; segment a pool by credit tier with tier-specific loss assumptions; model enhancement as a stack of layers consumed in a defined order.</t>
        </is>
      </c>
      <c r="N60" s="24" t="inlineStr">
        <is>
          <t>Useful as the authoritative US supervisory vocabulary for securitization concepts, ensuring CFDL's terminology and structural taxonomy align with what regulators and bank examiners expect. The illustrative credit card spread waterfall is a simple arithmetic sanity check for CFDL's excess spread primitive. It is a terminology and framing source, not a numerical oracle.</t>
        </is>
      </c>
      <c r="O60" s="24" t="inlineStr">
        <is>
          <t>OK</t>
        </is>
      </c>
    </row>
    <row r="61" ht="96" customHeight="1" s="18">
      <c r="A61" s="28" t="n">
        <v>60</v>
      </c>
      <c r="B61" s="28" t="inlineStr">
        <is>
          <t>Credit &amp; Structured Finance (existing pack + roadmap)</t>
        </is>
      </c>
      <c r="C61" s="28" t="inlineStr">
        <is>
          <t>Commercial mortgage-backed securities — multifamily (CMBS)</t>
        </is>
      </c>
      <c r="D61" s="28" t="inlineStr">
        <is>
          <t>Freddie Mac Multifamily K-Deal Program Overview Investor Presentation (as of March 31, 2026)</t>
        </is>
      </c>
      <c r="E61" s="28" t="inlineStr">
        <is>
          <t>Freddie Mac Multifamily</t>
        </is>
      </c>
      <c r="F61" s="29" t="inlineStr">
        <is>
          <t>https://mf.freddiemac.com/docs/kdeal_investor_presentation.pdf</t>
        </is>
      </c>
      <c r="G61" s="28" t="inlineStr">
        <is>
          <t>direct download</t>
        </is>
      </c>
      <c r="H61" s="28" t="inlineStr">
        <is>
          <t>Not stated; publicly posted investor presentation. Related legal documents including the Giant and Other Pass-through Certificates Offering Circular are freely available at https://mf.freddiemac.com/investors/legal</t>
        </is>
      </c>
      <c r="I61" s="28" t="inlineStr">
        <is>
          <t>assumptions and outputs only</t>
        </is>
      </c>
      <c r="J61" s="28" t="inlineStr">
        <is>
          <t>Program structure documentation with worked loss-allocation scenarios and real deal statistics</t>
        </is>
      </c>
      <c r="K61" s="28" t="inlineStr">
        <is>
          <t>Documents the K-Deal capital structure (A-1 and A-2 senior amortizing, A-M mezzanine, X1/XAM guaranteed IO, X2-A/X2-B 10bp strips retained by the B-piece buyer, Class D subordinate, floating-rate Class CS) with real deals: K-178 (10-year fixed, $1.336B across 49 loans, WAC 5.298%, LTV 61.5%, DSCR 1.52x, A-1 $38M / A-2 $1.131B / A-M $167M), K-764 ($930M, 35 loans, 5.146% coupon, LTV 66.9%, DSCR 1.36x), K-558 (fixed-to-floating, $856M, 32 loans), K-F170 (floating, $987M, 28 loans, SOFR margin 1.853%). Worked loss scenarios: on a $1.25B pool with a $62.5M Class D (5%), a $23M loan defaulting in month 51 producing an $8M loss wipes into Class D and is reimbursed by the Freddie Mac guarantee, leaving A-1/A-2/A-M unwritten-down; on a $1.0B floating pool, a $20M default with $7M loss reduces Class CS ($75M) directly while Class AS/CS continue pro rata amortization. Program-to-date: 29,011 loans, $629.3 billion, 642 transactions, 99.7% current, 77 loans in special servicing (&lt;42bp), $296.9 million realized losses (5bp of issuance), 15,582 prepaid loans (48.46% by balance), 13.1% watchlist.</t>
        </is>
      </c>
      <c r="L61" s="28" t="inlineStr">
        <is>
          <t>Sequential-pay senior classes with a guaranteed wrap; interest-only notional classes struck off senior and mezzanine balances; a separate 10bp IO strip retained by the B-piece; first-loss subordinate class absorbing writedowns with guarantee reimbursement to senior classes; pro-rata amortization on floating AS/CS classes; yield maintenance premium as the greater of 1% of principal prepaid or a standard formula amount; defeasance with substituted securities matching loan obligations; 5-4-3-2-1 step-down prepayment premium on floating loans; special servicing and watchlist status</t>
        </is>
      </c>
      <c r="M61" s="28" t="inlineStr">
        <is>
          <t>Define notional IO classes whose interest accrues on the balance of one or more referenced tranches; model a guarantee as an external party that makes tranches whole after subordinate writedown; express prepayment penalties as max(percentage of principal, formula result) and as a declining step schedule; represent defeasance as collateral substitution that removes prepayment optionality without retiring the loan; switch between pro-rata and sequential principal by class group; carry loan-level status (current, watchlist, special servicing) that gates advancing and recovery behavior.</t>
        </is>
      </c>
      <c r="N61" s="28" t="inlineStr">
        <is>
          <t>The only CMBS source found with explicit worked loss-allocation examples using real dollar figures, and it covers the mechanics that distinguish commercial from residential — yield maintenance, defeasance, step-down premiums, notional IO strips and a guarantee overlay. CFDL can reproduce the stated loss scenarios exactly (does an $8M loss against a $62.5M Class D leave seniors whole?) and can use the four named deals as parameterizations of one template.</t>
        </is>
      </c>
      <c r="O61" s="28" t="inlineStr">
        <is>
          <t>OK</t>
        </is>
      </c>
    </row>
    <row r="62" ht="96" customHeight="1" s="18">
      <c r="A62" s="24" t="n">
        <v>61</v>
      </c>
      <c r="B62" s="24" t="inlineStr">
        <is>
          <t>Credit &amp; Structured Finance (existing pack + roadmap)</t>
        </is>
      </c>
      <c r="C62" s="24" t="inlineStr">
        <is>
          <t>Agency residential mortgage-backed securities</t>
        </is>
      </c>
      <c r="D62" s="24" t="inlineStr">
        <is>
          <t>Mortgage-Backed Securities (Working Paper 25-10)</t>
        </is>
      </c>
      <c r="E62" s="24" t="inlineStr">
        <is>
          <t>Federal Reserve Bank of Philadelphia</t>
        </is>
      </c>
      <c r="F62" s="25" t="inlineStr">
        <is>
          <t>https://www.philadelphiafed.org/-/media/FRBP/Assets/working-papers/2025/wp25-10.pdf</t>
        </is>
      </c>
      <c r="G62" s="24" t="inlineStr">
        <is>
          <t>direct download</t>
        </is>
      </c>
      <c r="H62" s="24" t="inlineStr">
        <is>
          <t>Not stated; Federal Reserve Bank working paper published for free public download.</t>
        </is>
      </c>
      <c r="I62" s="24" t="inlineStr">
        <is>
          <t>methodology only</t>
        </is>
      </c>
      <c r="J62" s="24" t="inlineStr">
        <is>
          <t>Survey and formal specification of MBS valuation — option-adjusted spread framework and statistical prepayment modeling</t>
        </is>
      </c>
      <c r="K62" s="24" t="inlineStr">
        <is>
          <t>A review of the agency RMBS market covering institutional structure, security design, risk, pricing and economic effects. It states the OAS pricing identity PM = E[Σ(k=1..T) Xk(rk) / Π(j=1..k)(1 + OAS + rj)], where PM is market price and Xk are cash flows that depend on rates through prepayments, noting this requires Monte Carlo simulation with a calibrated interest rate model and an estimated prepayment model. Reports market size of $7.7 trillion in agency residential MBS pools (March 2021), a median pool CPR of 27.8%, and an average OAS since 2000 of approximately 50 basis points. Prepayment modeling is discussed via moneyness (mortgage rate less current market rate) but results are shown as charts, not replicable tables.</t>
        </is>
      </c>
      <c r="L62" s="24" t="inlineStr">
        <is>
          <t>Option-adjusted spread computation; Monte Carlo path generation over a calibrated short-rate model; path-dependent prepayment as a function of rate incentive (moneyness) and burnout; discounting cash flows at path rates plus a constant spread; solving for the spread that reproduces market price</t>
        </is>
      </c>
      <c r="M62" s="24" t="inlineStr">
        <is>
          <t>Generate and iterate over stochastic interest rate paths; make prepayment a function of the simulated rate path rather than a static vector; discount along each path at path-specific short rates plus a constant spread; average across paths and numerically solve for the spread that matches an observed price; keep the cash flow generation logic identical between deterministic and Monte Carlo modes.</t>
        </is>
      </c>
      <c r="N62" s="24" t="inlineStr">
        <is>
          <t>Establishes the formal definition CFDL must satisfy if it is to support OAS, which is the market-standard pricing measure for prepayable assets and the main thing separating a static amortization tool from a real MBS valuation language. It validates the required semantics — path-dependent cash flows and a root-solve for spread — and its reported benchmarks (27.8% median CPR, ~50bp average OAS) give order-of-magnitude sanity checks, though no worked example is provided.</t>
        </is>
      </c>
      <c r="O62" s="24" t="inlineStr">
        <is>
          <t>OK</t>
        </is>
      </c>
    </row>
    <row r="63" ht="96" customHeight="1" s="18">
      <c r="A63" s="28" t="n">
        <v>62</v>
      </c>
      <c r="B63" s="28" t="inlineStr">
        <is>
          <t>OpCo &amp; Corporate Finance (existing pack + roadmap)</t>
        </is>
      </c>
      <c r="C63" s="28" t="inlineStr">
        <is>
          <t>Cross-industry operating companies (non-financial)</t>
        </is>
      </c>
      <c r="D63" s="28" t="inlineStr">
        <is>
          <t>FCFF Simple Ginzu — all-in-one free cash flow to firm DCF model</t>
        </is>
      </c>
      <c r="E63" s="28" t="inlineStr">
        <is>
          <t>Aswath Damodaran, NYU Stern School of Business</t>
        </is>
      </c>
      <c r="F63" s="29" t="inlineStr">
        <is>
          <t>https://pages.stern.nyu.edu/~adamodar/pc/fcffsimpleginzu.xlsx</t>
        </is>
      </c>
      <c r="G63" s="28" t="inlineStr">
        <is>
          <t>direct download</t>
        </is>
      </c>
      <c r="H63" s="28" t="inlineStr">
        <is>
          <t>From the library index page: "These spreadsheet programs are in Excel and are not copy protected. Download them and feel free to modify them to your own specifications." No formal open-source license; no registration, no paywall. Index page: https://pages.stern.nyu.edu/~adamodar/New_Home_Page/spreadsh.htm</t>
        </is>
      </c>
      <c r="I63" s="28" t="inlineStr">
        <is>
          <t>full cash flow table available</t>
        </is>
      </c>
      <c r="J63" s="28" t="inlineStr">
        <is>
          <t>Corporate DCF — enterprise valuation via FCFF with multi-stage growth and convergence to stable growth</t>
        </is>
      </c>
      <c r="K63" s="28" t="inlineStr">
        <is>
          <t>A general-purpose enterprise DCF that takes a company's reported financials (revenue, operating margin, tax rate, reinvestment) and builds a 10-year explicit forecast that converges to a stable-growth terminal year. It carries built-in default assumptions (industry-average sales-to-capital ratios, risk-free-rate-anchored stable growth, sector betas) so it produces a complete valuation from a small input set. Output runs all the way to intrinsic value per share against the current market price.</t>
        </is>
      </c>
      <c r="L63" s="28" t="inlineStr">
        <is>
          <t>Multi-stage growth with linear convergence of margins and growth toward a stable-growth year; reinvestment tied to a sales-to-capital ratio rather than an independent capex/depreciation schedule; terminal value via Gordon growth constrained to the risk-free rate; cost of capital that changes over the forecast as the company matures (beta and debt ratio converge); NOL carryforward offsetting taxable income before the effective tax rate steps up to the marginal rate; value of options/RSUs subtracted from equity value; probability-of-failure haircut applied to going-concern value.</t>
        </is>
      </c>
      <c r="M63" s="28" t="inlineStr">
        <is>
          <t>The language must express (a) time-varying driver paths that interpolate between an initial value and a terminal value over a declared horizon, (b) a discount rate that is itself a time series derived from a capital structure that evolves, (c) a stock-like NOL balance that accumulates losses and releases them against future taxable income, (d) a terminal-value expression parameterized on the terminal-year cash flow and a growth rate with an enforced upper bound, (e) scalar equity-bridge adjustments (debt, cash, minority interest, option value), and (f) a probability-weighted blend of a going-concern value and a liquidation value.</t>
        </is>
      </c>
      <c r="N63" s="28" t="inlineStr">
        <is>
          <t>The reference implementation of textbook intrinsic valuation. Reproducing it exactly proves CFDL handles convergence-style forecasting, time-varying discount rates, and the equity bridge. Because Damodaran's own published company valuations use this engine, CFDL output can be checked against dozens of independently published per-share values.</t>
        </is>
      </c>
      <c r="O63" s="28" t="inlineStr">
        <is>
          <t>OK</t>
        </is>
      </c>
    </row>
    <row r="64" ht="96" customHeight="1" s="18">
      <c r="A64" s="24" t="n">
        <v>63</v>
      </c>
      <c r="B64" s="24" t="inlineStr">
        <is>
          <t>OpCo &amp; Corporate Finance (existing pack + roadmap)</t>
        </is>
      </c>
      <c r="C64" s="24" t="inlineStr">
        <is>
          <t>Cross-industry (buyout candidate operating company)</t>
        </is>
      </c>
      <c r="D64" s="24" t="inlineStr">
        <is>
          <t>LBO Valuation model (lboval.xls)</t>
        </is>
      </c>
      <c r="E64" s="24" t="inlineStr">
        <is>
          <t>Aswath Damodaran, NYU Stern School of Business</t>
        </is>
      </c>
      <c r="F64" s="25" t="inlineStr">
        <is>
          <t>https://pages.stern.nyu.edu/~adamodar/pc/lboval.xls</t>
        </is>
      </c>
      <c r="G64" s="24" t="inlineStr">
        <is>
          <t>direct download</t>
        </is>
      </c>
      <c r="H64" s="24" t="inlineStr">
        <is>
          <t>"These spreadsheet programs are in Excel and are not copy protected. Download them and feel free to modify them to your own specifications." — https://pages.stern.nyu.edu/~adamodar/New_Home_Page/spreadsh.htm</t>
        </is>
      </c>
      <c r="I64" s="24" t="inlineStr">
        <is>
          <t>full cash flow table available</t>
        </is>
      </c>
      <c r="J64" s="24" t="inlineStr">
        <is>
          <t>Leveraged buyout / capital-structure-sensitive valuation</t>
        </is>
      </c>
      <c r="K64" s="24" t="inlineStr">
        <is>
          <t>Sits in the 'Acquisitions' section of the library and estimates the value of the firm and of the equity in a leveraged buyout, given a target debt level. Unlike a banker's LBO, it is built to answer whether the LBO price is justified by value rather than only by sponsor IRR, so it re-prices the cost of equity and the cost of debt at the post-LBO leverage and pays down debt over the holding period.</t>
        </is>
      </c>
      <c r="L64" s="24" t="inlineStr">
        <is>
          <t>Debt paydown schedule from operating cash flow over the holding period; cost of equity re-levered at each year's changing debt-to-equity ratio; cost of debt re-rated as leverage and interest coverage change (synthetic rating from coverage ratio); interest tax shield capture limited by taxable income; APV-style separation of unlevered value, tax benefit of debt, and expected bankruptcy cost; exit value at the end of the holding period.</t>
        </is>
      </c>
      <c r="M64" s="24" t="inlineStr">
        <is>
          <t>Ability to express a feedback loop where the discount rate in period t depends on the debt balance in period t, which depends on cash flows discounted at that rate — i.e. iterative/circular resolution or an explicit fixed-point construct. Also: a lookup from a computed coverage ratio to a credit rating to a spread; a debt amortization schedule driven by available cash flow; and a decomposition of value into unlevered value plus tax shield minus distress cost.</t>
        </is>
      </c>
      <c r="N64" s="24" t="inlineStr">
        <is>
          <t>Tests whether CFDL can handle leverage-dependent discount rates and rating-driven interest costs without hand-wiring circularity, and gives an independent check on LBO value that is derived from valuation theory rather than from sponsor return targets.</t>
        </is>
      </c>
      <c r="O64" s="24" t="inlineStr">
        <is>
          <t>OK</t>
        </is>
      </c>
    </row>
    <row r="65" ht="96" customHeight="1" s="18">
      <c r="A65" s="28" t="n">
        <v>64</v>
      </c>
      <c r="B65" s="28" t="inlineStr">
        <is>
          <t>OpCo &amp; Corporate Finance (existing pack + roadmap)</t>
        </is>
      </c>
      <c r="C65" s="28" t="inlineStr">
        <is>
          <t>E-commerce / high-growth technology (venture-stage economics in a public company)</t>
        </is>
      </c>
      <c r="D65" s="28" t="inlineStr">
        <is>
          <t>Amazon.com valuation, January 2000 (amazon2000.xls)</t>
        </is>
      </c>
      <c r="E65" s="28" t="inlineStr">
        <is>
          <t>Aswath Damodaran, NYU Stern School of Business</t>
        </is>
      </c>
      <c r="F65" s="29" t="inlineStr">
        <is>
          <t>https://pages.stern.nyu.edu/~adamodar/pc/eqegs/amazon2000.xls</t>
        </is>
      </c>
      <c r="G65" s="28" t="inlineStr">
        <is>
          <t>direct download</t>
        </is>
      </c>
      <c r="H65" s="28" t="inlineStr">
        <is>
          <t>From the company-valuations index: "Feel free to download them and have fun changing the inputs or updating the information." — https://pages.stern.nyu.edu/~adamodar/New_Home_Page/covals.htm</t>
        </is>
      </c>
      <c r="I65" s="28" t="inlineStr">
        <is>
          <t>full cash flow table available</t>
        </is>
      </c>
      <c r="J65" s="28" t="inlineStr">
        <is>
          <t>High-growth, negative-earnings DCF with survival probability</t>
        </is>
      </c>
      <c r="K65" s="28" t="inlineStr">
        <is>
          <t>Values Amazon at the peak of the dot-com boom, when the company had large revenues but deeply negative operating income and no near-term path to positive earnings. The model forecasts revenue growth down from very high initial rates while operating margin climbs from negative to a target industry margin, funds growth through a sales-to-capital reinvestment rule, and applies an explicit probability that the firm does not survive. A companion January 2001 file (amazon2001.xls) shows the same company re-valued after the crash, which makes the pair a natural before/after regression test.</t>
        </is>
      </c>
      <c r="L65" s="28" t="inlineStr">
        <is>
          <t>Revenue-driven rather than earnings-driven forecasting; operating margin path from negative to target; NOL carryforward accumulating during loss years and shielding tax once profitability arrives; reinvestment derived from incremental revenue divided by a sales-to-capital ratio; cost of capital declining as the firm matures; explicit probability-of-failure weighting against a distress-sale proceeds estimate; dilution from employee options valued separately.</t>
        </is>
      </c>
      <c r="M65" s="28" t="inlineStr">
        <is>
          <t>Express a driver that crosses zero (margin going from negative to positive) and correctly gate tax on it; maintain a running NOL balance across a multi-year loss period with a carryforward release rule; support scenario pairs on the same structure with different input vintages; support a terminal probability-weighted branch (survive vs. fail) applied to the whole valuation rather than to a single line.</t>
        </is>
      </c>
      <c r="N65" s="28" t="inlineStr">
        <is>
          <t>The canonical stress test for venture/growth-stage economics inside a DCF frame. If CFDL reproduces this file it demonstrates loss-year tax treatment, NOL banking, and probabilistic outcome weighting — exactly what growth-equity and venture deals require.</t>
        </is>
      </c>
      <c r="O65" s="28" t="inlineStr">
        <is>
          <t>OK</t>
        </is>
      </c>
    </row>
    <row r="66" ht="96" customHeight="1" s="18">
      <c r="A66" s="24" t="n">
        <v>65</v>
      </c>
      <c r="B66" s="24" t="inlineStr">
        <is>
          <t>OpCo &amp; Corporate Finance (existing pack + roadmap)</t>
        </is>
      </c>
      <c r="C66" s="24" t="inlineStr">
        <is>
          <t>Automotive / clean energy — growth company</t>
        </is>
      </c>
      <c r="D66" s="24" t="inlineStr">
        <is>
          <t>A Do-it-yourself (DIY) Valuation of Tesla — narrative-driven DCF with scenario levers</t>
        </is>
      </c>
      <c r="E66" s="24" t="inlineStr">
        <is>
          <t>Aswath Damodaran (Musings on Markets blog), NYU Stern</t>
        </is>
      </c>
      <c r="F66" s="25" t="inlineStr">
        <is>
          <t>https://aswathdamodaran.blogspot.com/2020/02/a-do-it-yourself-diy-valuation-of-tesla.html</t>
        </is>
      </c>
      <c r="G66" s="24" t="inlineStr">
        <is>
          <t>direct download</t>
        </is>
      </c>
      <c r="H66" s="24" t="inlineStr">
        <is>
          <t>Not stated on the blog post; the linked spreadsheets are hosted on the same NYU Stern directory covered by "Feel free to download them and have fun changing the inputs." Spreadsheets: https://pages.stern.nyu.edu/~adamodar/pc/blog/TeslaJan2020.xlsx and https://pages.stern.nyu.edu/~adamodar/pc/blog/TeslaJan2020DIY.xlsx</t>
        </is>
      </c>
      <c r="I66" s="24" t="inlineStr">
        <is>
          <t>full cash flow table available</t>
        </is>
      </c>
      <c r="J66" s="24" t="inlineStr">
        <is>
          <t>Scenario-driven corporate DCF ('DIY' lever-based valuation)</t>
        </is>
      </c>
      <c r="K66" s="24" t="inlineStr">
        <is>
          <t>Damodaran's January 2020 base case values Tesla at roughly $427/share on 2030 revenue of about $125 billion, a 12% target operating margin reached by 2025, a sales-to-invested-capital ratio of about 3.0 declining toward 2.0, a 7% cost of capital, and a 10% probability of failure. The accompanying DIY file lets the user pick from four discrete levers — growth story, profitability, investment efficiency, and risk — producing published narrative scenarios: 'Big Auto' $106–$333, 'Techy Auto' $111–$298, 'FAANGy Auto' $459–$2,106.</t>
        </is>
      </c>
      <c r="L66" s="24" t="inlineStr">
        <is>
          <t>Terminal-year revenue target with back-solved growth path; target operating margin with a convergence year; capital intensity expressed as a sales-to-capital ratio; failure probability applied to going-concern value; discrete named scenarios that swap whole assumption bundles rather than single cells; per-share bridge including option/RSU dilution.</t>
        </is>
      </c>
      <c r="M66" s="24" t="inlineStr">
        <is>
          <t>First-class named scenarios that bundle several assumption overrides and can be enumerated to produce a value matrix; the ability to specify a terminal-state target (2030 revenue) and derive the interpolating growth path rather than specify growth directly; probability-weighted terminal branches.</t>
        </is>
      </c>
      <c r="N66" s="24" t="inlineStr">
        <is>
          <t>Gives CFDL a set of published per-share values across a documented lever grid — a multi-point accuracy benchmark rather than a single number. Also tests whether CFDL's scenario construct is expressive enough to reproduce narrative-based valuation without duplicating the model.</t>
        </is>
      </c>
      <c r="O66" s="24" t="inlineStr">
        <is>
          <t>OK</t>
        </is>
      </c>
    </row>
    <row r="67" ht="96" customHeight="1" s="18">
      <c r="A67" s="28" t="n">
        <v>66</v>
      </c>
      <c r="B67" s="28" t="inlineStr">
        <is>
          <t>OpCo &amp; Corporate Finance (existing pack + roadmap)</t>
        </is>
      </c>
      <c r="C67" s="28" t="inlineStr">
        <is>
          <t>Banking, insurance, oil &amp; gas, pharma, autos, gaming, retail, emerging markets, index-level</t>
        </is>
      </c>
      <c r="D67" s="28" t="inlineStr">
        <is>
          <t>Company Valuations library — ~24 named-company DCF models (Goldman Sachs, Wells Fargo, Deutsche Bank, Toyota, Exxon, Aramco, Embraer, Sears, Las Vegas Sands, Amgen, S&amp;P 500)</t>
        </is>
      </c>
      <c r="E67" s="28" t="inlineStr">
        <is>
          <t>Aswath Damodaran, NYU Stern School of Business</t>
        </is>
      </c>
      <c r="F67" s="29" t="inlineStr">
        <is>
          <t>https://pages.stern.nyu.edu/~adamodar/New_Home_Page/covals.htm</t>
        </is>
      </c>
      <c r="G67" s="28" t="inlineStr">
        <is>
          <t>direct download</t>
        </is>
      </c>
      <c r="H67" s="28" t="inlineStr">
        <is>
          <t>"Feel free to download them and have fun changing the inputs or updating the information." (page text). No formal license.</t>
        </is>
      </c>
      <c r="I67" s="28" t="inlineStr">
        <is>
          <t>full cash flow table available</t>
        </is>
      </c>
      <c r="J67" s="28" t="inlineStr">
        <is>
          <t>Case-specific DCF variants — excess-return bank models, distressed-firm valuation, cyclical normalization, R&amp;D capitalization, emerging-market country risk</t>
        </is>
      </c>
      <c r="K67" s="28" t="inlineStr">
        <is>
          <t>Each file is a real company valued at a real date with real filings behind it: Goldman Sachs and Wells Fargo (2008 banking crisis) valued via equity excess return / three-stage FCFE because FCFF is not meaningful for banks; Las Vegas Sands valued as a distressed firm; Toyota normalized as a cyclical; Amgen with R&amp;D capitalized into an asset; Embraer and Aramco with explicit country risk premiums; Sears as a company in decline. The S&amp;P 500 files value the whole index by dividend discount, by dividends-plus-buybacks, and by fundamental growth.</t>
        </is>
      </c>
      <c r="L67" s="28" t="inlineStr">
        <is>
          <t>Excess-return (residual income) valuation for financial firms where regulatory capital replaces reinvestment; R&amp;D capitalization converting an expense into an amortizing asset and restating operating income; cyclical earnings normalization to a mid-cycle margin; country risk premium layered onto cost of equity via lambda exposure rather than a flat add-on; declining-firm negative-reinvestment modeling; buyback-inclusive shareholder cash flow at index level.</t>
        </is>
      </c>
      <c r="M67" s="28" t="inlineStr">
        <is>
          <t>Support alternative cash-flow definitions selectable per asset type (FCFF vs. FCFE vs. excess return over book equity); a restatement layer that reclassifies an expense as a capitalized asset with its own amortization schedule; a risk-premium composition rule that mixes home and foreign exposures; support for negative reinvestment (asset divestiture funding cash flow).</t>
        </is>
      </c>
      <c r="N67" s="28" t="inlineStr">
        <is>
          <t>Broad expressiveness sweep — one library covering bank, cyclical, distressed, emerging-market, R&amp;D-heavy and index-level cases, each with a published value. Ideal for a regression suite that proves CFDL is not just a single-shape DCF.</t>
        </is>
      </c>
      <c r="O67" s="28" t="inlineStr">
        <is>
          <t>OK</t>
        </is>
      </c>
    </row>
    <row r="68" ht="96" customHeight="1" s="18">
      <c r="A68" s="24" t="n">
        <v>67</v>
      </c>
      <c r="B68" s="24" t="inlineStr">
        <is>
          <t>OpCo &amp; Corporate Finance (existing pack + roadmap)</t>
        </is>
      </c>
      <c r="C68" s="24" t="inlineStr">
        <is>
          <t>Biopharmaceuticals / healthcare</t>
        </is>
      </c>
      <c r="D68" s="24" t="inlineStr">
        <is>
          <t>Goldman Sachs discussion materials for the Genentech Special Committee (Roche minority buy-in) — Exhibit (c) to Schedule 13E-3</t>
        </is>
      </c>
      <c r="E68" s="24" t="inlineStr">
        <is>
          <t>Goldman, Sachs &amp; Co., filed with the SEC by Genentech, Inc. (CIK 318771)</t>
        </is>
      </c>
      <c r="F68" s="25" t="inlineStr">
        <is>
          <t>https://www.sec.gov/Archives/edgar/data/318771/000119312509051550/dex99c2.htm</t>
        </is>
      </c>
      <c r="G68" s="24" t="inlineStr">
        <is>
          <t>free to view, no download</t>
        </is>
      </c>
      <c r="H68" s="24" t="inlineStr">
        <is>
          <t>Not stated. Publicly disseminated through SEC EDGAR; the presentation itself carries the standard restriction that it was "prepared exclusively for the benefit and internal use of the recipient." Treat as a public reference document, not a redistributable template.</t>
        </is>
      </c>
      <c r="I68" s="24" t="inlineStr">
        <is>
          <t>full cash flow table available</t>
        </is>
      </c>
      <c r="J68" s="24" t="inlineStr">
        <is>
          <t>Banker DCF (perpetuity-growth), sum-of-parts product forecast, minority squeeze-out fairness analysis</t>
        </is>
      </c>
      <c r="K68" s="24" t="inlineStr">
        <is>
          <t>Goldman's September 29, 2008 materials for Genentech's Special Committee, evaluating Roche's proposal to acquire the ~44% of Genentech it did not own. The DCF runs 2009E–2024E: 2009E revenue of $14,201mm and unlevered free cash flow of $3,890mm, rising to $12,992mm of UFCF by 2024E; management-case net income grows from $4,204mm (2009) to $8,636mm (2015), a 7.7% revenue CAGR. Sensitivity grid spans 8.0%–10.0% discount rates and 2.0%–4.0% perpetuity growth, giving $85.98–$144.44 per share; at 9.0%/3.0% the equity value is ~$106.10 vs. a then-current price of $91.19. A second, later deck (November 3, 2008) at https://www.sec.gov/Archives/edgar/data/318771/000119312509051485/dex99c4.htm shows enterprise values of $89,586mm–$156,618mm and per-share values of $89.34–$148.29, with named product forecasts (Avastin, Rituxan, Herceptin, Lucentis, Raptiva).</t>
        </is>
      </c>
      <c r="L68" s="24" t="inlineStr">
        <is>
          <t>16-year explicit forecast horizon (unusually long, driven by patent-expiry cliffs); product-level revenue build aggregated to company revenue; unlevered free cash flow with separate capex and working capital; perpetuity-growth terminal value with a disclosed terminal-value-as-percentage-of-total check; two-dimensional sensitivity grid over WACC and perpetuity growth; equity bridge from enterprise value to per-share value with a large diluted share count.</t>
        </is>
      </c>
      <c r="M68" s="24" t="inlineStr">
        <is>
          <t>Compose a company forecast from a portfolio of product-level revenue streams each with its own ramp, peak, and decline (patent cliff); support a long explicit horizon so that terminal value is a modest share of total; produce a parameterized sensitivity grid as a first-class output; report terminal value as a share of enterprise value as a diagnostic.</t>
        </is>
      </c>
      <c r="N68" s="24" t="inlineStr">
        <is>
          <t>A genuine banker's numbers with the resulting value range disclosed — a real accuracy benchmark. If CFDL is fed the disclosed UFCF series and the disclosed discount/growth ranges it must reproduce $85.98–$144.44 per share. Two decks dated five weeks apart also let CFDL test forecast-revision handling on the same asset.</t>
        </is>
      </c>
      <c r="O68" s="24" t="inlineStr">
        <is>
          <t>OK</t>
        </is>
      </c>
    </row>
    <row r="69" ht="96" customHeight="1" s="18">
      <c r="A69" s="28" t="n">
        <v>68</v>
      </c>
      <c r="B69" s="28" t="inlineStr">
        <is>
          <t>OpCo &amp; Corporate Finance (existing pack + roadmap)</t>
        </is>
      </c>
      <c r="C69" s="28" t="inlineStr">
        <is>
          <t>Enterprise / industrial software (subscription, ACV-based)</t>
        </is>
      </c>
      <c r="D69" s="28" t="inlineStr">
        <is>
          <t>Qatalyst Partners discussion materials for the Aspen Technology Special Committee (Emerson minority buy-in at $240.00/share) — Exhibit (c) to Schedule 13E-3</t>
        </is>
      </c>
      <c r="E69" s="28" t="inlineStr">
        <is>
          <t>Qatalyst Partners LP, filed with the SEC (CIK 1897982, January 2025)</t>
        </is>
      </c>
      <c r="F69" s="29" t="inlineStr">
        <is>
          <t>https://www.sec.gov/Archives/edgar/data/1897982/000114036125003656/ny20042057x7_exc-4.htm</t>
        </is>
      </c>
      <c r="G69" s="28" t="inlineStr">
        <is>
          <t>free to view, no download</t>
        </is>
      </c>
      <c r="H69" s="28" t="inlineStr">
        <is>
          <t>Not stated. Public via SEC EDGAR. The exhibit uses code names ("Alpha" = the target, "Echo" = the controlling stockholder); identification as Aspen Technology / Emerson Electric follows from the June 30 fiscal year end, the engineering/industrial-automation software description, the $240.00 per share November 5, 2024 proposal, the ~57% retained ownership, and the peer sets used (Cadence, Synopsys, PTC, Bentley, Dassault, Nemetschek; Honeywell, Rockwell, Schneider, Siemens).</t>
        </is>
      </c>
      <c r="I69" s="28" t="inlineStr">
        <is>
          <t>full cash flow table available</t>
        </is>
      </c>
      <c r="J69" s="28" t="inlineStr">
        <is>
          <t>Banker DCF using an NTM unlevered-FCF exit multiple for terminal value; controlling-stockholder buy-in fairness analysis</t>
        </is>
      </c>
      <c r="K69" s="28" t="inlineStr">
        <is>
          <t>Qatalyst's analysis of the controlling stockholder's November 5, 2024 proposal to buy in the minority at $240.00 per share while retaining ~57% ownership. The DCF uses a 9.5%–11.25% WACC and terminal NTM unlevered FCF multiples of 20.0x–30.0x applied to FY30E UFCF of $891mm; the projected UFCF path includes FY25E $367mm and FY27E $502mm. Implied per-share values run $197.37–$211.19 (low case), $238.23–$255.23 (mid), $279.07–$299.26 (high). The deck discloses mid-period discounting, ~2% cumulative dilution from equity awards, and implied perpetuity growth rates of 4.3%–7.7% as a cross-check on the exit multiple.</t>
        </is>
      </c>
      <c r="L69" s="28" t="inlineStr">
        <is>
          <t>Mid-period (mid-year) discounting convention; terminal value via a forward (NTM) unlevered-FCF multiple rather than trailing EBITDA; implied perpetuity growth back-solved from the exit multiple as a sanity check; explicit dilution from outstanding and future equity awards modeled as a share-count drag rather than a cash cost; ACV/term-license revenue recognition timing separated from cash collection; multiple management cases (low/mid/high) run through the same DCF.</t>
        </is>
      </c>
      <c r="M69" s="28" t="inlineStr">
        <is>
          <t>Support a mid-period discount convention as a switch, not a rewrite; express terminal value as a multiple of a forward-period metric and simultaneously report the implied perpetuity growth that the multiple embeds; model share count as a time series that dilutes per-share value; carry a subscription revenue model where booked ACV, recognized revenue, and cash collections are three distinct series; run several named management cases through one shared valuation structure.</t>
        </is>
      </c>
      <c r="N69" s="28" t="inlineStr">
        <is>
          <t>A recent, very high-quality software/SaaS benchmark: disclosed UFCF path, disclosed WACC and terminal multiple ranges, disclosed convention (mid-period), and a disclosed answer grid. Reproducing all three case bands validates CFDL's exit-multiple terminal value, mid-period discounting, and dilution handling in one test.</t>
        </is>
      </c>
      <c r="O69" s="28" t="inlineStr">
        <is>
          <t>OK</t>
        </is>
      </c>
    </row>
    <row r="70" ht="96" customHeight="1" s="18">
      <c r="A70" s="24" t="n">
        <v>69</v>
      </c>
      <c r="B70" s="24" t="inlineStr">
        <is>
          <t>OpCo &amp; Corporate Finance (existing pack + roadmap)</t>
        </is>
      </c>
      <c r="C70" s="24" t="inlineStr">
        <is>
          <t>Subscription software / SaaS (website building, commerce, domains)</t>
        </is>
      </c>
      <c r="D70" s="24" t="inlineStr">
        <is>
          <t>Centerview Partners presentation to the Squarespace Special Committee (Permira take-private) — Exhibit 16(c)(vi) to Schedule 13E-3</t>
        </is>
      </c>
      <c r="E70" s="24" t="inlineStr">
        <is>
          <t>Centerview Partners LLC, filed with the SEC by Squarespace, Inc. (CIK 1496963)</t>
        </is>
      </c>
      <c r="F70" s="25" t="inlineStr">
        <is>
          <t>https://www.sec.gov/Archives/edgar/data/1496963/000114036124030374/ny20030653x1_ex16cvi.htm</t>
        </is>
      </c>
      <c r="G70" s="24" t="inlineStr">
        <is>
          <t>free to view, no download</t>
        </is>
      </c>
      <c r="H70" s="24" t="inlineStr">
        <is>
          <t>Not stated. Public via SEC EDGAR. Uses code names ("Pacific" = Squarespace, "Phoenix" = the Permira-led buyer group).</t>
        </is>
      </c>
      <c r="I70" s="24" t="inlineStr">
        <is>
          <t>full cash flow table available</t>
        </is>
      </c>
      <c r="J70" s="24" t="inlineStr">
        <is>
          <t>Banker DCF with explicit stock-based-compensation treatment; sponsor take-private fairness analysis</t>
        </is>
      </c>
      <c r="K70" s="24" t="inlineStr">
        <is>
          <t>Centerview's analysis of the $40.50 per share initial proposal received February 13, 2024. Revenue is projected from $1,216mm (2024E) to $2,125mm (2029E), with growth stepping down from 20% to 10% by the terminal year. Unlevered free cash flow runs $331mm (2024E), $392mm, $448mm, $527mm, $616mm, $696mm (2029E); post-SBC unlevered FCF is shown separately, e.g. $198mm for 2024E. WACC range is 12.50%–14.50%, terminal value uses NTM uFCF multiples of 15.0x–18.0x, and implied per-share value runs $40.80–$52.20.</t>
        </is>
      </c>
      <c r="L70" s="24" t="inlineStr">
        <is>
          <t>Dual presentation of unlevered FCF pre- and post-stock-based compensation (a genuine convention fork that changes value materially — $331mm vs. $198mm in the first year); deferred revenue / unearned revenue working capital benefit typical of prepaid annual subscriptions; growth-rate step-down schedule; NTM uFCF exit multiple; enterprise-to-equity bridge for a company with modest net debt.</t>
        </is>
      </c>
      <c r="M70" s="24" t="inlineStr">
        <is>
          <t>Treat stock-based compensation as a switchable line that can be included as a cash cost, excluded, or handled as share-count dilution, and produce both valuations from one model definition; model deferred revenue as a liability that funds working capital when billings are annual-prepaid; express a declining growth schedule as a driver path.</t>
        </is>
      </c>
      <c r="N70" s="24" t="inlineStr">
        <is>
          <t>The cleanest publicly available SaaS/subscription DCF benchmark with both SBC treatments disclosed side by side. If CFDL reproduces the $40.80–$52.20 range and can toggle to the post-SBC series, it proves the SBC convention fork — one of the most contested conventions in software valuation — is expressible rather than hard-coded.</t>
        </is>
      </c>
      <c r="O70" s="24" t="inlineStr">
        <is>
          <t>OK</t>
        </is>
      </c>
    </row>
    <row r="71" ht="96" customHeight="1" s="18">
      <c r="A71" s="28" t="n">
        <v>70</v>
      </c>
      <c r="B71" s="28" t="inlineStr">
        <is>
          <t>OpCo &amp; Corporate Finance (existing pack + roadmap)</t>
        </is>
      </c>
      <c r="C71" s="28" t="inlineStr">
        <is>
          <t>Internet search / online media (China)</t>
        </is>
      </c>
      <c r="D71" s="28" t="inlineStr">
        <is>
          <t>Duff &amp; Phelps fairness analysis for the Sogou Special Committee (THL A21 / Tencent take-private at $9.00 per ADS) — Exhibit (c)(2) to Schedule 13E-3</t>
        </is>
      </c>
      <c r="E71" s="28" t="inlineStr">
        <is>
          <t>Duff &amp; Phelps, LLC, filed with the SEC by Sogou Inc. (CIK 1713947), September 29, 2020</t>
        </is>
      </c>
      <c r="F71" s="29" t="inlineStr">
        <is>
          <t>https://www.sec.gov/Archives/edgar/data/1713947/000104746920005319/a2242573zex-99_c2.htm</t>
        </is>
      </c>
      <c r="G71" s="28" t="inlineStr">
        <is>
          <t>free to view, no download</t>
        </is>
      </c>
      <c r="H71" s="28" t="inlineStr">
        <is>
          <t>Not stated. Public via SEC EDGAR.</t>
        </is>
      </c>
      <c r="I71" s="28" t="inlineStr">
        <is>
          <t>full cash flow table available</t>
        </is>
      </c>
      <c r="J71" s="28" t="inlineStr">
        <is>
          <t>Banker DCF, perpetuity-growth terminal value, multi-currency (RMB functional, USD per-ADS output)</t>
        </is>
      </c>
      <c r="K71" s="28" t="inlineStr">
        <is>
          <t>Duff &amp; Phelps' fairness analysis of the $9.00 per share / per ADS take-private of Sogou by THL A21 (Tencent) via TitanSupernova. Unlevered free cash flows are projected annually 2020–2025 with a terminal value; revenue CAGR 2019–2025 is 11.5% and EBITDA turns positive in 2023. WACC range is 12.0%–14.0% with a 5.50% terminal growth rate. Pro forma taxes are shown as zero across 2020–2025, reflecting accumulated loss utilization. DCF enterprise value range is RMB 9,950,000mm–14,270,000mm, implying $6.99–$8.63 per ADS — below the $9.00 offer.</t>
        </is>
      </c>
      <c r="L71" s="28" t="inlineStr">
        <is>
          <t>Zero cash taxes through the forecast from accumulated tax losses; EBITDA crossing from negative to positive mid-forecast; high terminal growth rate (5.50%) reflecting an emerging-market nominal growth environment; RMB-denominated cash flows discounted at an RMB WACC then translated to a USD per-ADS figure; ADS-to-ordinary-share ratio conversion in the per-security bridge.</t>
        </is>
      </c>
      <c r="M71" s="28" t="inlineStr">
        <is>
          <t>Native multi-currency support — cash flows and discount rates in one currency, reported value in another, with the FX conversion applied at the value level rather than per-period; a share-class conversion ratio (ADS : ordinary share) in the equity bridge; an NOL/loss-carryforward pool sufficient to zero out cash tax while book profitability is positive; terminal growth allowed to exceed typical developed-market ceilings.</t>
        </is>
      </c>
      <c r="N71" s="28" t="inlineStr">
        <is>
          <t>Tests FX, share-class ratios, and loss-carryforward tax shielding in a single case where the banker's DCF range sits below the transaction price — a useful negative-result benchmark (the DCF did not support the price, and the deck says so).</t>
        </is>
      </c>
      <c r="O71" s="28" t="inlineStr">
        <is>
          <t>OK</t>
        </is>
      </c>
    </row>
    <row r="72" ht="96" customHeight="1" s="18">
      <c r="A72" s="24" t="n">
        <v>71</v>
      </c>
      <c r="B72" s="24" t="inlineStr">
        <is>
          <t>OpCo &amp; Corporate Finance (existing pack + roadmap)</t>
        </is>
      </c>
      <c r="C72" s="24" t="inlineStr">
        <is>
          <t>Consumer subscription education technology (AI English learning, China)</t>
        </is>
      </c>
      <c r="D72" s="24" t="inlineStr">
        <is>
          <t>Houlihan Lokey discussion materials for the LAIX Special Committee (founder-led take-private at $1.90 per ADS) — Exhibit (c)(2) to Schedule 13E-3</t>
        </is>
      </c>
      <c r="E72" s="24" t="inlineStr">
        <is>
          <t>Houlihan Lokey, filed with the SEC by LAIX Inc. (CIK 1742056), 2022</t>
        </is>
      </c>
      <c r="F72" s="25" t="inlineStr">
        <is>
          <t>https://www.sec.gov/Archives/edgar/data/1742056/000119312522190951/d379851dex99c2.htm</t>
        </is>
      </c>
      <c r="G72" s="24" t="inlineStr">
        <is>
          <t>free to view, no download</t>
        </is>
      </c>
      <c r="H72" s="24" t="inlineStr">
        <is>
          <t>Not stated. Public via SEC EDGAR.</t>
        </is>
      </c>
      <c r="I72" s="24" t="inlineStr">
        <is>
          <t>full cash flow table available</t>
        </is>
      </c>
      <c r="J72" s="24" t="inlineStr">
        <is>
          <t>Banker DCF for a cash-burning subscription business; management buyout fairness analysis</t>
        </is>
      </c>
      <c r="K72" s="24" t="inlineStr">
        <is>
          <t>Houlihan Lokey's analysis of the April 28, 2022 proposal by founders Yi Wang, Zheren Hu and Hui Lin (with Tenzing Holdings 2011 and Sino Avenue) to take LAIX private at $1.90 per ADS. Projected unlevered free cash flows are negative for most of the forecast and only barely cross zero: 2022E (RMB 10.7mm), 2023E (RMB 11.4mm), 2024E (RMB 7.4mm), 2025E (RMB 1.6mm), 2026E (RMB 0.1mm), 2027E RMB 0.5mm. Discount rate range is 12.5%–15.5% with 0.0%–2.0% perpetual growth applied to the RMB 0.5mm 2027 UFCF, producing $1.70–$1.73 per ADS.</t>
        </is>
      </c>
      <c r="L72" s="24" t="inlineStr">
        <is>
          <t>Predominantly negative unlevered free cash flows across the explicit forecast; terminal value grown off a near-zero terminal cash flow (a numerically fragile case); zero-to-low perpetuity growth band; deferred-revenue-heavy consumer subscription working capital; small-currency RMB to USD per-ADS translation; going-concern value that depends almost entirely on the terminal year.</t>
        </is>
      </c>
      <c r="M72" s="24" t="inlineStr">
        <is>
          <t>Numerically stable terminal-value computation when the terminal cash flow is near zero (and the ability to flag that the result is dominated by terminal value); support for sustained negative operating cash flow without breaking IRR/value calculations; deferred revenue as a cash-flow source during subscriber growth and a drain during churn.</t>
        </is>
      </c>
      <c r="N72" s="24" t="inlineStr">
        <is>
          <t>A deliberately hard numerical case — it exposes divide-by-small-number instability in terminal value and tests whether CFDL produces sensible diagnostics rather than silently large numbers. Also a small-company subscription unit-economics example.</t>
        </is>
      </c>
      <c r="O72" s="24" t="inlineStr">
        <is>
          <t>OK</t>
        </is>
      </c>
    </row>
    <row r="73" ht="96" customHeight="1" s="18">
      <c r="A73" s="28" t="n">
        <v>72</v>
      </c>
      <c r="B73" s="28" t="inlineStr">
        <is>
          <t>OpCo &amp; Corporate Finance (existing pack + roadmap)</t>
        </is>
      </c>
      <c r="C73" s="28" t="inlineStr">
        <is>
          <t>Sports media rights / events (contract-driven revenue)</t>
        </is>
      </c>
      <c r="D73" s="28" t="inlineStr">
        <is>
          <t>Deutsche Bank preliminary valuation summary for Wanda Sports Group — Exhibit 99(c)(6) to Schedule 13E-3</t>
        </is>
      </c>
      <c r="E73" s="28" t="inlineStr">
        <is>
          <t>Deutsche Bank, filed with the SEC by Wanda Sports Group Company Limited (CIK 1594326), September 3, 2020</t>
        </is>
      </c>
      <c r="F73" s="29" t="inlineStr">
        <is>
          <t>https://www.sec.gov/Archives/edgar/data/1594326/000095014220002871/eh200121088_ex99c6.htm</t>
        </is>
      </c>
      <c r="G73" s="28" t="inlineStr">
        <is>
          <t>free to view, no download</t>
        </is>
      </c>
      <c r="H73" s="28" t="inlineStr">
        <is>
          <t>Not stated; deck carries "prepared exclusively for the benefit and internal use of the recipient." Public via SEC EDGAR.</t>
        </is>
      </c>
      <c r="I73" s="28" t="inlineStr">
        <is>
          <t>full cash flow table available</t>
        </is>
      </c>
      <c r="J73" s="28" t="inlineStr">
        <is>
          <t>Banker DCF with EBITDA exit-multiple terminal value and explicit contract-renewal scenarios</t>
        </is>
      </c>
      <c r="K73" s="28" t="inlineStr">
        <is>
          <t>Deutsche Bank's valuation of Wanda Sports Group in connection with the controlling shareholder's buy-in. Free cash flows are projected 2021–2024 ranging from $5mm to $106mm, with 2024E revenue of $908mm, adjusted EBITDA of $90mm and FCF of $88mm. WACC is 10.1%, built from a 12.9% cost of equity and a 3.8% after-tax cost of debt. Terminal value uses 7.0x/7.5x/8.0x terminal-year EBITDA, giving $2.04/$2.25/$2.47 per ADS in the 'With Lega Prolongation' case at a 10% WACC; the full range across scenarios is $1.06–$2.78 per ADS against a $2.11 market price.</t>
        </is>
      </c>
      <c r="L73" s="28" t="inlineStr">
        <is>
          <t>Explicit contract-renewal scenario branching (whether a major rights contract is prolonged) that changes the entire cash flow path, not just a growth rate; disclosed WACC build from cost of equity and after-tax cost of debt components; EBITDA exit-multiple terminal value; per-ADS bridge; premium-to-market analysis at multiple offer prices (e.g. $3.17 = 50% premium = 9.6x CY21 EBITDA).</t>
        </is>
      </c>
      <c r="M73" s="28" t="inlineStr">
        <is>
          <t>Model a contract as a first-class object with a term, a renewal probability or a binary renewal scenario, and cash flows that stop or continue accordingly; expose the WACC build as a computed value from named components rather than an input constant; produce implied-multiple outputs (EV/EBITDA at a given price) alongside value outputs.</t>
        </is>
      </c>
      <c r="N73" s="28" t="inlineStr">
        <is>
          <t>Tests contract-level modeling — the sports-rights renewal branch is structurally the same as a franchise agreement renewal or a healthcare payer contract. Also verifies that CFDL's WACC build and implied-multiple diagnostics match a disclosed banker build.</t>
        </is>
      </c>
      <c r="O73" s="28" t="inlineStr">
        <is>
          <t>OK</t>
        </is>
      </c>
    </row>
    <row r="74" ht="96" customHeight="1" s="18">
      <c r="A74" s="24" t="n">
        <v>73</v>
      </c>
      <c r="B74" s="24" t="inlineStr">
        <is>
          <t>OpCo &amp; Corporate Finance (existing pack + roadmap)</t>
        </is>
      </c>
      <c r="C74" s="24" t="inlineStr">
        <is>
          <t>Oil and gas exploration and production</t>
        </is>
      </c>
      <c r="D74" s="24" t="inlineStr">
        <is>
          <t>Hess Corporation / Chevron merger proxy (DEFM14A) — Goldman Sachs Illustrative Discounted Cash Flow Analysis and Hess Unaudited Prospective Financial Information</t>
        </is>
      </c>
      <c r="E74" s="24" t="inlineStr">
        <is>
          <t>Hess Corporation (CIK 4447), filed April 26, 2024</t>
        </is>
      </c>
      <c r="F74" s="25" t="inlineStr">
        <is>
          <t>https://www.sec.gov/Archives/edgar/data/4447/000119312524118240/d821055ddefm14a.htm</t>
        </is>
      </c>
      <c r="G74" s="24" t="inlineStr">
        <is>
          <t>free to view, no download</t>
        </is>
      </c>
      <c r="H74" s="24" t="inlineStr">
        <is>
          <t>Not stated. Public via SEC EDGAR.</t>
        </is>
      </c>
      <c r="I74" s="24" t="inlineStr">
        <is>
          <t>assumptions and outputs only</t>
        </is>
      </c>
      <c r="J74" s="24" t="inlineStr">
        <is>
          <t>All-stock merger fairness analysis — illustrative DCF, net asset value, and exchange-ratio analysis for both acquirer and target</t>
        </is>
      </c>
      <c r="K74" s="24" t="inlineStr">
        <is>
          <t>The definitive proxy for the Chevron acquisition of Hess. I verified the document resolves and that it contains the section 'The Merger — Opinion of Hess' Financial Advisor' (from p. 55), 'Hess Unaudited Prospective Financial Information' (from p. 64), and Goldman Sachs' full written opinion dated October 22, 2023 as Annex C; the fetch was truncated before those pages, so the specific figures were not read directly. The disclosed Hess projections are the basis for the Guyana Stabroek block production ramp that drove the deal's contested valuation.</t>
        </is>
      </c>
      <c r="L74" s="24" t="inlineStr">
        <is>
          <t>Illustrative DCF on a reserve-life production profile rather than a perpetuity; commodity price deck as an exogenous driver; asset-level (Stabroek block) cash flow build with a working interest percentage; all-stock consideration requiring both companies to be valued to derive an implied exchange ratio; sensitivity to price deck and discount rate.</t>
        </is>
      </c>
      <c r="M74" s="24" t="inlineStr">
        <is>
          <t>Express a finite-life asset whose cash flows are driven by a declining production profile against a price curve, with no perpetuity terminal value; support fractional working interests in an asset shared between partners; value two entities simultaneously and derive an exchange ratio as a ratio of per-share values.</t>
        </is>
      </c>
      <c r="N74" s="24" t="inlineStr">
        <is>
          <t>Proves CFDL can handle finite-life, production-driven assets and stock-for-stock consideration, and gives a public benchmark for an exchange-ratio calculation. Note: the numeric tables must be read from the filing directly, since the automated fetch truncates this very large document.</t>
        </is>
      </c>
      <c r="O74" s="24" t="inlineStr">
        <is>
          <t>OK</t>
        </is>
      </c>
    </row>
    <row r="75" ht="96" customHeight="1" s="18">
      <c r="A75" s="28" t="n">
        <v>74</v>
      </c>
      <c r="B75" s="28" t="inlineStr">
        <is>
          <t>OpCo &amp; Corporate Finance (existing pack + roadmap)</t>
        </is>
      </c>
      <c r="C75" s="28" t="inlineStr">
        <is>
          <t>Enterprise software / data observability (subscription and term-license SaaS)</t>
        </is>
      </c>
      <c r="D75" s="28" t="inlineStr">
        <is>
          <t>Splunk Inc. / Cisco merger proxy (DEFM14A) — Qatalyst Partners and Morgan Stanley opinions, Management Projections</t>
        </is>
      </c>
      <c r="E75" s="28" t="inlineStr">
        <is>
          <t>Splunk Inc. (CIK 1353283), filed October 30, 2023</t>
        </is>
      </c>
      <c r="F75" s="29" t="inlineStr">
        <is>
          <t>https://www.sec.gov/Archives/edgar/data/1353283/000114036123050211/ny20011269x2_defm14a.htm</t>
        </is>
      </c>
      <c r="G75" s="28" t="inlineStr">
        <is>
          <t>free to view, no download</t>
        </is>
      </c>
      <c r="H75" s="28" t="inlineStr">
        <is>
          <t>Not stated. Public via SEC EDGAR.</t>
        </is>
      </c>
      <c r="I75" s="28" t="inlineStr">
        <is>
          <t>assumptions and outputs only</t>
        </is>
      </c>
      <c r="J75" s="28" t="inlineStr">
        <is>
          <t>All-cash strategic acquisition fairness analysis with disclosed management projections</t>
        </is>
      </c>
      <c r="K75" s="28" t="inlineStr">
        <is>
          <t>The definitive proxy for Cisco's $157.00 per share all-cash acquisition of Splunk. I verified the document resolves and confirmed it contains a 'Management Projections' section (from p. 61) and Qatalyst Partners' written opinion dated September 20, 2023 as Annex C-1, plus a Morgan Stanley opinion; the fetch truncated before the projection tables. Splunk is a strong SaaS test case because of its mid-transition mix of term licenses and cloud subscriptions.</t>
        </is>
      </c>
      <c r="L75" s="28" t="inlineStr">
        <is>
          <t>Term-license versus cloud-subscription revenue recognition split (a large timing difference between bookings, revenue and cash); annual recurring revenue as the forecast driver; stock-based compensation treatment in unlevered FCF; net operating loss carryforward valued separately from the operating DCF; mid-period discounting.</t>
        </is>
      </c>
      <c r="M75" s="28" t="inlineStr">
        <is>
          <t>Model two revenue recognition regimes on the same customer contract base (upfront term license vs. ratable cloud) with distinct cash and revenue timing; carry ARR as a stock that rolls forward with new bookings, expansion and churn; value an NOL pool as a separate discounted tax-shield stream added to the equity bridge.</t>
        </is>
      </c>
      <c r="N75" s="28" t="inlineStr">
        <is>
          <t>A large, well-known SaaS transaction whose disclosed projections let CFDL test the ARR-roll-forward and license-vs-subscription revenue timing constructs against banker-sanctioned numbers. Same caveat as Hess: read the tables directly from the filing.</t>
        </is>
      </c>
      <c r="O75" s="28" t="inlineStr">
        <is>
          <t>OK</t>
        </is>
      </c>
    </row>
    <row r="76" ht="96" customHeight="1" s="18">
      <c r="A76" s="24" t="n">
        <v>75</v>
      </c>
      <c r="B76" s="24" t="inlineStr">
        <is>
          <t>OpCo &amp; Corporate Finance (existing pack + roadmap)</t>
        </is>
      </c>
      <c r="C76" s="24" t="inlineStr">
        <is>
          <t>Analytics software / SaaS</t>
        </is>
      </c>
      <c r="D76" s="24" t="inlineStr">
        <is>
          <t>Alteryx, Inc. take-private merger proxy (DEFM14A) — Clearlake Capital / Insight Partners at $48.25 per share</t>
        </is>
      </c>
      <c r="E76" s="24" t="inlineStr">
        <is>
          <t>Alteryx, Inc. (CIK 1689923), filed 2024</t>
        </is>
      </c>
      <c r="F76" s="25" t="inlineStr">
        <is>
          <t>https://www.sec.gov/Archives/edgar/data/1689923/000119312524029921/d659085ddefm14a.htm</t>
        </is>
      </c>
      <c r="G76" s="24" t="inlineStr">
        <is>
          <t>free to view, no download</t>
        </is>
      </c>
      <c r="H76" s="24" t="inlineStr">
        <is>
          <t>Not stated. Public via SEC EDGAR.</t>
        </is>
      </c>
      <c r="I76" s="24" t="inlineStr">
        <is>
          <t>assumptions and outputs only</t>
        </is>
      </c>
      <c r="J76" s="24" t="inlineStr">
        <is>
          <t>Sponsor take-private (LBO) fairness analysis</t>
        </is>
      </c>
      <c r="K76" s="24" t="inlineStr">
        <is>
          <t>The definitive proxy for the acquisition of Alteryx by Azurite Intermediate Holdings, backed by Clearlake Capital Group and Insight Venture Management, at $48.25 per share in cash. I verified the document resolves, identifies the buyer group and price, and contains a 'Financial Projections' section (from p. 79) plus Qatalyst Partners' fairness opinion dated December 18, 2023 as Annex B; the fetch truncated before the numeric tables. This is a sponsor deal, so the proxy also describes the debt and equity financing commitments behind the buyout.</t>
        </is>
      </c>
      <c r="L76" s="24" t="inlineStr">
        <is>
          <t>Sponsor equity plus committed debt financing sources and uses; rollover of existing convertible notes and their change-of-control treatment; treatment of unvested equity awards at closing (accelerated, cashed out, or converted); SaaS company with negative GAAP income but positive free cash flow; NOL carryforwards surviving a change of control subject to Section 382 limitation.</t>
        </is>
      </c>
      <c r="M76" s="24" t="inlineStr">
        <is>
          <t>Express a sources-and-uses table where equity is the plug; model convertible instruments with change-of-control conversion mechanics; model equity award treatment as a distinct closing cash outflow driven by a share count and a strike price schedule; apply a Section 382-style annual cap on NOL usage after a change of control.</t>
        </is>
      </c>
      <c r="N76" s="24" t="inlineStr">
        <is>
          <t>The LBO/take-private counterpart to the strategic-deal proxies: gives CFDL a real sources-and-uses, a real change-of-control equity award payout, and a real convertible note treatment to reproduce. Read the numeric tables directly from the filing.</t>
        </is>
      </c>
      <c r="O76" s="24" t="inlineStr">
        <is>
          <t>OK</t>
        </is>
      </c>
    </row>
    <row r="77" ht="96" customHeight="1" s="18">
      <c r="A77" s="28" t="n">
        <v>76</v>
      </c>
      <c r="B77" s="28" t="inlineStr">
        <is>
          <t>OpCo &amp; Corporate Finance (existing pack + roadmap)</t>
        </is>
      </c>
      <c r="C77" s="28" t="inlineStr">
        <is>
          <t>Cross-industry — generic sponsor buyout of a mid-market operating company</t>
        </is>
      </c>
      <c r="D77" s="28" t="inlineStr">
        <is>
          <t>Advanced LBO Modeling (7-step build with downloadable Excel at each step)</t>
        </is>
      </c>
      <c r="E77" s="28" t="inlineStr">
        <is>
          <t>Multiple Expansion</t>
        </is>
      </c>
      <c r="F77" s="29" t="inlineStr">
        <is>
          <t>https://multipleexpansion.com/2020/06/13/advanced-lbo-modeling/</t>
        </is>
      </c>
      <c r="G77" s="28" t="inlineStr">
        <is>
          <t>direct download</t>
        </is>
      </c>
      <c r="H77" s="28" t="inlineStr">
        <is>
          <t>"Copyright © 2025 MultipleExpansion.com. All Rights Reserved." No open license stated; files are downloadable without registration or payment. Direct files: https://multipleexpansion.com/excel/advanced-lbo-model-step-1.xlsx and https://multipleexpansion.com/excel/advanced-lbo-model-step-7.xlsx (both verified to download).</t>
        </is>
      </c>
      <c r="I77" s="28" t="inlineStr">
        <is>
          <t>full cash flow table available</t>
        </is>
      </c>
      <c r="J77" s="28" t="inlineStr">
        <is>
          <t>Full leveraged buyout model with financing cases, debt schedule and returns analysis</t>
        </is>
      </c>
      <c r="K77" s="28" t="inlineStr">
        <is>
          <t>A complete sponsor LBO built up in seven downloadable stages, from a bare structure to a fully functional model. The financing cases are Base at 6.0x total leverage, High Leverage at 7.5x, and Low Leverage at 4.5x, each with its own tranche pricing. Entry multiples span 8.0x–10.0x EBITDA and exit multiples 7.0x–11.0x, with a 5.0% management rollover baseline, producing MoIC and IRR sensitivity grids across entry/exit multiple combinations.</t>
        </is>
      </c>
      <c r="L77" s="28" t="inlineStr">
        <is>
          <t>Revolver with a commitment fee on the undrawn balance and a minimum cash balance; Term Loan B with mandatory amortization plus an excess-cash-flow sweep; Senior Notes and Subordinated Notes with bullet maturities and cash interest; cash flow available for debt service cascading through the tranche priority; circular interest expense (interest depends on average balances which depend on cash flow which depends on interest); management rollover equity and option pool dilution at exit; sources and uses with fees; MoIC and IRR over a defined hold period; scenario switching via self-referencing case logic.</t>
        </is>
      </c>
      <c r="M77" s="28" t="inlineStr">
        <is>
          <t>Declare debt tranches as first-class objects with priority, amortization schedule, coupon, cash-vs-PIK election, and sweep participation; resolve the interest/cash-flow circularity natively; enforce a minimum cash balance that drives revolver draws and repayments; express a waterfall of cash application across tranches in priority order; compute IRR and MoIC on a dated cash flow stream including a mid-hold dividend recap if present; support named financing cases that swap leverage and pricing together.</t>
        </is>
      </c>
      <c r="N77" s="28" t="inlineStr">
        <is>
          <t>The single densest test of debt-schedule mechanics available for free. If CFDL reproduces step-7 exactly across all three financing cases and the full entry/exit sensitivity grid, it has demonstrated revolver sweeps, minimum cash, tranche priority, circular interest, and returns math in one artifact.</t>
        </is>
      </c>
      <c r="O77" s="28" t="inlineStr">
        <is>
          <t>OK</t>
        </is>
      </c>
    </row>
    <row r="78" ht="96" customHeight="1" s="18">
      <c r="A78" s="24" t="n">
        <v>77</v>
      </c>
      <c r="B78" s="24" t="inlineStr">
        <is>
          <t>OpCo &amp; Corporate Finance (existing pack + roadmap)</t>
        </is>
      </c>
      <c r="C78" s="24" t="inlineStr">
        <is>
          <t>Cross-industry operating company</t>
        </is>
      </c>
      <c r="D78" s="24" t="inlineStr">
        <is>
          <t>DCF Like a Banker (with downloadable Excel DCF template)</t>
        </is>
      </c>
      <c r="E78" s="24" t="inlineStr">
        <is>
          <t>Multiple Expansion</t>
        </is>
      </c>
      <c r="F78" s="25" t="inlineStr">
        <is>
          <t>https://multipleexpansion.com/2017/11/07/dcf/</t>
        </is>
      </c>
      <c r="G78" s="24" t="inlineStr">
        <is>
          <t>direct download</t>
        </is>
      </c>
      <c r="H78" s="24" t="inlineStr">
        <is>
          <t>"Copyright © 2025 MultipleExpansion.com. All Rights Reserved." No registration required. Direct file: https://multipleexpansion.com/excel/dcf.xlsx (verified to download).</t>
        </is>
      </c>
      <c r="I78" s="24" t="inlineStr">
        <is>
          <t>full cash flow table available</t>
        </is>
      </c>
      <c r="J78" s="24" t="inlineStr">
        <is>
          <t>Banker-convention DCF with dual terminal value methods and cross-checks</t>
        </is>
      </c>
      <c r="K78" s="24" t="inlineStr">
        <is>
          <t>A practitioner DCF template that deliberately computes terminal value both ways and reconciles them. Perpetuity growth rates are illustrated at 1.00%–2.50% with guidance that up to 3.00% is standard; the exit-multiple method applies an EV/LTM EBITDA multiple to the terminal-year figure. The template's stated validation trick is that copying the implied perpetuity growth rates back into the assumed-growth row should regenerate the assumed exit multiples — a built-in self-consistency check.</t>
        </is>
      </c>
      <c r="L78" s="24" t="inlineStr">
        <is>
          <t>Mid-year discounting convention (cash flows assumed to arrive mid-period); terminal value via Gordon growth and via exit multiple, computed simultaneously; implied-exit-multiple and implied-perpetuity-growth reconciliation as a diagnostic; unlevered free cash flow build from EBIT through taxes, D&amp;A, capex and working capital; enterprise-to-equity bridge.</t>
        </is>
      </c>
      <c r="M78" s="24" t="inlineStr">
        <is>
          <t>Support both terminal value formulations on the same model without duplication, and derive each one's implied version of the other as a computed diagnostic; support a mid-year convention switch; express a stub period for a valuation date that falls mid-fiscal-year.</t>
        </is>
      </c>
      <c r="N78" s="24" t="inlineStr">
        <is>
          <t>Directly targets the terminal-value convention matrix. A round-trip test — assume an exit multiple, read the implied growth, feed it back as the assumed growth, confirm the original multiple returns — is a clean invariant that CFDL can assert automatically.</t>
        </is>
      </c>
      <c r="O78" s="24" t="inlineStr">
        <is>
          <t>OK</t>
        </is>
      </c>
    </row>
    <row r="79" ht="96" customHeight="1" s="18">
      <c r="A79" s="28" t="n">
        <v>78</v>
      </c>
      <c r="B79" s="28" t="inlineStr">
        <is>
          <t>OpCo &amp; Corporate Finance (existing pack + roadmap)</t>
        </is>
      </c>
      <c r="C79" s="28" t="inlineStr">
        <is>
          <t>Cross-industry — utilities (Southern Co.), diversified manufacturing (Cooper Industries), brokerage (Ameritrade), consumer products (UST), agricultural equipment (Massey-Ferguson)</t>
        </is>
      </c>
      <c r="D79" s="28" t="inlineStr">
        <is>
          <t>15.414 Financial Management — problem sets, valuation cases and Excel files</t>
        </is>
      </c>
      <c r="E79" s="28" t="inlineStr">
        <is>
          <t>MIT OpenCourseWare, MIT Sloan School of Management (Prof. Jonathan Lewellen, Summer 2003)</t>
        </is>
      </c>
      <c r="F79" s="29" t="inlineStr">
        <is>
          <t>https://ocw.mit.edu/courses/15-414-financial-management-summer-2003/pages/assignments/</t>
        </is>
      </c>
      <c r="G79" s="28" t="inlineStr">
        <is>
          <t>direct download</t>
        </is>
      </c>
      <c r="H79" s="28" t="inlineStr">
        <is>
          <t>Creative Commons BY-NC-SA (MIT OpenCourseWare standard license) — attribution required, non-commercial, share-alike. This is the most permissively licensed source in this list.</t>
        </is>
      </c>
      <c r="I79" s="28" t="inlineStr">
        <is>
          <t>full cash flow table available</t>
        </is>
      </c>
      <c r="J79" s="28" t="inlineStr">
        <is>
          <t>Capital budgeting, cost of capital, debt policy and financial distress cases with companion spreadsheets</t>
        </is>
      </c>
      <c r="K79" s="28" t="inlineStr">
        <is>
          <t>A graduate corporate finance course whose assignments pair real company cases with downloadable Excel files: Problem Set 1 on project evaluation with a financial functions spreadsheet; Problem Set 4 on discount rates with Selectronics and portfolio spreadsheets; plus cases on Southern Co. (Acid Rain), Cooper Industries, Cost of Capital at Ameritrade, Debt Policy at UST, and Massey-Ferguson 1980 (a financial distress case). Massey-Ferguson in particular is a classic covenant-breach and restructuring scenario.</t>
        </is>
      </c>
      <c r="L79" s="28" t="inlineStr">
        <is>
          <t>NPV/IRR project evaluation with incremental cash flows and sunk-cost exclusion; pure-play beta unlevering and relevering to derive a divisional cost of capital; optimal capital structure with tax shields against distress costs; debt covenant compliance and the cash flow consequences of breach; multi-division firms where each division carries its own discount rate.</t>
        </is>
      </c>
      <c r="M79" s="28" t="inlineStr">
        <is>
          <t>Support divisional or segment-level discount rates within one consolidated entity; express beta unlevering/relevering as a computed step rather than an assumption; represent covenants as testable conditions on computed ratios with consequences (default, cure, repricing) when breached; distinguish incremental from total cash flows for project-level decisions.</t>
        </is>
      </c>
      <c r="N79" s="28" t="inlineStr">
        <is>
          <t>The only source here with an unambiguous reuse license, which makes it safe to ship as CFDL example deals. Covenant and divisional-WACC mechanics are common gaps in modeling languages; these cases exercise both with published solutions.</t>
        </is>
      </c>
      <c r="O79" s="28" t="inlineStr">
        <is>
          <t>OK</t>
        </is>
      </c>
    </row>
    <row r="80" ht="96" customHeight="1" s="18">
      <c r="A80" s="24" t="n">
        <v>79</v>
      </c>
      <c r="B80" s="24" t="inlineStr">
        <is>
          <t>OpCo &amp; Corporate Finance (existing pack + roadmap)</t>
        </is>
      </c>
      <c r="C80" s="24" t="inlineStr">
        <is>
          <t>Private equity buyout fund (fund-level, not asset-level)</t>
        </is>
      </c>
      <c r="D80" s="24" t="inlineStr">
        <is>
          <t>ILPA Model Limited Partnership Agreement (Whole-of-Fund Waterfall), July 2020</t>
        </is>
      </c>
      <c r="E80" s="24" t="inlineStr">
        <is>
          <t>Institutional Limited Partners Association (ILPA)</t>
        </is>
      </c>
      <c r="F80" s="25" t="inlineStr">
        <is>
          <t>https://ilpa.org/wp-content/uploads/2020/07/ILPA-Model-Limited-Partnership-Agreement-Whole-of-Fund-Waterfall-July-2020.pdf</t>
        </is>
      </c>
      <c r="G80" s="24" t="inlineStr">
        <is>
          <t>direct download</t>
        </is>
      </c>
      <c r="H80" s="24" t="inlineStr">
        <is>
          <t>No explicit copyright or reuse license found in the document. The header states: "This Model Limited Partnership Agreement is the work product of an international group of counsel working under the direction of the Institutional Limited Partners Association (ILPA). This document is intended to serve as a starting point for forming a private equity buyout fund and should be tailored to meet your specific requirements." A companion overview is at https://ilpa.org/wp-content/uploads/2020/07/ILPA-Model-LPA-Overview-WOF-Version-1.pdf</t>
        </is>
      </c>
      <c r="I80" s="24" t="inlineStr">
        <is>
          <t>methodology only</t>
        </is>
      </c>
      <c r="J80" s="24" t="inlineStr">
        <is>
          <t>Fund distribution waterfall, capital account and carried interest legal specification</t>
        </is>
      </c>
      <c r="K80" s="24" t="inlineStr">
        <is>
          <t>The industry's reference legal text for a whole-of-fund (European) waterfall. Section 14 sets the order of distributions — return of capital contributions and fund expenses, then preferred return, then GP catch-up, then the carried interest split — with the preferred return specified as "an annual rate of return of [8]%, compounded annually and calculated daily on the Capital Contributions." Catch-up and carry percentages are left as bracketed placeholders for the sponsor to fill. Section 14.7 sets out the clawback obligation requiring the GP to return distributions if the LPs' preferred return is ultimately not covered.</t>
        </is>
      </c>
      <c r="L80" s="24" t="inlineStr">
        <is>
          <t>Whole-of-fund (European) waterfall where all LP capital across all investments is returned before any carry is paid, contrasted with the deal-by-deal (American) alternative; preferred return compounded annually but accrued daily on the timing of each capital contribution; GP catch-up tier; GP clawback with interim and final true-ups; recallable distributions; management fee offsets; capital account allocations distinct from cash distributions.</t>
        </is>
      </c>
      <c r="M80" s="24" t="inlineStr">
        <is>
          <t>Express a waterfall as an ordered set of tiers each with its own test (return of capital, hurdle achieved, catch-up satisfied) and split; accrue a preferred return with daily compounding on irregularly timed contributions; distinguish a European from an American waterfall as a configuration rather than a rewrite; maintain per-LP capital accounts alongside fund-level cash; model a clawback as a contingent reverse cash flow evaluated at fund termination; support recallable distributions that restore unfunded commitment.</t>
        </is>
      </c>
      <c r="N80" s="24" t="inlineStr">
        <is>
          <t>The authoritative definition of the mechanics CFDL must implement for fund-level modeling. Reproducing its waterfall and clawback language exactly is the strongest possible correctness claim for CFDL's fund constructs, and the bracketed placeholders make it a natural parameterized template.</t>
        </is>
      </c>
      <c r="O80" s="24" t="inlineStr">
        <is>
          <t>OK</t>
        </is>
      </c>
    </row>
    <row r="81" ht="96" customHeight="1" s="18">
      <c r="A81" s="28" t="n">
        <v>80</v>
      </c>
      <c r="B81" s="28" t="inlineStr">
        <is>
          <t>OpCo &amp; Corporate Finance (existing pack + roadmap)</t>
        </is>
      </c>
      <c r="C81" s="28" t="inlineStr">
        <is>
          <t>Private equity / private markets fund administration</t>
        </is>
      </c>
      <c r="D81" s="28" t="inlineStr">
        <is>
          <t>ILPA Capital Call &amp; Distribution Template (v2.0) and ILPA Reporting Template</t>
        </is>
      </c>
      <c r="E81" s="28" t="inlineStr">
        <is>
          <t>Institutional Limited Partners Association (ILPA)</t>
        </is>
      </c>
      <c r="F81" s="29" t="inlineStr">
        <is>
          <t>https://ilpa.org/industry-guidance/templates-standards-model-documents/ilpa-templates-hub/ilpa-capital-call-distribution-template/</t>
        </is>
      </c>
      <c r="G81" s="28" t="inlineStr">
        <is>
          <t>free registration</t>
        </is>
      </c>
      <c r="H81" s="28" t="inlineStr">
        <is>
          <t>Not stated on the page; general site Terms of Use apply (https://ilpa.org/terms-of-use/). Downloads are provided as a zipped package (https://go.ilpa.org/l/224412/2025-09-11/27t61j) with suggested guidance at https://ilpa.org/wp-content/uploads/2025/09/ILPA-Suggested-Guidance-2025-Final.pdf. The companion Reporting Template hub is at https://ilpa.org/industry-guidance/templates-standards-model-documents/ilpa-templates-hub/ilpa-reporting-template/ with a 2016 XLSX at https://ilpa.org/resource/ilpa-reporting-template-xlsx/</t>
        </is>
      </c>
      <c r="I81" s="28" t="inlineStr">
        <is>
          <t>methodology only</t>
        </is>
      </c>
      <c r="J81" s="28" t="inlineStr">
        <is>
          <t>Standardized fund cash flow notice and LP reporting schema</t>
        </is>
      </c>
      <c r="K81" s="28" t="inlineStr">
        <is>
          <t>The Capital Call &amp; Distribution Template standardizes the line-item composition of every capital call and distribution notice an LP receives — the split between investment capital, management fees, partnership expenses and organizational costs on the call side, and between return of capital, realized gain, income, recallable amounts and carried interest on the distribution side. The Reporting Template standardizes ongoing disclosure of "fees, expenses and carried interest." Together they define the canonical data model for LP-side fund cash flows.</t>
        </is>
      </c>
      <c r="L81" s="28" t="inlineStr">
        <is>
          <t>Decomposition of a single capital call into its purpose-coded components; recallable versus non-recallable distributions and their effect on remaining unfunded commitment; management fee offsets from transaction, monitoring and directors' fees; carried interest shown gross and net; equalization of late-closing LPs with interest; partner-level allocation of fund-level amounts.</t>
        </is>
      </c>
      <c r="M81" s="28" t="inlineStr">
        <is>
          <t>Represent a cash flow as a typed, decomposable object rather than a scalar, so a call or distribution carries component parts that roll up; track unfunded commitment as a stock affected differently by recallable and non-recallable distributions; net fee offsets against management fee accruals; allocate fund-level amounts to LPs by commitment percentage with equalization adjustments for staggered closes.</t>
        </is>
      </c>
      <c r="N81" s="28" t="inlineStr">
        <is>
          <t>Defines the schema CFDL's fund-level cash flow objects should conform to. Conforming to ILPA line items means CFDL output can be checked line-for-line against real LP statements, and makes CFDL immediately interoperable with existing LP reporting.</t>
        </is>
      </c>
      <c r="O81" s="28" t="inlineStr">
        <is>
          <t>OK</t>
        </is>
      </c>
    </row>
    <row r="82" ht="96" customHeight="1" s="18">
      <c r="A82" s="24" t="n">
        <v>81</v>
      </c>
      <c r="B82" s="24" t="inlineStr">
        <is>
          <t>OpCo &amp; Corporate Finance (existing pack + roadmap)</t>
        </is>
      </c>
      <c r="C82" s="24" t="inlineStr">
        <is>
          <t>Private equity — buyout, growth, venture, credit (fund-level)</t>
        </is>
      </c>
      <c r="D82" s="24" t="inlineStr">
        <is>
          <t>Private Equity Program (PEP) Fund Performance Review — fund-by-fund cash flow disclosure</t>
        </is>
      </c>
      <c r="E82" s="24" t="inlineStr">
        <is>
          <t>California Public Employees' Retirement System (CalPERS)</t>
        </is>
      </c>
      <c r="F82" s="25" t="inlineStr">
        <is>
          <t>https://www.calpers.ca.gov/investments/about-investment-office/investment-organization/pep-fund-performance</t>
        </is>
      </c>
      <c r="G82" s="24" t="inlineStr">
        <is>
          <t>free to view, no download</t>
        </is>
      </c>
      <c r="H82" s="24" t="inlineStr">
        <is>
          <t>Not stated. California public agency disclosure; published under state public-records practice. Companion: Private Equity Annual Program Review, June 2025 (https://www.calpers.ca.gov/documents/202506-invest-agenda-item06c-01/download?inline=)</t>
        </is>
      </c>
      <c r="I82" s="24" t="inlineStr">
        <is>
          <t>full cash flow table available</t>
        </is>
      </c>
      <c r="J82" s="24" t="inlineStr">
        <is>
          <t>Realized LP cash flow and performance dataset across several hundred partnerships</t>
        </is>
      </c>
      <c r="K82" s="24" t="inlineStr">
        <is>
          <t>For every fund CalPERS has ever committed to, the page discloses: fund name, vintage year, capital committed, Cash In (contributions for investments and fees), Cash Out (distributions received), Cash Out &amp; Remaining Value, Net IRR, and Investment Multiple — as of September 30, 2025. The overall portfolio shows a since-inception Net IRR of 11.3% and a 1.5x net multiple. The June 2025 Annual Program Review adds 1/3/5-year and since-inception IRRs (12.7% / 13.0% / 12.4% / 11.1% as of December 31, 2024), TVPI by strategy (1.24x current strategy vs. 1.10x prior), a 2015–2024 contribution and distribution chart, and an illustrative fee/carry economics example on a $1bn commitment ($125mm management fees at 1.25%, $275mm carried interest at 20%).</t>
        </is>
      </c>
      <c r="L82" s="24" t="inlineStr">
        <is>
          <t>Net-of-fee IRR computed on irregularly timed actual LP cash flows with a residual NAV as the terminal inflow; TVPI, DPI and RVPI decomposition; J-curve behavior across vintages; the 2-quarter reporting lag between GP valuation date and LP disclosure; portfolio-level aggregation of hundreds of funds into a single pooled IRR.</t>
        </is>
      </c>
      <c r="M82" s="24" t="inlineStr">
        <is>
          <t>Compute money-weighted IRR on an arbitrary dated cash flow vector with a terminal residual value; compute pooled (cash-flow-aggregated) IRR across many funds rather than an average of IRRs; distinguish gross from net-of-fee measures; handle a valuation-date lag between the reported NAV date and the cash flow date.</t>
        </is>
      </c>
      <c r="N82" s="24" t="inlineStr">
        <is>
          <t>Real, published, independently computed net IRRs and multiples on real cash flows across hundreds of funds — the largest free accuracy benchmark available for CFDL's IRR and multiple calculations. A pooled-portfolio IRR check against CalPERS' 11.3% since-inception figure is a strong end-to-end test.</t>
        </is>
      </c>
      <c r="O82" s="24" t="inlineStr">
        <is>
          <t>OK</t>
        </is>
      </c>
    </row>
    <row r="83" ht="96" customHeight="1" s="18">
      <c r="A83" s="28" t="n">
        <v>82</v>
      </c>
      <c r="B83" s="28" t="inlineStr">
        <is>
          <t>OpCo &amp; Corporate Finance (existing pack + roadmap)</t>
        </is>
      </c>
      <c r="C83" s="28" t="inlineStr">
        <is>
          <t>Private equity / sponsored transactions (fund and deal level)</t>
        </is>
      </c>
      <c r="D83" s="28" t="inlineStr">
        <is>
          <t>Distribution Waterfall — five worked Excel examples</t>
        </is>
      </c>
      <c r="E83" s="28" t="inlineStr">
        <is>
          <t>A Simple Model</t>
        </is>
      </c>
      <c r="F83" s="29" t="inlineStr">
        <is>
          <t>https://www.asimplemodel.com/insights/distribution-waterfall</t>
        </is>
      </c>
      <c r="G83" s="28" t="inlineStr">
        <is>
          <t>free registration</t>
        </is>
      </c>
      <c r="H83" s="28" t="inlineStr">
        <is>
          <t>Not stated. Email address required to receive the download link. Direct file (verified to download): https://www.asimplemodel.com/wp-content/uploads/2021/10/Distribution-Waterfall_5-Examples.xlsx</t>
        </is>
      </c>
      <c r="I83" s="28" t="inlineStr">
        <is>
          <t>full cash flow table available</t>
        </is>
      </c>
      <c r="J83" s="28" t="inlineStr">
        <is>
          <t>Distribution waterfall calculator with escalating structural complexity</t>
        </is>
      </c>
      <c r="K83" s="28" t="inlineStr">
        <is>
          <t>A single workbook with five side-by-side waterfall structures of increasing complexity: (1) a two-tier 80/20 split where LPs receive 100% until they recover capital plus an 8% annual preferred return, then 80/20; (2) a three-tier version adding a 20% GP catch-up; (3) a four-tier version where capital is returned first, then the preferred return is paid, then the GP catches up 20% on the preferred return proceeds, then 80/20 applies; (4) an IRR-hurdle version where the promote escalates as the sponsor clears successive IRR thresholds. Because all five sit in one file with the same input cash flows, the differences between structures are directly observable.</t>
        </is>
      </c>
      <c r="L83" s="28" t="inlineStr">
        <is>
          <t>Two-, three- and four-tier waterfalls on identical inputs; 8% compounding preferred return; GP catch-up at 20% (100% catch-up vs. partial catch-up); IRR-based hurdle tiers requiring a circular solve (the split determines cash flows which determine the IRR which determines the split); promote escalation across hurdles; ordering of return-of-capital before versus after preferred return.</t>
        </is>
      </c>
      <c r="M83" s="28" t="inlineStr">
        <is>
          <t>Solve IRR-based hurdles, which require iterating because the distribution split and the IRR are mutually dependent; parameterize the number of tiers and the catch-up percentage so that structures 1–4 are the same construct with different parameters; support both 'capital first then pref' and 'pref accrued on outstanding capital' orderings.</t>
        </is>
      </c>
      <c r="N83" s="28" t="inlineStr">
        <is>
          <t>The cheapest and cleanest way to prove CFDL's waterfall construct is genuinely parameterized: one CFDL waterfall definition should reproduce all five structures by changing arguments only. The IRR-hurdle example specifically tests the iterative solve that trips up most declarative modeling tools.</t>
        </is>
      </c>
      <c r="O83" s="28" t="inlineStr">
        <is>
          <t>OK</t>
        </is>
      </c>
    </row>
    <row r="84" ht="96" customHeight="1" s="18">
      <c r="A84" s="24" t="n">
        <v>83</v>
      </c>
      <c r="B84" s="24" t="inlineStr">
        <is>
          <t>Transport, Resources &amp; Royalty/IP (roadmap)</t>
        </is>
      </c>
      <c r="C84" s="24" t="inlineStr">
        <is>
          <t>Natural resources — copper/molybdenum/zinc open-pit mining, Sonora, Mexico</t>
        </is>
      </c>
      <c r="D84" s="24" t="inlineStr">
        <is>
          <t>Buenavista del Cobre Mine — S-K 1300 Technical Report Summary (Exhibit 96.6 to FY2024 10-K)</t>
        </is>
      </c>
      <c r="E84" s="24" t="inlineStr">
        <is>
          <t>Southern Copper Corporation, filed with the U.S. SEC (EDGAR)</t>
        </is>
      </c>
      <c r="F84" s="25" t="inlineStr">
        <is>
          <t>https://www.sec.gov/Archives/edgar/data/1001838/000155837025002017/scco-20241231xex96d6.pdf</t>
        </is>
      </c>
      <c r="G84" s="24" t="inlineStr">
        <is>
          <t>direct download</t>
        </is>
      </c>
      <c r="H84" s="24" t="inlineStr">
        <is>
          <t>not stated; filed on SEC EDGAR as a public disclosure document. Copyright of the underlying report rests with the filer/QP; no reuse licence given.</t>
        </is>
      </c>
      <c r="I84" s="24" t="inlineStr">
        <is>
          <t>full cash flow table available</t>
        </is>
      </c>
      <c r="J84" s="24" t="inlineStr">
        <is>
          <t>Regulator-mandated technical report summary with a life-of-mine discounted cash flow</t>
        </is>
      </c>
      <c r="K84" s="24" t="inlineStr">
        <is>
          <t>Buenavista del Cobre is a very-long-life open-pit copper mine in Sonora, Mexico with roughly 41 years of remaining mine life as of 31 December 2024. ROM ore feed ranges from 43 to 74 Mtpy across the LOM plan with a separate 7.3 Mtpy zinc concentrator. LOM capital is approximately US$8.3 billion and the report states an after-tax NPV of US$3.4 billion at a 10% discount rate.</t>
        </is>
      </c>
      <c r="L84" s="24" t="inlineStr">
        <is>
          <t>Multi-product byproduct crediting (Cu cathode, Cu/Mo/Zn concentrates); Mexican mining royalty of 7.5% levied on earnings before taxes rather than on NSR, plus a 0.5% royalty on gross precious-metal sales; royalty deductibility against income tax; per-hectare concession holding fees on a semi-annual schedule; 41-year annual DCF at 10%.</t>
        </is>
      </c>
      <c r="M84" s="24" t="inlineStr">
        <is>
          <t>Express a royalty whose base is an accounting earnings measure (EBT) rather than revenue, which creates a circular dependency with cost and depreciation lines. Express a second royalty on a metal-specific revenue subset. Express deductibility ordering between royalty and income tax. Express fixed per-unit-of-area fees on a semi-annual accrual. Support multi-decade annual schedules with several concurrent product streams and separate processing routes.</t>
        </is>
      </c>
      <c r="N84" s="24" t="inlineStr">
        <is>
          <t>Provides a stated NPV10 of US$3.4bn against a documented 41-year DCF (Table 19.1 'Discounted Cash Flow', p.19-2) — a directly checkable numerical target. The EBT-based royalty is an unusually hard expressiveness test: most modeling DSLs assume royalties are revenue-based, so reproducing this proves CFDL can handle a levy defined on a derived, self-referential quantity.</t>
        </is>
      </c>
      <c r="O84" s="24" t="inlineStr">
        <is>
          <t>OK</t>
        </is>
      </c>
    </row>
    <row r="85" ht="96" customHeight="1" s="18">
      <c r="A85" s="28" t="n">
        <v>84</v>
      </c>
      <c r="B85" s="28" t="inlineStr">
        <is>
          <t>Transport, Resources &amp; Royalty/IP (roadmap)</t>
        </is>
      </c>
      <c r="C85" s="28" t="inlineStr">
        <is>
          <t>Natural resources — gold heap-leach mining, Colorado, USA</t>
        </is>
      </c>
      <c r="D85" s="28" t="inlineStr">
        <is>
          <t>Cripple Creek &amp; Victor Gold Mine — S-K 1300 Technical Report Summary (2025)</t>
        </is>
      </c>
      <c r="E85" s="28" t="inlineStr">
        <is>
          <t>SSR Mining Inc., filed with the U.S. SEC (EDGAR)</t>
        </is>
      </c>
      <c r="F85" s="29" t="inlineStr">
        <is>
          <t>https://www.sec.gov/Archives/edgar/data/921638/000094787125000984/ss5564068_ex9901.htm</t>
        </is>
      </c>
      <c r="G85" s="28" t="inlineStr">
        <is>
          <t>free to view, no download</t>
        </is>
      </c>
      <c r="H85" s="28" t="inlineStr">
        <is>
          <t>not stated; public SEC filing exhibit rendered as HTML on sec.gov.</t>
        </is>
      </c>
      <c r="I85" s="28" t="inlineStr">
        <is>
          <t>full cash flow table available</t>
        </is>
      </c>
      <c r="J85" s="28" t="inlineStr">
        <is>
          <t>S-K 1300 technical report summary; brownfield operating-mine cash flow model</t>
        </is>
      </c>
      <c r="K85" s="28" t="inlineStr">
        <is>
          <t>An operating open-pit gold heap-leach mine with 12 years of active mining (2025–2036) followed by a further ~14 years of residual leach-pad processing, so the revenue tail extends well past the end of mining. About 20 Mt of ore is stacked per year (~52,000 t/d). LOM capital is US$422 million ($159M development plus $263M sustaining), reclamation and closure is US$517 million, and after-tax NPV at a 5% discount rate is US$824 million. No IRR is quoted because it is an operating mine with no initial capital outlay to recover.</t>
        </is>
      </c>
      <c r="L85" s="28" t="inlineStr">
        <is>
          <t>Heap-leach recovery lag — gold revenue continues for roughly 14 years after the last tonne is mined; large deferred closure/reclamation outflow at the end of life; Colorado Metallic Minerals Severance Tax at 2.25% of gross income with a US$19 million per-operation annual exemption; blended NSR royalty burden spanning 0.5%–10.0% modelled at a 5% weighted average; 21% federal plus 4.4% state income tax stacked.</t>
        </is>
      </c>
      <c r="M85" s="28" t="inlineStr">
        <is>
          <t>Decouple production from revenue recognition so that stacked ore converts to metal over a multi-year recovery curve. Express a severance tax with an annual exemption threshold (a piecewise function of gross income, not a flat rate). Express a portfolio of parcel-level royalties with differing rates reduced to a weighted average. Express negative terminal cash flows (closure) discounted over a long tail. Support state-on-federal tax stacking.</t>
        </is>
      </c>
      <c r="N85" s="28" t="inlineStr">
        <is>
          <t>The US$824m NPV5 is a clean check target, and the report explicitly states the full annual cash flow model is in 'Appendix 2: Cash Flow Analysis'. The exemption-threshold severance tax and the post-mining leach tail are two mechanics that break naive per-period revenue models — good regression tests for CFDL's handling of thresholds and production/revenue decoupling.</t>
        </is>
      </c>
      <c r="O85" s="28" t="inlineStr">
        <is>
          <t>OK</t>
        </is>
      </c>
    </row>
    <row r="86" ht="96" customHeight="1" s="18">
      <c r="A86" s="24" t="n">
        <v>85</v>
      </c>
      <c r="B86" s="24" t="inlineStr">
        <is>
          <t>Transport, Resources &amp; Royalty/IP (roadmap)</t>
        </is>
      </c>
      <c r="C86" s="24" t="inlineStr">
        <is>
          <t>Natural resources — copper (with molybdenum, silver, gold byproducts), Pima County, Arizona</t>
        </is>
      </c>
      <c r="D86" s="24" t="inlineStr">
        <is>
          <t>Copper World Phase I Pre-Feasibility Study — NI 43-101 Technical Report (September 2023)</t>
        </is>
      </c>
      <c r="E86" s="24" t="inlineStr">
        <is>
          <t>Hudbay Minerals Inc.</t>
        </is>
      </c>
      <c r="F86" s="25" t="inlineStr">
        <is>
          <t>https://s23.q4cdn.com/405985100/files/doc_downloads/2023/09/20230907-2023-CopperWorld-PFS_FINAL.pdf</t>
        </is>
      </c>
      <c r="G86" s="24" t="inlineStr">
        <is>
          <t>direct download</t>
        </is>
      </c>
      <c r="H86" s="24" t="inlineStr">
        <is>
          <t>not stated; posted publicly on the issuer's investor-relations CDN as a SEDAR+-filed technical report.</t>
        </is>
      </c>
      <c r="I86" s="24" t="inlineStr">
        <is>
          <t>full cash flow table available</t>
        </is>
      </c>
      <c r="J86" s="24" t="inlineStr">
        <is>
          <t>NI 43-101 pre-feasibility study with a full cash flow model</t>
        </is>
      </c>
      <c r="K86" s="24" t="inlineStr">
        <is>
          <t>A 20-year open-pit copper project 28 miles southeast of Tucson, Arizona, producing copper concentrate and copper cathode plus molybdenum, silver and gold byproducts. Valuation metrics are stated at a US$3.75/lb copper price (Table 1-10). The study assumes a US$230 million upfront stream deposit paid by Wheaton Precious Metals at commencement of construction.</t>
        </is>
      </c>
      <c r="L86" s="24" t="inlineStr">
        <is>
          <t>Precious-metals streaming — an upfront deposit received at construction start in exchange for delivering gold/silver at a fixed reduced price for the life of mine; cut-off-grade-driven mill feed scheduling; US federal and Arizona state tax with an explicit income-tax depreciation rate schedule (Table 22-3); separate 'Cash Flow Model – Physicals', '– Unit Costs' and '– Cash Flows' tables (Tables 22-5 to 22-7, pp. 22-9 to 22-10).</t>
        </is>
      </c>
      <c r="M86" s="24" t="inlineStr">
        <is>
          <t>Express a stream as a financing instrument: a lump-sum inflow at a milestone event, then a per-ounce delivery obligation priced below spot for the remaining life, with the discount treated as a revenue deduction. Express MACRS-style depreciation schedules feeding taxable income. Express a cut-off grade policy that determines which material becomes mill feed versus waste. Separate physical, unit-cost and monetary views of the same schedule.</t>
        </is>
      </c>
      <c r="N86" s="24" t="inlineStr">
        <is>
          <t>Streaming is one of the most distinctive structures in mining finance and is a strong test of whether CFDL can express a contract that is simultaneously a financing and a revenue-side deduction. The three parallel cash-flow tables (physicals / unit costs / cash flows) let CFDL validate not just the NPV but the intermediate unit-cost derivations, catching errors that a single bottom-line check would hide.</t>
        </is>
      </c>
      <c r="O86" s="24" t="inlineStr">
        <is>
          <t>OK</t>
        </is>
      </c>
    </row>
    <row r="87" ht="96" customHeight="1" s="18">
      <c r="A87" s="28" t="n">
        <v>86</v>
      </c>
      <c r="B87" s="28" t="inlineStr">
        <is>
          <t>Transport, Resources &amp; Royalty/IP (roadmap)</t>
        </is>
      </c>
      <c r="C87" s="28" t="inlineStr">
        <is>
          <t>Natural resources — underground gold mining (silver byproduct), Eastern Serbia</t>
        </is>
      </c>
      <c r="D87" s="28" t="inlineStr">
        <is>
          <t>Čoka Rakita Project — NI 43-101 Preliminary Economic Assessment (June 2024)</t>
        </is>
      </c>
      <c r="E87" s="28" t="inlineStr">
        <is>
          <t>Dundee Precious Metals Inc.</t>
        </is>
      </c>
      <c r="F87" s="29" t="inlineStr">
        <is>
          <t>https://dpmmetals.com/site/assets/files/16692/g7869_dpm_coka_rakita_ni43101_pea_tech_report_11jun2024_1.pdf</t>
        </is>
      </c>
      <c r="G87" s="28" t="inlineStr">
        <is>
          <t>direct download</t>
        </is>
      </c>
      <c r="H87" s="28" t="inlineStr">
        <is>
          <t>not stated; publicly posted SEDAR+-filed technical report on issuer website.</t>
        </is>
      </c>
      <c r="I87" s="28" t="inlineStr">
        <is>
          <t>full cash flow table available</t>
        </is>
      </c>
      <c r="J87" s="28" t="inlineStr">
        <is>
          <t>NI 43-101 preliminary economic assessment with an annual cash flow model</t>
        </is>
      </c>
      <c r="K87" s="28" t="inlineStr">
        <is>
          <t>A high-grade underground gold project in Eastern Serbia with an approximately 12-year life-of-mine plan, processing roughly 850 kt per year (~2,300 t/d) into gold concentrate. Total capital is on the order of US$321–324 million with US$7/t sustaining capital assumed in operating costs. The economic analysis presents after-tax NPV and IRR with a sensitivity grid.</t>
        </is>
      </c>
      <c r="L87" s="28" t="inlineStr">
        <is>
          <t>Serbian state royalty at 5% of net smelter return; concentrate sales with treatment charges, refining charges and payability deductions specified in the offtake terms (Table 22.1); combined production schedule and cash flow presentation (Table 22.4 'Summary of Production Schedule and Cash Flows'); after-tax sensitivity analysis on metal price, capex and opex.</t>
        </is>
      </c>
      <c r="M87" s="28" t="inlineStr">
        <is>
          <t>Express concentrate marketing terms as a chain of deductions from contained metal to payable metal to net revenue: payability percentages, treatment charge per dry tonne, refining charge per payable ounce, and penalty elements. Express an NSR royalty applied after those deductions but before opex. Support a jointly-indexed production and financial schedule so tonnes, grades and dollars stay aligned period-by-period. Support parameterised sensitivity sweeps over the whole model.</t>
        </is>
      </c>
      <c r="N87" s="28" t="inlineStr">
        <is>
          <t>Concentrate payability chains are where most hand-built models diverge, because the royalty base sits at a specific point in a multi-step deduction sequence. Reproducing Table 22.4 would prove CFDL can express an ordered deduction pipeline and attach a levy at an exact intermediate node, and the published sensitivity grid gives many independent check points from a single model.</t>
        </is>
      </c>
      <c r="O87" s="28" t="inlineStr">
        <is>
          <t>OK</t>
        </is>
      </c>
    </row>
    <row r="88" ht="96" customHeight="1" s="18">
      <c r="A88" s="24" t="n">
        <v>87</v>
      </c>
      <c r="B88" s="24" t="inlineStr">
        <is>
          <t>Transport, Resources &amp; Royalty/IP (roadmap)</t>
        </is>
      </c>
      <c r="C88" s="24" t="inlineStr">
        <is>
          <t>Natural resources — gold, Humboldt County, Nevada (underground plus conceptual open pit)</t>
        </is>
      </c>
      <c r="D88" s="24" t="inlineStr">
        <is>
          <t>Granite Creek Project — NI 43-101 Preliminary Economic Assessment (March 2025)</t>
        </is>
      </c>
      <c r="E88" s="24" t="inlineStr">
        <is>
          <t>i-80 Gold Corp.</t>
        </is>
      </c>
      <c r="F88" s="25" t="inlineStr">
        <is>
          <t>https://www.i80gold.com/wp-content/uploads/2025/03/Granite-Creek-PEA-Technical-Report-Final-03_31_25.pdf</t>
        </is>
      </c>
      <c r="G88" s="24" t="inlineStr">
        <is>
          <t>direct download</t>
        </is>
      </c>
      <c r="H88" s="24" t="inlineStr">
        <is>
          <t>not stated; publicly posted technical report on issuer website.</t>
        </is>
      </c>
      <c r="I88" s="24" t="inlineStr">
        <is>
          <t>full cash flow table available</t>
        </is>
      </c>
      <c r="J88" s="24" t="inlineStr">
        <is>
          <t>NI 43-101 PEA containing a separate income statement and cash flow statement for the underground case</t>
        </is>
      </c>
      <c r="K88" s="24" t="inlineStr">
        <is>
          <t>A hybrid Nevada gold operation: a permitted underground mine already in production averaging about 435 t/d of mineralized material, plus a conceptual open pit. The open-pit base case (heap leach at a 0.55 g/t cut-off) carries US$254.7 million initial capital, after-tax NPV5 of US$417.2 million, IRR of 28.7% and a 3.72-year payback; the underground case with inferred material shows NPV5 of US$155 million and an 84% IRR with a 3.2-year payback.</t>
        </is>
      </c>
      <c r="L88" s="24" t="inlineStr">
        <is>
          <t>Ore sale and toll-treatment arrangements rather than owner-operated processing — refractory material is toll-treated in an offsite autoclave and oxide CIL material is sold to third parties at grade-dependent payment terms varying from 40% to 70%; a stacked royalty burden of 0.02%–7.5% averaging 5.7% plus a separate 10% net profits royalty; Nevada net proceeds tax capped at 5%, a state gold/silver royalty capped at 1.1% of gross revenue, a 2.5605% property tax and a 0.051% commerce tax; straight-line 7- or 15-year depreciation with no salvage.</t>
        </is>
      </c>
      <c r="M88" s="24" t="inlineStr">
        <is>
          <t>Express grade-dependent payment terms as a lookup or step function from ore grade to percentage of contained value received. Express a net profits interest royalty alongside gross-revenue royalties, meaning two royalties with different bases and different positions in the waterfall. Express caps on tax rates ('maximum 5% of net proceeds'). Model toll processing as a per-tonne service fee rather than an owned cost centre. Support two alternative mine cases sharing a common tax and royalty framework.</t>
        </is>
      </c>
      <c r="N88" s="24" t="inlineStr">
        <is>
          <t>The coexistence of a gross NSR royalty package and a 10% net profits royalty in one model is an excellent test of royalty-waterfall ordering; getting the NPI right requires the language to define profit before it defines the royalty that reduces profit. Four separate Nevada-specific taxes with different bases and caps stress-test a tax abstraction. Both NPV5 figures and payback periods are stated and independently checkable.</t>
        </is>
      </c>
      <c r="O88" s="24" t="inlineStr">
        <is>
          <t>OK</t>
        </is>
      </c>
    </row>
    <row r="89" ht="96" customHeight="1" s="18">
      <c r="A89" s="28" t="n">
        <v>88</v>
      </c>
      <c r="B89" s="28" t="inlineStr">
        <is>
          <t>Transport, Resources &amp; Royalty/IP (roadmap)</t>
        </is>
      </c>
      <c r="C89" s="28" t="inlineStr">
        <is>
          <t>Natural resources — copper-gold-silver open-pit mining, San Juan Province, Argentina</t>
        </is>
      </c>
      <c r="D89" s="28" t="inlineStr">
        <is>
          <t>Josemaria Copper-Gold Project — NI 43-101 Feasibility Study Technical Report</t>
        </is>
      </c>
      <c r="E89" s="28" t="inlineStr">
        <is>
          <t>Josemaria Resources / Lundin Mining Corporation</t>
        </is>
      </c>
      <c r="F89" s="29" t="inlineStr">
        <is>
          <t>https://lundinmining.com/site/assets/files/8410/josemaria_resources_technical_report.pdf</t>
        </is>
      </c>
      <c r="G89" s="28" t="inlineStr">
        <is>
          <t>direct download</t>
        </is>
      </c>
      <c r="H89" s="28" t="inlineStr">
        <is>
          <t>not stated; publicly hosted on the issuer's website.</t>
        </is>
      </c>
      <c r="I89" s="28" t="inlineStr">
        <is>
          <t>full cash flow table available</t>
        </is>
      </c>
      <c r="J89" s="28" t="inlineStr">
        <is>
          <t>NI 43-101 feasibility study with a Section 22 economic analysis</t>
        </is>
      </c>
      <c r="K89" s="28" t="inlineStr">
        <is>
          <t>A large open-pit copper-gold project in San Juan Province, Argentina, designed for 120,000 t/d throughput over roughly 19 years, with initial capital of US$2,744 million (Table 1-5). Section 22 covers the full economic analysis including a production schedule and an Argentina-specific fiscal build-up.</t>
        </is>
      </c>
      <c r="L89" s="28" t="inlineStr">
        <is>
          <t>A six-layer Argentine fiscal stack modelled as separate sections: San Juan provincial royalty (22.8.1), a private Lirio DPMA royalty (22.8.2), corporate tax (22.8.3), federal export tax on concentrate shipments (22.8.4), value added tax with recoverable balances (22.8.5), and the debits-and-credits (financial transactions) tax (22.8.6).</t>
        </is>
      </c>
      <c r="M89" s="28" t="inlineStr">
        <is>
          <t>Express a levy on export value distinct from a levy on revenue — export duty applies at the point of shipment and to a different base than the provincial royalty. Express VAT as a timing item: cash paid out on capex and recovered later, affecting working capital and NPV without affecting profit. Express a transactions tax computed on gross cash movements (debits and credits) rather than on income. Layer a private-party royalty alongside a state royalty.</t>
        </is>
      </c>
      <c r="N89" s="28" t="inlineStr">
        <is>
          <t>The debits-and-credits tax is charged on cash flows themselves, which is genuinely recursive — it is a superb test of whether CFDL can define a charge whose base is the model's own cash movement without producing an ill-defined loop. VAT recoverability tests whether the language separates the P&amp;L view from the cash view, which many simple modeling tools conflate.</t>
        </is>
      </c>
      <c r="O89" s="28" t="inlineStr">
        <is>
          <t>OK</t>
        </is>
      </c>
    </row>
    <row r="90" ht="96" customHeight="1" s="18">
      <c r="A90" s="24" t="n">
        <v>89</v>
      </c>
      <c r="B90" s="24" t="inlineStr">
        <is>
          <t>Transport, Resources &amp; Royalty/IP (roadmap)</t>
        </is>
      </c>
      <c r="C90" s="24" t="inlineStr">
        <is>
          <t>Natural resources — underground gold-silver mining, Peru</t>
        </is>
      </c>
      <c r="D90" s="24" t="inlineStr">
        <is>
          <t>San Gabriel Project — S-K 1300 Technical Report Summary (Exhibit 96.2 to FY2024 20-F)</t>
        </is>
      </c>
      <c r="E90" s="24" t="inlineStr">
        <is>
          <t>Compañía de Minas Buenaventura S.A.A., filed with the U.S. SEC (EDGAR)</t>
        </is>
      </c>
      <c r="F90" s="25" t="inlineStr">
        <is>
          <t>https://www.sec.gov/Archives/edgar/data/1013131/000141057825001056/tmb-20241231xex96d2.pdf</t>
        </is>
      </c>
      <c r="G90" s="24" t="inlineStr">
        <is>
          <t>direct download</t>
        </is>
      </c>
      <c r="H90" s="24" t="inlineStr">
        <is>
          <t>not stated; public SEC filing exhibit.</t>
        </is>
      </c>
      <c r="I90" s="24" t="inlineStr">
        <is>
          <t>assumptions and outputs only</t>
        </is>
      </c>
      <c r="J90" s="24" t="inlineStr">
        <is>
          <t>S-K 1300 technical report summary, mid-construction project economics</t>
        </is>
      </c>
      <c r="K90" s="24" t="inlineStr">
        <is>
          <t>An underground gold-silver mine in Peru running from Q2 2025 to Q1 2039 (14.2 years), ramping from 3,000 t/d to a 3,500 t/d peak. Because the project is mid-build, capital is stated as an estimate-to-complete of US$177 million as of 31 December 2024. After-tax NPV is US$191 million at an unusual 8.26% discount rate, with a 21.8% after-tax IRR against a 33.6% pre-tax IRR.</t>
        </is>
      </c>
      <c r="L90" s="24" t="inlineStr">
        <is>
          <t>Peru's layered mining fiscal regime: 29.50% corporate income tax, a Special Mining Tax (IEM) averaging 2.6% over LOM, a Mining Royalty averaging 4.2% over LOM (both are sliding-scale levies on operating margin, hence the LOM-average presentation), 8.0% statutory employee profit sharing, a 1.5% NSR royalty payable to Gold Fields, 99.5% payability on both gold and silver, and 0.29% selling charges on gross revenue. Valuation uses an estimate-to-complete rather than full initial capex.</t>
        </is>
      </c>
      <c r="M90" s="24" t="inlineStr">
        <is>
          <t>Express sliding-scale levies whose rate is a function of an operating-margin ratio that varies year by year, producing a different effective rate each period rather than a constant. Express mandatory employee profit sharing as a pre-tax deduction. Express a project valued from a mid-life 'as-at' date with sunk capital excluded and only remaining spend in the model. Support a non-round discount rate derived from a WACC build.</t>
        </is>
      </c>
      <c r="N90" s="24" t="inlineStr">
        <is>
          <t>The IEM and Peruvian mining royalty are progressive functions of margin — exactly the kind of state-dependent rate that separates a real modeling language from a spreadsheet of constants. The gap between the 33.6% pre-tax and 21.8% after-tax IRR gives two independent checks on whether the entire fiscal stack is correctly ordered, and the estimate-to-complete framing tests mid-life valuation semantics.</t>
        </is>
      </c>
      <c r="O90" s="24" t="inlineStr">
        <is>
          <t>OK</t>
        </is>
      </c>
    </row>
    <row r="91" ht="96" customHeight="1" s="18">
      <c r="A91" s="28" t="n">
        <v>90</v>
      </c>
      <c r="B91" s="28" t="inlineStr">
        <is>
          <t>Transport, Resources &amp; Royalty/IP (roadmap)</t>
        </is>
      </c>
      <c r="C91" s="28" t="inlineStr">
        <is>
          <t>Natural resources — permanent crops / farmland (almond orchard, California)</t>
        </is>
      </c>
      <c r="D91" s="28" t="inlineStr">
        <is>
          <t>2024 Sample Costs to Establish an Orchard and Produce Almonds — San Joaquin Valley North</t>
        </is>
      </c>
      <c r="E91" s="28" t="inlineStr">
        <is>
          <t>University of California Cooperative Extension / UC Agriculture and Natural Resources; UC Davis Department of Agricultural and Resource Economics</t>
        </is>
      </c>
      <c r="F91" s="29" t="inlineStr">
        <is>
          <t>https://coststudyfiles.ucdavis.edu/2024/09/30/AlmondsSJVNorth%20Final%20draft4.pdf</t>
        </is>
      </c>
      <c r="G91" s="28" t="inlineStr">
        <is>
          <t>direct download</t>
        </is>
      </c>
      <c r="H91" s="28" t="inlineStr">
        <is>
          <t>"The University of California, Division of Agriculture and Natural Resources (UC ANR) is an equal opportunity provider." No explicit reuse licence; published as a free public-service extension document.</t>
        </is>
      </c>
      <c r="I91" s="28" t="inlineStr">
        <is>
          <t>full cash flow table available</t>
        </is>
      </c>
      <c r="J91" s="28" t="inlineStr">
        <is>
          <t>Enterprise budget with a multi-year establishment cash flow and amortisation</t>
        </is>
      </c>
      <c r="K91" s="28" t="inlineStr">
        <is>
          <t>A 105-acre farm with 100 acres planted to almonds at 130 trees per acre on 16' x 22' spacing, assumed 25-year orchard life. Cumulative establishment cost through year 3 is US$17,292 per acre; mature yield is 2,200 lb/acre kernel basis at US$1.60/lb. Capital recovery uses 8.25% interest and operating capital is charged at 9%.</t>
        </is>
      </c>
      <c r="L91" s="28" t="inlineStr">
        <is>
          <t>Biological ramp-up — years 1 to 3 are net cash outflows with partial or no yield, and yield steps up to a plateau; establishment cost is capitalised and then amortised over the 22 remaining productive years at 8.25% beginning in year 4; capital recovery cost for equipment and irrigation infrastructure computed on a separate replacement cycle; operating capital interest charged intra-year on the average balance; a ranging analysis grids yields from 1,600 to 3,400 lb/acre against prices from $1.00 to $3.00/lb.</t>
        </is>
      </c>
      <c r="M91" s="28" t="inlineStr">
        <is>
          <t>Express a yield curve indexed to plant age rather than calendar time, so the same orchard block can be planted in any year. Express capitalisation of a multi-year establishment period followed by amortisation over the remaining life at a stated rate. Express capital recovery (annualised cost of a long-lived asset given salvage value and life) as a first-class construct. Express intra-period interest on working capital. Support two-dimensional parameter sweeps producing a profitability surface.</t>
        </is>
      </c>
      <c r="N91" s="28" t="inlineStr">
        <is>
          <t>This is probably the cleanest free permanent-crop benchmark in existence: every line item is published per acre, the establishment total (US$17,292) and the amortisation convention are explicit, and the ranging analysis provides dozens of independent check cells from one model. It directly tests age-indexed biological schedules and the capitalise-then-amortise pattern that also appears in film, pharma and infrastructure assets.</t>
        </is>
      </c>
      <c r="O91" s="28" t="inlineStr">
        <is>
          <t>OK</t>
        </is>
      </c>
    </row>
    <row r="92" ht="96" customHeight="1" s="18">
      <c r="A92" s="24" t="n">
        <v>91</v>
      </c>
      <c r="B92" s="24" t="inlineStr">
        <is>
          <t>Transport, Resources &amp; Royalty/IP (roadmap)</t>
        </is>
      </c>
      <c r="C92" s="24" t="inlineStr">
        <is>
          <t>Natural resources — farmland acquisition, US Midwest</t>
        </is>
      </c>
      <c r="D92" s="24" t="inlineStr">
        <is>
          <t>Evaluating a Land Purchase Decision: Financial Analysis (File C2-77) and Farmland Purchase Analysis Decision Tool (C2-70)</t>
        </is>
      </c>
      <c r="E92" s="24" t="inlineStr">
        <is>
          <t>Iowa State University Extension and Outreach — Ag Decision Maker</t>
        </is>
      </c>
      <c r="F92" s="25" t="inlineStr">
        <is>
          <t>https://www.extension.iastate.edu/agdm/wholefarm/html/c2-77.html</t>
        </is>
      </c>
      <c r="G92" s="24" t="inlineStr">
        <is>
          <t>direct download</t>
        </is>
      </c>
      <c r="H92" s="24" t="inlineStr">
        <is>
          <t>not stated; free extension publication with downloadable PDF and .xlsx decision tool. Authored by William Edwards, November 2015.</t>
        </is>
      </c>
      <c r="I92" s="24" t="inlineStr">
        <is>
          <t>assumptions and outputs only</t>
        </is>
      </c>
      <c r="J92" s="24" t="inlineStr">
        <is>
          <t>Farmland acquisition feasibility model with debt service, in both owner-operator and cash-rent-landlord variants</t>
        </is>
      </c>
      <c r="K92" s="24" t="inlineStr">
        <is>
          <t>A 160-acre Iowa tract (150 tillable) purchased at US$7,500 per acre for US$1.2 million total, financed 60% at 6% amortised over 25 years, farmed in a corn/soybean rotation priced at US$4.00 and US$9.00 per bushel respectively. The worked example produces a net annual cash flow of negative US$18,351, illustrating a purchase that is not self-financing at those assumptions.</t>
        </is>
      </c>
      <c r="L92" s="24" t="inlineStr">
        <is>
          <t>Amortising mortgage with principal/interest split; two alternative income structures for the same asset (own-and-operate crop margin versus cash rent to a tenant); land ownership costs (property tax, insurance) held separate from crop variable costs; debt-service-coverage-style feasibility test rather than an NPV test.</t>
        </is>
      </c>
      <c r="M92" s="24" t="inlineStr">
        <is>
          <t>Express a level-payment amortising loan and decompose each payment into interest and principal. Express the same underlying asset under two mutually exclusive operating structures selected by a switch. Express a solve-for target (maximum affordable price given a required cash flow) as well as a forward calculation. Separate asset-level ownership costs from operating costs so the cash-rent case can drop the latter cleanly.</t>
        </is>
      </c>
      <c r="N92" s="24" t="inlineStr">
        <is>
          <t>A compact, fully specified worked example (US$7,500/acre, 60% LTV, 6%, 25 years → -$18,351) makes an unambiguous unit test for CFDL's debt amortisation and margin arithmetic. The dual owner-operator/landlord framing tests whether CFDL can hold alternative structures over one asset without duplicating the model, which matters for the wider farmland and net-lease use cases.</t>
        </is>
      </c>
      <c r="O92" s="24" t="inlineStr">
        <is>
          <t>OK</t>
        </is>
      </c>
    </row>
    <row r="93" ht="96" customHeight="1" s="18">
      <c r="A93" s="28" t="n">
        <v>92</v>
      </c>
      <c r="B93" s="28" t="inlineStr">
        <is>
          <t>Transport, Resources &amp; Royalty/IP (roadmap)</t>
        </is>
      </c>
      <c r="C93" s="28" t="inlineStr">
        <is>
          <t>Natural resources — timberland, US South</t>
        </is>
      </c>
      <c r="D93" s="28" t="inlineStr">
        <is>
          <t>Loblolly Pine 24- versus 33-Year Rotation Age Economic Comparisons</t>
        </is>
      </c>
      <c r="E93" s="28" t="inlineStr">
        <is>
          <t>University of Georgia Warnell School of Forestry and Natural Resources (Dickens, Li and Moorhead, 2017)</t>
        </is>
      </c>
      <c r="F93" s="29" t="inlineStr">
        <is>
          <t>https://bugwoodcloud.org/bugwood/productivity/pdfs/2017_pubs-BW-04_loblolly_24-versus_33-yr_rotation_age_econ_Dec_2017.pdf</t>
        </is>
      </c>
      <c r="G93" s="28" t="inlineStr">
        <is>
          <t>direct download</t>
        </is>
      </c>
      <c r="H93" s="28" t="inlineStr">
        <is>
          <t>not stated; free university extension publication.</t>
        </is>
      </c>
      <c r="I93" s="28" t="inlineStr">
        <is>
          <t>full cash flow table available</t>
        </is>
      </c>
      <c r="J93" s="28" t="inlineStr">
        <is>
          <t>Rotation-age comparison with soil expectation value (LEV) and IRR</t>
        </is>
      </c>
      <c r="K93" s="28" t="inlineStr">
        <is>
          <t>A loblolly pine plantation established for US$245 per acre (chemical site prep $75, site prep burn $35, seedlings $55, planting $80). The 24-year rotation takes one thinning at age 15 (34 tons pulpwood) and a final harvest at 24 of 33 tons pulpwood, 61 tons chip-n-saw and 21 tons sawtimber, grossing US$2,406/acre at 2017 prices. The 33-year rotation takes thinnings at 15 and 24 and a final harvest at 33 grossing US$3,402/acre. At a 6% discount rate the 24-year rotation yields 12–21% higher SEV ($144–$425/acre versus $114–$363/acre).</t>
        </is>
      </c>
      <c r="L93" s="28" t="inlineStr">
        <is>
          <t>Biological growth accretion mapping stand age to product-class volumes; intermediate thinning revenues at discrete ages; product-class price differentiation (pulpwood versus chip-n-saw versus sawtimber) where the value mix shifts as trees grow; soil expectation value over an infinite series of identical rotations; rotation age as a decision variable optimised against the discount rate.</t>
        </is>
      </c>
      <c r="M93" s="28" t="inlineStr">
        <is>
          <t>Express an age-indexed yield table that returns a vector of product classes rather than a single quantity. Express discrete harvest events at specified stand ages that both generate revenue and reset or reduce the growing stock. Express an infinite-horizon perpetuity of a repeating finite cash flow pattern. Treat rotation length as a parameter the model can be solved over, and express discount-rate sensitivity that changes the optimal decision (the ranking flips between 4% and 6%).</t>
        </is>
      </c>
      <c r="N93" s="28" t="inlineStr">
        <is>
          <t>This is the canonical demonstration that discount rate determines optimal rotation — a structural, not just numerical, result. If CFDL reproduces the SEV ranking flip between 4% and 6%, it proves the language handles infinite-horizon repeating cash flows and decision-variable optimisation correctly, not merely arithmetic. Product-class mix shift with age is also directly analogous to grade/quality mix in mining.</t>
        </is>
      </c>
      <c r="O93" s="28" t="inlineStr">
        <is>
          <t>OK</t>
        </is>
      </c>
    </row>
    <row r="94" ht="96" customHeight="1" s="18">
      <c r="A94" s="24" t="n">
        <v>93</v>
      </c>
      <c r="B94" s="24" t="inlineStr">
        <is>
          <t>Transport, Resources &amp; Royalty/IP (roadmap)</t>
        </is>
      </c>
      <c r="C94" s="24" t="inlineStr">
        <is>
          <t>Natural resources — timberland valuation / appraisal standards</t>
        </is>
      </c>
      <c r="D94" s="24" t="inlineStr">
        <is>
          <t>Land Expectation Value Calculation in Timberland Valuation (The Appraisal Journal, October 1996)</t>
        </is>
      </c>
      <c r="E94" s="24" t="inlineStr">
        <is>
          <t>Thomas J. Straka and Steven H. Bullard; hosted free by the National Timber Tax Website (timbertax.org, USDA/Forest Service supported)</t>
        </is>
      </c>
      <c r="F94" s="25" t="inlineStr">
        <is>
          <t>https://www.timbertax.org/getstarted/appraisal/papers/pdf/ajoct96.PDF</t>
        </is>
      </c>
      <c r="G94" s="24" t="inlineStr">
        <is>
          <t>direct download</t>
        </is>
      </c>
      <c r="H94" s="24" t="inlineStr">
        <is>
          <t>not stated; article copyright rests with The Appraisal Journal / Appraisal Institute, hosted free by timbertax.org for educational use.</t>
        </is>
      </c>
      <c r="I94" s="24" t="inlineStr">
        <is>
          <t>full cash flow table available</t>
        </is>
      </c>
      <c r="J94" s="24" t="inlineStr">
        <is>
          <t>Worked Faustmann land expectation value derivation with a full compounding table</t>
        </is>
      </c>
      <c r="K94" s="24" t="inlineStr">
        <is>
          <t>A 30-year Southern loblolly pine rotation at a 4% real discount rate: US$80/acre site preparation and planting in year 0, US$1.50/acre annual property tax, thinnings of 6 cords at age 18 and 10 cords at age 25, and a final harvest of 57 cords at year 30, all at US$16/cord. Table 1 compounds every cost and revenue to year 30 for a net future value of US$916.76/acre, from which the land expectation value is derived at US$408.65/acre.</t>
        </is>
      </c>
      <c r="L94" s="24" t="inlineStr">
        <is>
          <t>Faustmann/LEV formula for perpetual rotations; explicit compounding of each cash flow to the rotation terminal date and conversion to a perpetual-series present value; annual recurring costs (property tax) treated as an annuity within each rotation; the interpretation of LEV as the maximum bare-land price consistent with earning exactly the required rate of return.</t>
        </is>
      </c>
      <c r="M94" s="24" t="inlineStr">
        <is>
          <t>Express both discounting to present and compounding to a future date within one model. Express a perpetuity of a repeating finite series with a non-trivial internal shape. Express a break-even / maximum-affordable-price solve (LEV is by definition the price at which NPV equals zero). Distinguish real from nominal rates, since the example is stated in real terms.</t>
        </is>
      </c>
      <c r="N94" s="24" t="inlineStr">
        <is>
          <t>Two exact published intermediate values (NFV $916.76 and LEV $408.65 per acre) from fully disclosed inputs make this an ideal precision test — it validates not only the final answer but the compounding step in between, catching off-by-one period errors that a single NPV check would miss. It is also the reference method used in actual timberland appraisal practice, so matching it establishes credibility with that industry.</t>
        </is>
      </c>
      <c r="O94" s="24" t="inlineStr">
        <is>
          <t>OK</t>
        </is>
      </c>
    </row>
    <row r="95" ht="96" customHeight="1" s="18">
      <c r="A95" s="28" t="n">
        <v>94</v>
      </c>
      <c r="B95" s="28" t="inlineStr">
        <is>
          <t>Transport, Resources &amp; Royalty/IP (roadmap)</t>
        </is>
      </c>
      <c r="C95" s="28" t="inlineStr">
        <is>
          <t>Natural resources — oil &amp; gas production forecasting and well economics</t>
        </is>
      </c>
      <c r="D95" s="28" t="inlineStr">
        <is>
          <t>dcapy — Decline Curve Analysis and Cash Flow Library</t>
        </is>
      </c>
      <c r="E95" s="28" t="inlineStr">
        <is>
          <t>Santiago Cuervo (open source), documentation site and PyPI package</t>
        </is>
      </c>
      <c r="F95" s="29" t="inlineStr">
        <is>
          <t>https://scuervo91.github.io/dcapy/</t>
        </is>
      </c>
      <c r="G95" s="28" t="inlineStr">
        <is>
          <t>direct download</t>
        </is>
      </c>
      <c r="H95" s="28" t="inlineStr">
        <is>
          <t>MIT License (stated on the project documentation site).</t>
        </is>
      </c>
      <c r="I95" s="28" t="inlineStr">
        <is>
          <t>full cash flow table available</t>
        </is>
      </c>
      <c r="J95" s="28" t="inlineStr">
        <is>
          <t>Open-source production decline forecasting library with integrated cash flow analysis</t>
        </is>
      </c>
      <c r="K95" s="28" t="inlineStr">
        <is>
          <t>A Python library that forecasts oil and gas well production using Arps decline models and water-oil-ratio models, then attaches income, opex and capex parameters to those forecasts to produce a cash flow analysis. It supports deterministic and probabilistic (Monte Carlo) forecasting, well scheduling across multiple forecast periods and interventions, and side-by-side scenario comparison, with Pydantic-based validation of model inputs.</t>
        </is>
      </c>
      <c r="L95" s="28" t="inlineStr">
        <is>
          <t>Arps exponential, harmonic and hyperbolic decline; WOR-based forecasting; scheduling of wells and workovers so that individual well forecasts aggregate to a field-level profile with staggered start dates; probabilistic parameter distributions propagated through to cash flow outputs; scenario objects that vary assumptions over a shared base model.</t>
        </is>
      </c>
      <c r="M95" s="28" t="inlineStr">
        <is>
          <t>Express continuous decline functions (q(t) = qi/(1+b·Di·t)^(1/b)) that a period-based ledger integrates over each period rather than sampling at a point. Express economic limit truncation — the forecast ends when net cash flow turns negative, so the horizon is an output not an input. Express aggregation of many independently-scheduled units into a portfolio. Express distributions over inputs and propagate them to output distributions.</t>
        </is>
      </c>
      <c r="N95" s="28" t="inlineStr">
        <is>
          <t>An MIT-licensed reference implementation means CFDL can be validated line-for-line against runnable code rather than against a static PDF, and its test cases can be replayed. The economic-limit-determined horizon is a genuinely hard modeling primitive — the model's own output determines its own length — and matching dcapy on hyperbolic decline with b between 0 and 1 would prove CFDL's period-integration of continuous rate functions is correct.</t>
        </is>
      </c>
      <c r="O95" s="28" t="inlineStr">
        <is>
          <t>OK</t>
        </is>
      </c>
    </row>
    <row r="96" ht="96" customHeight="1" s="18">
      <c r="A96" s="24" t="n">
        <v>95</v>
      </c>
      <c r="B96" s="24" t="inlineStr">
        <is>
          <t>Transport, Resources &amp; Royalty/IP (roadmap)</t>
        </is>
      </c>
      <c r="C96" s="24" t="inlineStr">
        <is>
          <t>Natural resources — oil &amp; gas net overriding royalty interests, Permian Basin, Texas</t>
        </is>
      </c>
      <c r="D96" s="24" t="inlineStr">
        <is>
          <t>Permian Basin Royalty Trust 2024 Annual Report and Form 10-K</t>
        </is>
      </c>
      <c r="E96" s="24" t="inlineStr">
        <is>
          <t>Permian Basin Royalty Trust (Argent Trust Company, trustee), filed with the U.S. SEC</t>
        </is>
      </c>
      <c r="F96" s="25" t="inlineStr">
        <is>
          <t>https://pbt-permian.com/wp-content/uploads/2025/04/PermianBasin24AR.pdf</t>
        </is>
      </c>
      <c r="G96" s="24" t="inlineStr">
        <is>
          <t>direct download</t>
        </is>
      </c>
      <c r="H96" s="24" t="inlineStr">
        <is>
          <t>not stated; public SEC-filed annual report posted on the trust's website.</t>
        </is>
      </c>
      <c r="I96" s="24" t="inlineStr">
        <is>
          <t>assumptions and outputs only</t>
        </is>
      </c>
      <c r="J96" s="24" t="inlineStr">
        <is>
          <t>Royalty trust with SEC standardized measure (SMOG) disclosure and actual per-unit distribution history</t>
        </is>
      </c>
      <c r="K96" s="24" t="inlineStr">
        <is>
          <t>The trust holds a 75% net overriding royalty carved out of the Waddell Ranch properties in Crane County, Texas and a 95% net overriding royalty in the Texas Royalty properties. Total proved reserves at 31 December 2024 were 8,368 MBbl oil and 23,217 MMcf gas (12,237 MBOE). The standardized measure fell from US$508.5 million at 1 January 2024 to US$371.4 million at 31 December 2024 (Waddell $292.8m, Texas Royalty $78.6m) at SEC average prices of US$75.48/bbl and US$2.13/Mcf. Actual distributions per unit were $0.55 (2024), $0.60 (2023), $1.15 (2022), $0.23 (2021) and $0.24 (2020).</t>
        </is>
      </c>
      <c r="L96" s="24" t="inlineStr">
        <is>
          <t>Net overriding royalty — the trust receives a percentage of gross proceeds less production costs, so its share of production volumes is not fixed and can go to zero when costs exceed proceeds; capital and development costs charged against net proceeds before the royalty; SEC standardized measure computed at a 12-month unweighted average first-day-of-month price with a 10% discount; a notable disclosure that all PUD reserves were excluded because the operator declined to provide development plans (PUDs had been 48.3% of Waddell reserves in 2023).</t>
        </is>
      </c>
      <c r="M96" s="24" t="inlineStr">
        <is>
          <t>Express a royalty whose base is net proceeds (gross revenue minus operating and development costs), meaning the royalty holder is economically levered to costs it does not control and can receive zero in a low-price year. Express the SEC pricing convention (trailing 12-month average of first-day-of-month prices, held flat) as distinct from a forward price deck. Express reserve category filters (PDP only versus PDP+PUD) that change both volumes and the required capital.</t>
        </is>
      </c>
      <c r="N96" s="24" t="inlineStr">
        <is>
          <t>Five years of actual realised per-unit distributions against a published reserve base and standardized measure give a real backtest, not just a projection: CFDL can be run forward from the 2020 reserve report and checked against what the trust actually paid. The net-proceeds royalty is the leveraged counterpart to the gross NSR royalties in the mining reports, so together they test both ends of the royalty-base spectrum.</t>
        </is>
      </c>
      <c r="O96" s="24" t="inlineStr">
        <is>
          <t>OK</t>
        </is>
      </c>
    </row>
    <row r="97" ht="96" customHeight="1" s="18">
      <c r="A97" s="28" t="n">
        <v>96</v>
      </c>
      <c r="B97" s="28" t="inlineStr">
        <is>
          <t>Transport, Resources &amp; Royalty/IP (roadmap)</t>
        </is>
      </c>
      <c r="C97" s="28" t="inlineStr">
        <is>
          <t>Natural resources — oil &amp; gas reserves, Delaware Basin</t>
        </is>
      </c>
      <c r="D97" s="28" t="inlineStr">
        <is>
          <t>Netherland, Sewell &amp; Associates Reserve Report — MRC Energy Company (Matador), Exhibit 99.1 to FY2020 Form 10-K</t>
        </is>
      </c>
      <c r="E97" s="28" t="inlineStr">
        <is>
          <t>Netherland, Sewell &amp; Associates, Inc., filed by Matador Resources with the U.S. SEC (EDGAR)</t>
        </is>
      </c>
      <c r="F97" s="29" t="inlineStr">
        <is>
          <t>https://www.sec.gov/Archives/edgar/data/1520006/000152000621000056/a20201231mtdr10-kex991.htm</t>
        </is>
      </c>
      <c r="G97" s="28" t="inlineStr">
        <is>
          <t>free to view, no download</t>
        </is>
      </c>
      <c r="H97" s="28" t="inlineStr">
        <is>
          <t>not stated; public SEC filing exhibit rendered on sec.gov.</t>
        </is>
      </c>
      <c r="I97" s="28" t="inlineStr">
        <is>
          <t>assumptions and outputs only</t>
        </is>
      </c>
      <c r="J97" s="28" t="inlineStr">
        <is>
          <t>Independent third-party SEC reserve report with PV-10 by reserve category</t>
        </is>
      </c>
      <c r="K97" s="28" t="inlineStr">
        <is>
          <t>Estimated proved reserves for MRC Energy Company as of 31 December 2020: PDP of 69,251.1 MBbl oil and 322,024.1 MMcf gas, PDNP of 396.1 MBbl and 1,135.7 MMcf, and PUD of 90,301.5 MBbl and 339,141.7 MMcf, for total proved of 159,948.8 MBbl and 662,301.6 MMcf. Total future net revenue and present worth at 10% are reported by category, using SEC 12-month average prices of US$36.04/bbl WTI and US$1.985/MMBTU Henry Hub, adjusted for quality, transportation and regional differentials to US$37.95/bbl and US$0.781/Mcf realised.</t>
        </is>
      </c>
      <c r="L97" s="28" t="inlineStr">
        <is>
          <t>Reserve category segmentation (PDP / PDNP / PUD) with different capital requirements and risk; the SEC price convention with explicit basis and quality differentials applied on top of benchmark prices; the PV-10 convention as a defined non-GAAP measure; the SEC five-year PUD development rule constraining when undeveloped locations may be booked.</t>
        </is>
      </c>
      <c r="M97" s="28" t="inlineStr">
        <is>
          <t>Express benchmark price minus a per-stream differential to arrive at realised price, keeping benchmark and differential as separately overridable inputs. Express reserve categories as distinct sub-portfolios that roll up to a total while carrying different capital profiles. Express a mandated discounting convention (flat 10%, prescribed price deck) as a reporting view that coexists with a management fair-value view at a different rate and price deck.</t>
        </is>
      </c>
      <c r="N97" s="28" t="inlineStr">
        <is>
          <t>This is the industry's standard reference convention: matching a filed NSAI report's PV-10 by category establishes that CFDL implements the SEC-prescribed methodology exactly, which is what a lender or auditor would ask for. The dual-view requirement (regulated PV-10 alongside an economic valuation) is a general capability CFDL needs across regulated asset classes.</t>
        </is>
      </c>
      <c r="O97" s="28" t="inlineStr">
        <is>
          <t>OK</t>
        </is>
      </c>
    </row>
    <row r="98" ht="96" customHeight="1" s="18">
      <c r="A98" s="24" t="n">
        <v>97</v>
      </c>
      <c r="B98" s="24" t="inlineStr">
        <is>
          <t>Transport, Resources &amp; Royalty/IP (roadmap)</t>
        </is>
      </c>
      <c r="C98" s="24" t="inlineStr">
        <is>
          <t>Royalty / IP — music publishing catalogue</t>
        </is>
      </c>
      <c r="D98" s="24" t="inlineStr">
        <is>
          <t>Mills Music Trust — Annual Report on Form 10-K (FY2023)</t>
        </is>
      </c>
      <c r="E98" s="24" t="inlineStr">
        <is>
          <t>Mills Music Trust, filed with the U.S. SEC (EDGAR)</t>
        </is>
      </c>
      <c r="F98" s="25" t="inlineStr">
        <is>
          <t>https://www.sec.gov/Archives/edgar/data/66496/000119312524082941/d771438d10k.htm</t>
        </is>
      </c>
      <c r="G98" s="24" t="inlineStr">
        <is>
          <t>free to view, no download</t>
        </is>
      </c>
      <c r="H98" s="24" t="inlineStr">
        <is>
          <t>not stated; public SEC filing on sec.gov.</t>
        </is>
      </c>
      <c r="I98" s="24" t="inlineStr">
        <is>
          <t>full cash flow table available</t>
        </is>
      </c>
      <c r="J98" s="24" t="inlineStr">
        <is>
          <t>Pass-through royalty trust with a full history of receipts and per-unit distributions</t>
        </is>
      </c>
      <c r="K98" s="24" t="inlineStr">
        <is>
          <t>The trust owns no copyrights; it holds the right to a contingent portion of the purchase price from a 1964 sale of a catalogue of over 12,000 titles to EMI Mills Music. It has 277,712 units outstanding and distributes all cash received after expenses. Receipts and distributions: 2023 receipts US$1,237,548 / distributions US$863,852 / US$3.11 per unit; 2022 US$1,127,613 / US$800,903 / US$2.88; 2021 US$1,061,519 / US$830,151 / US$2.99; 2020 US$1,016,712 / US$789,444 / US$2.84; 2019 US$2,058,976 / US$1,805,109 / US$6.50 (settlement-inflated).</t>
        </is>
      </c>
      <c r="L98" s="24" t="inlineStr">
        <is>
          <t>A contingent-consideration royalty that changed formula in Q1 2010 from '65% to 75% of gross royalty income less royalty expenses, subject to a US$167,500 quarterly minimum' to a claimed fixed 75%, with the payer disputing the change and US$1,310,400 of claimed underpayments accrued through December 2023; a quarterly floor payment; catalogue decay as 1909-Act copyrights reach their 95-year terms, with top-earner expiries scattered from 2018 to 2118; statutory termination/recapture rights that can strip works from the payer mid-term.</t>
        </is>
      </c>
      <c r="M98" s="24" t="inlineStr">
        <is>
          <t>Express a sliding participation rate (65%–75%) with a hard quarterly minimum floor — a max() of a percentage-of-revenue and a fixed amount. Express a per-work copyright expiry calendar so aggregate royalty income steps down as individual compositions enter the public domain at their own dates. Express a disputed/contingent receivable that accrues without being collected. Express expense netting before the participation percentage is applied.</t>
        </is>
      </c>
      <c r="N98" s="24" t="inlineStr">
        <is>
          <t>The only free source found with decades of actual realised music-royalty cash, so CFDL's music-catalogue model can be backtested rather than merely built. The per-composition expiry schedule is the defining mechanic of catalogue valuation and is structurally identical to patent-cliff step-downs — validating it here validates the pharma and patent cases too. The floor-versus-percentage rule is a clean min/max expressiveness test.</t>
        </is>
      </c>
      <c r="O98" s="24" t="inlineStr">
        <is>
          <t>OK</t>
        </is>
      </c>
    </row>
    <row r="99" ht="96" customHeight="1" s="18">
      <c r="A99" s="28" t="n">
        <v>98</v>
      </c>
      <c r="B99" s="28" t="inlineStr">
        <is>
          <t>Transport, Resources &amp; Royalty/IP (roadmap)</t>
        </is>
      </c>
      <c r="C99" s="28" t="inlineStr">
        <is>
          <t>Royalty / IP — pharmaceutical royalties</t>
        </is>
      </c>
      <c r="D99" s="28" t="inlineStr">
        <is>
          <t>Royalty Pharma plc — Annual Report on Form 10-K (FY2024)</t>
        </is>
      </c>
      <c r="E99" s="28" t="inlineStr">
        <is>
          <t>Royalty Pharma plc, filed with the U.S. SEC</t>
        </is>
      </c>
      <c r="F99" s="29" t="inlineStr">
        <is>
          <t>https://www.royaltypharma.com/wp-content/uploads/2025/02/royalty-pharma-q4-2024-10k.pdf</t>
        </is>
      </c>
      <c r="G99" s="28" t="inlineStr">
        <is>
          <t>direct download</t>
        </is>
      </c>
      <c r="H99" s="28" t="inlineStr">
        <is>
          <t>not stated; public SEC filing posted on the issuer's website.</t>
        </is>
      </c>
      <c r="I99" s="28" t="inlineStr">
        <is>
          <t>assumptions and outputs only</t>
        </is>
      </c>
      <c r="J99" s="28" t="inlineStr">
        <is>
          <t>Royalty portfolio carried at amortised cost under the effective interest method, with disclosed per-product royalty terms</t>
        </is>
      </c>
      <c r="K99" s="28" t="inlineStr">
        <is>
          <t>A portfolio of biopharmaceutical royalties generating US$2.801 billion of receipts in 2024 (US$2.771bn royalties plus US$31m milestones and other contractual receipts), with a weighted average portfolio duration of approximately 13 years. Disclosed terms include the cystic fibrosis franchise at ~9% blended running to 2039–2041, Trelegy at 6.5% on the first US$750m of sales rising to 10% above US$2.25bn and expiring 2029–2030, Evrysdi at 7.2% on the first US$500m rising to 14.5% above US$2bn expiring 2035–2036, Tysabri at 18% on the first US$2bn and 25% above, in perpetuity, and Imbruvica at a mid-single-digit rate expiring 2027–2032.</t>
        </is>
      </c>
      <c r="L99" s="28" t="inlineStr">
        <is>
          <t>Tiered royalties with annual sales thresholds that reset each year; per-asset expiry dates producing a staggered portfolio run-off; perpetual versus finite-life royalties in one portfolio; the effective interest method — "we calculate the effective interest rate on each financial royalty asset using a forecast of the expected cash flows to be received over the life of the financial royalty asset relative to the initial acquisition price" — with re-forecasting driving immediate non-cash P&amp;L charges; contingent milestone structures such as the Cytokinetics deal paying US$100m plus an incremental 2% royalty (or US$5–8m quarterly for 18 quarters) on approval, and Teva TEV-'749 paying US$100m plus tiered royalties on approval or US$125m if the counterparty declines to file.</t>
        </is>
      </c>
      <c r="M99" s="28" t="inlineStr">
        <is>
          <t>Express marginal tiered rates on an annually-resetting sales base (not a flat blended rate). Express asset-level expiry dates so the portfolio profile steps down at known times. Express perpetual streams alongside finite ones. Express the effective interest method: solve for the IRR that equates acquisition price to forecast cash flows, then accrete income at that rate and recognise a catch-up adjustment when the forecast is revised. Express binary contingent events (approval / non-approval) with alternative payoff branches.</t>
        </is>
      </c>
      <c r="N99" s="28" t="inlineStr">
        <is>
          <t>The single richest free source for royalty mechanics: tiers, thresholds, expiries, perpetuities and milestones all in one disclosed portfolio, with a published US$2.801bn receipt total to check aggregate output against. The effective interest method with re-forecast catch-ups is a demanding test — it requires CFDL to hold a solved rate as state and to recompute a carrying value when expectations change, which is exactly what royalty, litigation-finance and life-settlement books all need.</t>
        </is>
      </c>
      <c r="O99" s="28" t="inlineStr">
        <is>
          <t>OK</t>
        </is>
      </c>
    </row>
    <row r="100" ht="96" customHeight="1" s="18">
      <c r="A100" s="24" t="n">
        <v>99</v>
      </c>
      <c r="B100" s="24" t="inlineStr">
        <is>
          <t>Transport, Resources &amp; Royalty/IP (roadmap)</t>
        </is>
      </c>
      <c r="C100" s="24" t="inlineStr">
        <is>
          <t>Transport — commercial aircraft operating leasing</t>
        </is>
      </c>
      <c r="D100" s="24" t="inlineStr">
        <is>
          <t>Air Lease Corporation — Annual Report on Form 10-K (FY2024)</t>
        </is>
      </c>
      <c r="E100" s="24" t="inlineStr">
        <is>
          <t>Air Lease Corporation, filed with the U.S. SEC</t>
        </is>
      </c>
      <c r="F100" s="25" t="inlineStr">
        <is>
          <t>https://www.airleasecorp.com/storage/annual_reports/46f604e4-2540-4230-b246-b84049e42a1f.pdf</t>
        </is>
      </c>
      <c r="G100" s="24" t="inlineStr">
        <is>
          <t>direct download</t>
        </is>
      </c>
      <c r="H100" s="24" t="inlineStr">
        <is>
          <t>not stated; public SEC filing posted on the issuer's website.</t>
        </is>
      </c>
      <c r="I100" s="24" t="inlineStr">
        <is>
          <t>assumptions and outputs only</t>
        </is>
      </c>
      <c r="J100" s="24" t="inlineStr">
        <is>
          <t>Lessor portfolio disclosure: contracted rental backlog, residual-value depreciation policy and maintenance obligations</t>
        </is>
      </c>
      <c r="K100" s="24" t="inlineStr">
        <is>
          <t>As of 31 December 2024 Air Lease owned 489 aircraft (355 narrowbody, 134 widebody) with a net book value of US$28.2 billion, a weighted average fleet age of 4.6 years and a weighted average remaining lease term of 7.2 years, plus 60 managed aircraft. The company ended 2024 with US$29.5 billion of committed minimum future rental payments. The accompanying FY2024 XBRL lease maturity schedule (https://www.sec.gov/Archives/edgar/data/1487712/000162828025005392/R43.htm) discloses a five-year-plus-thereafter payment ladder of $40,731k per year for 2025–2029 and $162,074k thereafter, totalling $365,729k.</t>
        </is>
      </c>
      <c r="L100" s="24" t="inlineStr">
        <is>
          <t>Straight-line depreciation "to the aircraft's residual value over its estimated useful life" — a residual-value assumption that dominates lessor returns; triple-net lease structure where "the lessee is responsible for all operating costs, including taxes, insurance and maintenance"; cash security deposits and maintenance reserve payments collected from lessees and drawn down against qualifying maintenance events; specified return conditions at lease end; lessor contributions to first major maintenance events on used-aircraft leases.</t>
        </is>
      </c>
      <c r="M100" s="24" t="inlineStr">
        <is>
          <t>Express a maintenance reserve as a restricted liability account that accrues on a usage basis (per flight hour or cycle) and is drawn down when a qualifying event occurs, with any unused balance recognised at lease end. Express security deposits as a separate returnable balance. Express residual value as a terminal asset value that both drives depreciation and becomes a realised sale or re-lease cash flow. Express a contracted rental ladder alongside assumed re-lease rates beyond the current lease expiry.</t>
        </is>
      </c>
      <c r="N100" s="24" t="inlineStr">
        <is>
          <t>Maintenance reserve accrual-and-drawdown is the signature mechanic of aircraft, marine and heavy-equipment leasing and is not expressible as a simple periodic cash flow — it requires a stateful sub-ledger. Validating against a disclosed contracted ladder (a hard number: $29.5bn committed, and an exact XBRL maturity table) separates contracted from forecast cash flows, which is the core distinction in any leasing model.</t>
        </is>
      </c>
      <c r="O100" s="24" t="inlineStr">
        <is>
          <t>OK</t>
        </is>
      </c>
    </row>
    <row r="101" ht="96" customHeight="1" s="18">
      <c r="A101" s="28" t="n">
        <v>100</v>
      </c>
      <c r="B101" s="28" t="inlineStr">
        <is>
          <t>Transport, Resources &amp; Royalty/IP (roadmap)</t>
        </is>
      </c>
      <c r="C101" s="28" t="inlineStr">
        <is>
          <t>Transport — railcar and marine vessel operating leasing</t>
        </is>
      </c>
      <c r="D101" s="28" t="inlineStr">
        <is>
          <t>GATX Corporation — Annual Report on Form 10-K (FY2016)</t>
        </is>
      </c>
      <c r="E101" s="28" t="inlineStr">
        <is>
          <t>GATX Corporation, filed with the U.S. SEC (EDGAR)</t>
        </is>
      </c>
      <c r="F101" s="29" t="inlineStr">
        <is>
          <t>https://www.sec.gov/Archives/edgar/data/40211/000004021117000012/gatx20161231-10k.htm</t>
        </is>
      </c>
      <c r="G101" s="28" t="inlineStr">
        <is>
          <t>free to view, no download</t>
        </is>
      </c>
      <c r="H101" s="28" t="inlineStr">
        <is>
          <t>not stated; public SEC filing on sec.gov.</t>
        </is>
      </c>
      <c r="I101" s="28" t="inlineStr">
        <is>
          <t>assumptions and outputs only</t>
        </is>
      </c>
      <c r="J101" s="28" t="inlineStr">
        <is>
          <t>Lessor portfolio disclosure with long-life asset depreciation, short lease terms and remarketing gains</t>
        </is>
      </c>
      <c r="K101" s="28" t="inlineStr">
        <is>
          <t>As of 31 December 2016 GATX owned 146,297 railcars (83,418 tank cars, 62,879 freight cars, 660 locomotives) plus 2,219 affiliate-owned and 425 managed railcars, and 17 marine vessels with a net book value of US$233.9 million. North American railcars carry estimated useful economic lives of 27 to 45 years and European railcars 30 to 40 years, yet the average remaining lease term is only about 3 years in North America, 2 years in Europe and 4 years in India.</t>
        </is>
      </c>
      <c r="L101" s="28" t="inlineStr">
        <is>
          <t>The defining railcar-leasing tension — a 27-to-45-year asset life leased on rolling 2-to-5-year contracts, so the majority of lifetime revenue comes from assumed renewals at forecast rates rather than from contracted cash flow; systematic remarketing/asset-sale gains as a recurring profit source rather than a one-off; multi-jurisdiction fleets with different lives and lease conventions.</t>
        </is>
      </c>
      <c r="M101" s="28" t="inlineStr">
        <is>
          <t>Express a re-leasing cascade: on each lease expiry, the asset re-leases at a forecast market rate for a forecast term, possibly after a vacancy gap, repeated until the asset is sold or retired. Express a probability or utilisation rate applied to renewal. Express periodic asset sales out of a fleet with gain-on-sale computed against net book value. Express a heterogeneous fleet as a population with distributions of age, lease expiry and type rather than as individually enumerated units.</t>
        </is>
      </c>
      <c r="N101" s="28" t="inlineStr">
        <is>
          <t>This is the strongest available free test of re-lease and residual modeling, because the 3-year average lease against a 27–45 year life means almost all value sits in the renewal assumption — precisely where a modeling language must be explicit rather than hand-waved. Fleet-level population modeling (146,297 units) also tests whether CFDL can aggregate efficiently instead of forcing unit-by-unit enumeration.</t>
        </is>
      </c>
      <c r="O101" s="28" t="inlineStr">
        <is>
          <t>OK</t>
        </is>
      </c>
    </row>
    <row r="102" ht="96" customHeight="1" s="18">
      <c r="A102" s="24" t="n">
        <v>101</v>
      </c>
      <c r="B102" s="24" t="inlineStr">
        <is>
          <t>Transport, Resources &amp; Royalty/IP (roadmap)</t>
        </is>
      </c>
      <c r="C102" s="24" t="inlineStr">
        <is>
          <t>Transport — containership and dry-bulk vessel chartering</t>
        </is>
      </c>
      <c r="D102" s="24" t="inlineStr">
        <is>
          <t>Danaos Corporation — 2024 Annual Report (Form 20-F)</t>
        </is>
      </c>
      <c r="E102" s="24" t="inlineStr">
        <is>
          <t>Danaos Corporation, filed with the U.S. SEC</t>
        </is>
      </c>
      <c r="F102" s="25" t="inlineStr">
        <is>
          <t>https://s2.q4cdn.com/951507448/files/doc_downloads/Proxy_Materials/2025/2024-Annual-Report.pdf</t>
        </is>
      </c>
      <c r="G102" s="24" t="inlineStr">
        <is>
          <t>direct download</t>
        </is>
      </c>
      <c r="H102" s="24" t="inlineStr">
        <is>
          <t>not stated; public SEC filing posted on the issuer's investor site.</t>
        </is>
      </c>
      <c r="I102" s="24" t="inlineStr">
        <is>
          <t>assumptions and outputs only</t>
        </is>
      </c>
      <c r="J102" s="24" t="inlineStr">
        <is>
          <t>Shipowner charter-backlog and fleet-employment disclosure</t>
        </is>
      </c>
      <c r="K102" s="24" t="inlineStr">
        <is>
          <t>As of 28 February 2025 Danaos operated 74 containerships totalling 471,477 TEU, with 15 newbuildings of 128,220 TEU under construction and 10 Capesize bulk carriers of 1,760,861 DWT. Contracted revenue backlog at year-end 2024 was US$3.4 billion with an average remaining contract duration of 3.7 years; 99% of 2025 operating days and 83% of 2026 operating days were already covered by charter. Thirty-two drydockings were completed in 2024 alongside efficiency retrofits.</t>
        </is>
      </c>
      <c r="L102" s="24" t="inlineStr">
        <is>
          <t>Time-charter revenue as daily hire rate multiplied by operating days, so revenue depends on a utilisation/off-hire calculation rather than a flat annual amount; charter coverage declining by year, creating a contracted-to-spot transition where later years must be filled at forecast market rates; drydocking and special surveys as periodic capitalised events on a regulatory cycle; newbuilding delivery schedule adding capacity at future dates against staged yard payments.</t>
        </is>
      </c>
      <c r="M102" s="24" t="inlineStr">
        <is>
          <t>Express revenue as rate multiplied by available days net of off-hire and scheduled drydock days. Express a per-vessel charter expiry calendar so portfolio coverage decays from 99% to 83% and onward to spot exposure. Express periodic capitalised maintenance events on a fixed multi-year survey cycle, amortised until the next event. Express construction-in-progress with milestone yard instalments and a delivery date that starts both depreciation and revenue.</t>
        </is>
      </c>
      <c r="N102" s="24" t="inlineStr">
        <is>
          <t>The published coverage percentages (99% for 2025, 83% for 2026) and the US$3.4bn backlog against 3.7-year average duration provide checkable aggregate constraints on a per-vessel model — if CFDL's vessel-level charter calendar is right, these roll-ups must reproduce. The days-based revenue convention and the drydock cycle are maritime-specific mechanics not covered by the aircraft or railcar sources.</t>
        </is>
      </c>
      <c r="O102" s="24" t="inlineStr">
        <is>
          <t>OK</t>
        </is>
      </c>
    </row>
    <row r="103" ht="96" customHeight="1" s="18">
      <c r="A103" s="28" t="n">
        <v>102</v>
      </c>
      <c r="B103" s="28" t="inlineStr">
        <is>
          <t>Transport, Resources &amp; Royalty/IP (roadmap)</t>
        </is>
      </c>
      <c r="C103" s="28" t="inlineStr">
        <is>
          <t>Natural resources / carbon — carbon credit project financial additionality</t>
        </is>
      </c>
      <c r="D103" s="28" t="inlineStr">
        <is>
          <t>Tool for the Demonstration and Assessment of Additionality (Version 06.1.0) — CDM Methodological Tool 01</t>
        </is>
      </c>
      <c r="E103" s="28" t="inlineStr">
        <is>
          <t>UNFCCC CDM Executive Board</t>
        </is>
      </c>
      <c r="F103" s="29" t="inlineStr">
        <is>
          <t>https://cdm.unfccc.int/methodologies/PAmethodologies/tools/am-tool-01-v6.1.0.pdf</t>
        </is>
      </c>
      <c r="G103" s="28" t="inlineStr">
        <is>
          <t>direct download</t>
        </is>
      </c>
      <c r="H103" s="28" t="inlineStr">
        <is>
          <t>not stated; published by the UNFCCC CDM Executive Board as a freely available regulatory methodology document.</t>
        </is>
      </c>
      <c r="I103" s="28" t="inlineStr">
        <is>
          <t>methodology only</t>
        </is>
      </c>
      <c r="J103" s="28" t="inlineStr">
        <is>
          <t>Regulatory methodology defining the financial test a carbon project must pass</t>
        </is>
      </c>
      <c r="K103" s="28" t="inlineStr">
        <is>
          <t>The governing framework for proving a carbon project would not be viable without carbon revenue. It sets out three routes: simple cost analysis, investment comparison analysis, and benchmark analysis, requiring the developer to identify "the financial indicator, such as IRR, NPV, cost benefit ratio, or unit cost of service" most suitable to the project type. Benchmark discount rates are to be derived from "Government bond rates, increased by a suitable risk premium" or from commercial lending rates.</t>
        </is>
      </c>
      <c r="L103" s="28" t="inlineStr">
        <is>
          <t>Two-scenario comparison — the project must be modelled both with and without carbon revenue, with the delta driving the additionality conclusion; benchmark IRR hurdle testing; a mandatory sensitivity analysis "that shows whether the conclusion regarding the financial/economic attractiveness is robust to reasonable variations in the critical assumptions"; carbon credit revenue as a distinct, price-uncertain revenue stream layered onto a base project.</t>
        </is>
      </c>
      <c r="M103" s="28" t="inlineStr">
        <is>
          <t>Express counterfactual scenarios as first-class objects — a baseline and a project case sharing structure but differing in one revenue stream — and compute the difference. Express a hurdle-rate test that returns a pass/fail conclusion rather than a number. Express sensitivity analysis as a declared requirement over named critical variables, with the output being the robustness of a conclusion rather than a value. Express a WACC/benchmark built from a risk-free rate plus premium.</t>
        </is>
      </c>
      <c r="N103" s="28" t="inlineStr">
        <is>
          <t>This is the binding rulebook for every CDM and much Verra/Gold Standard additionality work, so a CFDL carbon module that conforms to it is compliance-credible rather than merely plausible. It is also the clearest available driver for counterfactual (with/without) modeling, a capability that generalises well beyond carbon — to tax-credit projects, subsidy analysis and incremental-investment decisions of all kinds.</t>
        </is>
      </c>
      <c r="O103" s="28" t="inlineStr">
        <is>
          <t>OK</t>
        </is>
      </c>
    </row>
    <row r="104" ht="96" customHeight="1" s="18">
      <c r="A104" s="24" t="n">
        <v>103</v>
      </c>
      <c r="B104" s="24" t="inlineStr">
        <is>
          <t>Transport, Resources &amp; Royalty/IP (roadmap)</t>
        </is>
      </c>
      <c r="C104" s="24" t="inlineStr">
        <is>
          <t>Natural resources / carbon — afforestation, reforestation and revegetation credit generation</t>
        </is>
      </c>
      <c r="D104" s="24" t="inlineStr">
        <is>
          <t>VM0047 Afforestation, Reforestation, and Revegetation, v1.1</t>
        </is>
      </c>
      <c r="E104" s="24" t="inlineStr">
        <is>
          <t>Verra (Verified Carbon Standard Program)</t>
        </is>
      </c>
      <c r="F104" s="25" t="inlineStr">
        <is>
          <t>https://verra.org/methodologies/vm0047-afforestation-reforestation-and-revegetation-v1-1/</t>
        </is>
      </c>
      <c r="G104" s="24" t="inlineStr">
        <is>
          <t>direct download</t>
        </is>
      </c>
      <c r="H104" s="24" t="inlineStr">
        <is>
          <t>not stated; freely downloadable from the Verra methodology library, subject to Verra's website terms of use.</t>
        </is>
      </c>
      <c r="I104" s="24" t="inlineStr">
        <is>
          <t>methodology only</t>
        </is>
      </c>
      <c r="J104" s="24" t="inlineStr">
        <is>
          <t>Carbon crediting quantification methodology (credit-volume generation model)</t>
        </is>
      </c>
      <c r="K104" s="24" t="inlineStr">
        <is>
          <t>Active since 14 May 2025, VM0047 covers establishing or restoring vegetative cover on non-forest land and enhancing forest carbon stocks, crediting removals. It offers two quantification routes: an area-based approach using remote sensing and plot sampling against dynamic performance benchmarks, and a census-based approach for dispersed plantings such as urban forestry, agroforestry and shelterbelts where there is no land-use change.</t>
        </is>
      </c>
      <c r="L104" s="24" t="inlineStr">
        <is>
          <t>Dynamic performance benchmark baselines that move over time rather than being fixed at project start; carbon stock accrual as a function of stand age, so credit issuance follows a growth curve rather than a flat annual rate; two alternative measurement bases (area sampling versus individual-tree census) for the same underlying asset; buffer pool contributions and permanence/reversal risk deductions inherent to the VCS AFOLU framework.</t>
        </is>
      </c>
      <c r="M104" s="24" t="inlineStr">
        <is>
          <t>Express a baseline that itself evolves through time and is subtracted from project performance to yield a creditable quantity. Express age-indexed biomass accrual driving a non-cash 'production' quantity that is then monetised at a credit price. Express a percentage withholding into a buffer pool that is not immediately monetisable. Support alternative measurement methods that must produce reconcilable quantities for the same project.</t>
        </is>
      </c>
      <c r="N104" s="24" t="inlineStr">
        <is>
          <t>Carbon projects are the clearest case where the physical production model and the revenue model are governed by different rulebooks, and VM0047's dynamic baseline is a strong test of whether CFDL can express a counterfactual that changes each period. Paired with the CDM additionality tool it gives CFDL both halves of a carbon deal — how many credits are produced, and whether the project qualifies at all — plus a direct structural analogue to the timber growth curves above.</t>
        </is>
      </c>
      <c r="O104" s="24" t="inlineStr">
        <is>
          <t>OK</t>
        </is>
      </c>
    </row>
    <row r="105" ht="96" customHeight="1" s="18">
      <c r="A105" s="28" t="n">
        <v>104</v>
      </c>
      <c r="B105" s="28" t="inlineStr">
        <is>
          <t>Transport, Resources &amp; Royalty/IP (roadmap)</t>
        </is>
      </c>
      <c r="C105" s="28" t="inlineStr">
        <is>
          <t>Royalty / IP — intangible asset and royalty valuation for transfer pricing</t>
        </is>
      </c>
      <c r="D105" s="28" t="inlineStr">
        <is>
          <t>OECD Transfer Pricing Guidelines 2022 — Annex I to Chapter VI, Examples on Intangibles</t>
        </is>
      </c>
      <c r="E105" s="28" t="inlineStr">
        <is>
          <t>OECD (guidelines); full text of the Annex reproduced free-to-view at TPcases</t>
        </is>
      </c>
      <c r="F105" s="29" t="inlineStr">
        <is>
          <t>https://tpcases.com/category/oecd-transfer-pricing-guidelines-2022/tpg2022-annex-i-to-chapter-vi-examples-on-intangibles/</t>
        </is>
      </c>
      <c r="G105" s="28" t="inlineStr">
        <is>
          <t>free to view, no download</t>
        </is>
      </c>
      <c r="H105" s="28" t="inlineStr">
        <is>
          <t>not stated on the hosting site; the underlying OECD Transfer Pricing Guidelines are an OECD publication. Note the OECD's own PDF at oecd.org is served under robots restrictions, so this free full-text mirror is given as the verified access point.</t>
        </is>
      </c>
      <c r="I105" s="28" t="inlineStr">
        <is>
          <t>methodology only</t>
        </is>
      </c>
      <c r="J105" s="28" t="inlineStr">
        <is>
          <t>Authoritative worked examples applying DCF, relief-from-royalty and comparable-royalty-rate methods to intangibles</t>
        </is>
      </c>
      <c r="K105" s="28" t="inlineStr">
        <is>
          <t>Annex I to Chapter VI contains numbered worked examples on intangible transactions. Several turn directly on valuation: Example 16 (legal owner funding intangible development, using DCF and the relief from royalty method), Example 17 (contract R&amp;D arrangement valued by DCF), Example 27 (centralisation of patent ownership using DCF alongside comparable royalty rates), and Examples 28 and 29 (transfers of patents, trademarks and know-how priced by DCF). Royalty-rate determination examples include Example 12 (trademark royalty on gross sales), Example 13 (a royalty-free period converting to a royalty agreement), Example 18 (patent and know-how licensing with geographic scope restrictions) and Example 19 (franchise fee for marketing know-how and a retail concept).</t>
        </is>
      </c>
      <c r="L105" s="28" t="inlineStr">
        <is>
          <t>Relief-from-royalty valuation — value an intangible as the present value of royalties avoided by owning rather than licensing it; comparable royalty rate benchmarking; royalty holidays that step up to a running rate at a defined date (Example 13); territory-limited licences where the same intangible earns different rates in different geographies (Example 18); franchise fees on a system-wide basis (Example 19); hard-to-value-intangible ex-post adjustment where actual outcomes diverging materially from projections permit the price to be revisited.</t>
        </is>
      </c>
      <c r="M105" s="28" t="inlineStr">
        <is>
          <t>Express a royalty applied to a defined base (gross sales, net sales, system-wide sales) with a stated commencement date and holiday period. Express geographically or field-of-use partitioned licences over one intangible with independent terms. Express relief-from-royalty as a valuation view derived from the same underlying revenue forecast used elsewhere in the model. Express an ex-post reconciliation that compares realised outcomes with the original projection and derives an adjustment.</t>
        </is>
      </c>
      <c r="N105" s="28" t="inlineStr">
        <is>
          <t>These are the reference examples that tax authorities in most OECD jurisdictions actually apply, so a CFDL relief-from-royalty and licence-structuring vocabulary that reproduces them has an authoritative correctness standard rather than a house convention. The royalty-holiday and territory-partition patterns generalise directly to franchise, software and trademark deals, and the HTVI ex-post adjustment is the same 'revise the forecast and true up' mechanic as Royalty Pharma's effective interest catch-up.</t>
        </is>
      </c>
      <c r="O105" s="28" t="inlineStr">
        <is>
          <t>OK</t>
        </is>
      </c>
    </row>
    <row r="106" ht="96" customHeight="1" s="18">
      <c r="A106" s="24" t="n">
        <v>105</v>
      </c>
      <c r="B106" s="24" t="inlineStr">
        <is>
          <t>Transport, Resources &amp; Royalty/IP (roadmap)</t>
        </is>
      </c>
      <c r="C106" s="24" t="inlineStr">
        <is>
          <t>Royalty / IP-adjacent alternative assets — life settlements</t>
        </is>
      </c>
      <c r="D106" s="24" t="inlineStr">
        <is>
          <t>GWG Holdings, Inc. — Annual Report on Form 10-K (FY2019)</t>
        </is>
      </c>
      <c r="E106" s="24" t="inlineStr">
        <is>
          <t>GWG Holdings, Inc., filed with the U.S. SEC (EDGAR)</t>
        </is>
      </c>
      <c r="F106" s="25" t="inlineStr">
        <is>
          <t>https://www.sec.gov/Archives/edgar/data/1522690/000121390020007722/f10k2019_gwgholdings.htm</t>
        </is>
      </c>
      <c r="G106" s="24" t="inlineStr">
        <is>
          <t>free to view, no download</t>
        </is>
      </c>
      <c r="H106" s="24" t="inlineStr">
        <is>
          <t>not stated; public SEC filing on sec.gov.</t>
        </is>
      </c>
      <c r="I106" s="24" t="inlineStr">
        <is>
          <t>assumptions and outputs only</t>
        </is>
      </c>
      <c r="J106" s="24" t="inlineStr">
        <is>
          <t>Life settlement portfolio carried at fair value with a disclosed discount rate and mortality methodology</t>
        </is>
      </c>
      <c r="K106" s="24" t="inlineStr">
        <is>
          <t>As of 31 December 2019 GWG held a life insurance portfolio of 1,151 policies covering 1,073 unique lives with total face value of policy benefits of US$2,020,973 thousand and a weighted average life expectancy of 7.2 years. The fair value discount rate for the portfolio was estimated at 8.25% at both 31 December 2019 and 2018. Life expectancies use the "Longest Life Expectancy" approach — the longest report received from the life expectancy providers used for pricing at acquisition. The filing includes portfolio distribution tables by insured age, by life expectancy band and by insurance carrier concentration.</t>
        </is>
      </c>
      <c r="L106" s="24" t="inlineStr">
        <is>
          <t>Probabilistic cash flow — each policy's value is the present value of face amount weighted by the probability of mortality in each future period, less the present value of premiums that must be paid to keep the policy in force until then; a single portfolio-level discount rate (8.25%) applied to those probability-weighted flows; life expectancy as a distributional input, not a point date; carrier concentration as a credit-risk dimension; policy lapse if premiums are not funded.</t>
        </is>
      </c>
      <c r="M106" s="24" t="inlineStr">
        <is>
          <t>Express a survival/mortality curve and use it to probability-weight a lump-sum inflow across many future periods from a single asset. Express a mandatory ongoing outflow (premium) that is the condition of keeping the inflow alive, so stopping payment destroys the asset. Express a portfolio as a population with distributions over age and life expectancy that aggregate to a smooth expected cash flow profile. Express counterparty concentration limits over the portfolio.</t>
        </is>
      </c>
      <c r="N106" s="24" t="inlineStr">
        <is>
          <t>Life settlements are the purest test of probability-weighted cash flow in the alternative-assets universe: unlike a mine or an orchard, there is no deterministic schedule at all, only a distribution. If CFDL can express the mortality-weighted PV with the premium-funding obligation and reproduce an 8.25%-discounted valuation over a 1,151-policy population, it demonstrates the stochastic-timing capability that also serves litigation finance, pharma development milestones and insurance-linked assets.</t>
        </is>
      </c>
      <c r="O106" s="24" t="inlineStr">
        <is>
          <t>OK</t>
        </is>
      </c>
    </row>
    <row r="107" ht="96" customHeight="1" s="18">
      <c r="A107" s="28" t="n">
        <v>106</v>
      </c>
      <c r="B107" s="28" t="inlineStr">
        <is>
          <t>Transport, Resources &amp; Royalty/IP (roadmap)</t>
        </is>
      </c>
      <c r="C107" s="28" t="inlineStr">
        <is>
          <t>Royalty / IP-adjacent — litigation finance</t>
        </is>
      </c>
      <c r="D107" s="28" t="inlineStr">
        <is>
          <t>Burford Capital Limited — 2023 Annual Report</t>
        </is>
      </c>
      <c r="E107" s="28" t="inlineStr">
        <is>
          <t>Burford Capital Limited</t>
        </is>
      </c>
      <c r="F107" s="29" t="inlineStr">
        <is>
          <t>https://s206.q4cdn.com/737820215/files/doc_financials/2023/ar/2024-03-28-Burford-Capital-2023-Annual-Report-FINAL-1449672-1.pdf</t>
        </is>
      </c>
      <c r="G107" s="28" t="inlineStr">
        <is>
          <t>direct download</t>
        </is>
      </c>
      <c r="H107" s="28" t="inlineStr">
        <is>
          <t>not stated; public annual report posted on the issuer's investor site.</t>
        </is>
      </c>
      <c r="I107" s="28" t="inlineStr">
        <is>
          <t>assumptions and outputs only</t>
        </is>
      </c>
      <c r="J107" s="28" t="inlineStr">
        <is>
          <t>Litigation finance portfolio disclosure with deployment/realisation reconciliation and vintage returns</t>
        </is>
      </c>
      <c r="K107" s="28" t="inlineStr">
        <is>
          <t>Group-wide realisations of US$1,117.8 million in 2023 (capital provision-direct US$732.8m, capital provision-indirect US$143.5m, post-settlement US$241.5m) versus US$734.6 million in 2022 (US$590.9m / US$39.1m / US$104.6m), reconciled in Schedule 1. Vintage-level returns are disclosed for individual pools, for example a 2020 pool showing 183% ROIC and a 50% IRR. Schedule 1 Item 7 sets out deployments by year. Burford's separate FY2025 Form 10-K describes the return structure as combining "(i) a time-based return, such as an interest rate; (ii) a multiple of our deployed capital that may increase over time; and (iii) an entitlement to some percentage of the net realization" (https://s206.q4cdn.com/737820215/files/doc_financials/2025/q4/2026-02-26-Burford-Capital-2025-Annual-Report-on-Form-10-K-FINAL.pdf).</t>
        </is>
      </c>
      <c r="L107" s="28" t="inlineStr">
        <is>
          <t>A three-component waterfall on each matter — accrued time-based return, a step-up multiple of deployed capital that ratchets with elapsed time, and a percentage of net proceeds — with the investor taking the greater or the sum depending on the contract; definitive versus discretionary commitments, where only the former is a binding future outflow; staged deployment against case milestones rather than a single upfront outlay; binary case outcomes with total loss on an adverse judgment; a weighted average life measured from deployment to cash realisation.</t>
        </is>
      </c>
      <c r="M107" s="28" t="inlineStr">
        <is>
          <t>Express a payoff that is the maximum (or sum) of several alternative entitlement formulas evaluated at the resolution date. Express a multiple that ratchets upward on a time schedule. Express commitments that are contingent on future draw requests, distinguishing binding from discretionary. Express binary outcome branches with probability weights and a total-loss branch. Express ROIC and IRR at both individual-asset and vintage-pool level.</t>
        </is>
      </c>
      <c r="N107" s="28" t="inlineStr">
        <is>
          <t>Litigation finance payoffs are non-linear in a way most cash flow tools cannot express — the return is a max() over competing formulas evaluated at an uncertain date, which is closer to an option than to a loan. Reproducing the disclosed 183% ROIC / 50% IRR vintage figures from a deployment schedule would prove CFDL handles both the time-ratcheting multiple and the divergence between money-multiple and time-weighted return metrics, a distinction that matters across all private-capital asset classes.</t>
        </is>
      </c>
      <c r="O107" s="28" t="inlineStr">
        <is>
          <t>OK</t>
        </is>
      </c>
    </row>
    <row r="108" ht="96" customHeight="1" s="18">
      <c r="A108" s="28" t="n">
        <v>107</v>
      </c>
      <c r="B108" s="28" t="inlineStr">
        <is>
          <t>CRE (existing pack)</t>
        </is>
      </c>
      <c r="C108" s="28" t="inlineStr">
        <is>
          <t>Retail — single-tenant and multi-tenant ground-up development (neighborhood/community center, power center, regional and super-regional mall, fashion/specialty and outlet center, plus single-tenant pads: bank, grocery, gas station, QSR, auto repair, day care)</t>
        </is>
      </c>
      <c r="D108" s="28" t="inlineStr">
        <is>
          <t>A.CRE Retail Real Estate Development Model (v2.2, updated Aug 2026) — workbook plus author video walkthrough (31 min)</t>
        </is>
      </c>
      <c r="E108" s="28" t="inlineStr">
        <is>
          <t>Adventures in CRE (A.CRE) — Spencer Burton</t>
        </is>
      </c>
      <c r="F108" s="29" t="inlineStr">
        <is>
          <t>https://www.adventuresincre.com/retail-development-model/</t>
        </is>
      </c>
      <c r="G108" s="28" t="inlineStr">
        <is>
          <t>free registration</t>
        </is>
      </c>
      <c r="H108" s="28" t="inlineStr">
        <is>
          <t>Distributed "Pay What You're Able" — no minimum (enter $0) or maximum — in exchange for an email address to receive the download link; paid contributors receive automatic version updates. Macro-enabled .xlsm, Excel 2013/2016/365 only. Standard A.CRE disclaimer: "Models downloaded from A.CRE may contain errors. Verify formulas/methodology before basing investment decisions on any model here." Redistribution rights are not stated on the model page, so treat as validation-only — do not vendor the workbook into the CFDL repo. Local copies held in cfdl/research: workbook Retail-Development-Model-v2.2-0ahk71.xlsm; video captions transcribed to retail_development_model_video_transcript.md (source video https://www.youtube.com/watch?v=9N56CH3R1SY).</t>
        </is>
      </c>
      <c r="I108" s="28" t="inlineStr">
        <is>
          <t>full cash flow table available</t>
        </is>
      </c>
      <c r="J108" s="28" t="inlineStr">
        <is>
          <t>Monthly ground-up retail development model supporting both merchant-build (sell at stabilization) and build-to-core (permanent debt takeout, ~120-month hold) strategies, with an s-curve development budget, tenant-by-tenant rent roll with NNN recoveries, construction debt with capitalized interest solved by macro iteration, optional permanent debt, single or double promote waterfalls, and a detailed portion-by-portion reversion.</t>
        </is>
      </c>
      <c r="K108" s="28" t="inlineStr">
        <is>
          <t>Shipped default case in v2.2 — a 4-building, 12-suite neighborhood center on 7.43 acres, 91,500 SF NRA, analysis beginning 1 June 2024 and selling month 43 (1 Dec 2027) as a merchant build. Uses: land $3,055,000; hard costs $14,030,875 (construction at $150/SF spread S-curve over months 1-18); soft costs $2,070,262 including a 3.5% development fee of $647,792; total project cost before financing $19,156,137; carry costs of $1,066,745 capitalized construction interest, $130,000 financing fees and $192,190 operating shortfall for total uses of $20,545,072. Sources: 70% LTC construction loan at 9.00% ($14,381,551), no mezzanine, equity $6,163,520 (30%), with 100% of lease-up income applied to interest. Operations begin month 19, first stabilized month 31; property taxes phase in at 50%/75%/100%/100% of stabilized by operating year. Rent roll: anchor Walbert Foods 65,000 SF at $14.00/SF (lease start 19, rent start 22), nine inline suites at $24-30/SF, and two outparcels (Whosaburger 4,500 SF at $110/SF; Planetdoe's Coffee 2,500 SF at $85/SF), all triple net at 100% recovery. Other income $90,000 (parking, percentage rent, other). PGI $3,337,108 less 5% vacancy and credit loss gives EGR $3,170,252; opex of $1,101,608 (CAM $5.00/SF at 25% fixed, management fee 3% of EGR, insurance $2.00/SF fully fixed, property taxes $4.00/SF against a 1.24% mill rate, all growing 2%) gives NOI $2,068,645; leasing-cost reserve $180,554 and capex reserve $91,500 leave cash flow from operations of $1,796,591. Reversion at a 7.00% going-in and 7.00% terminal cap with 2% selling costs: stabilized value $29,552,066, sale value $29,765,872, net proceeds $29,170,555, construction loan payoff $14,381,551, equity proceeds $14,789,003. Returns: yield on cost 10.07% stabilized and 10.14% at sale against a 7.00% market cap, i.e. a 306.9 bp and 314.2 bp development spread; unlevered IRR 19.56% on a 1.66x multiple and $12,805,659 of net profit; levered IRR 31.08% on a 2.50x multiple and $9,235,959 of net profit. Waterfall: GP 5% / LP 95% contributions, 9% preferred with GP catch-up, then 15% promote to a 12% IRR, 30% to a 15% IRR and 40% above, plus a 0.4%-of-project-cost AUM fee from month 31 — resolving to LP 24.23% IRR / 2.08x and GP 99.39% IRR / 10.41x. A second (double-promote) waterfall splits the GP interest 5/95 between two co-GPs on the same hurdle ladder. The permanent-debt module is switched off in the default but populated (60% LTV or construction-debt-sized, 6.50%, 30-year amortization, funding month 31), which gives a second build-to-core case over the identical operating model. The video walkthrough narrates a variant of this case and quotes its own figures (8.02% yield on cost, 189-202 bp spread, 15%/20% unlevered/levered IRR, 1.41x) — those are the presenter's live edits, not the shipped defaults, so the workbook values above are the ones to benchmark against.</t>
        </is>
      </c>
      <c r="L108" s="28" t="inlineStr">
        <is>
          <t>S-curve, straight-line, steady-growth, steady-decline or hand-detailed spreading of every budget line between a start and end month; capitalized construction interest accruing onto a growing drawn balance, which makes total uses, the interest reserve and the loan-to-cost sizing test mutually circular; a second circularity in the management fee, which is a percentage of EGR while EGR includes recovery income that includes the management fee — the workbook refuses Excel iterative calculation and instead ships a VBA "click to recalculate" macro that drives two named plug cells (Construction Loan and Mgmt Fee) until percent-of-sources equals the LTC input and actual fee equals target fee; optional second construction tranche (mezzanine) with its own rate and funding order; an operating-shortfall reserve sized from the lease-up deficit and an election of what share of lease-up income services construction interest; tenant-level rent roll with separate lease-start and rent-start months (free rent), lease term, base rent per SF, escalation rate and step frequency, tagged by tenant type (anchor, junior anchor, inline, outparcel, other), lease status (signed lease, signed LOI, spec) and spec versus build-to-suit; NNN recoveries as a computed pro-rata share of the recoverable pool with a per-lease override that caps reimbursement below pro-rata (100% = triple net, 0% = gross), plus a per-tenant recovery start month distinct from rent start; a fixed/variable split on every opex line so the variable portion scales with occupancy; a property-tax phase-in vector by operating year and a mill-rate cross-check against value; leasing-cost and capex reserves accrued monthly from stabilization, derived from probability-weighted new-versus-renewal market leasing assumptions (25%/75% renewal probability, $10/$5 TI, 6%/4% commissions, 10-year term, 6 months downtime plus free rent on new) rather than modeling second-generation leases explicitly; optional permanent debt, interest-only or amortizing, funding at a chosen month and sized either to retire the construction loan or by LTV against stabilized value, with DSCR and debt-yield tests at first payment; reversion whose exit pro forma is pulled from the twelve months following the sale month but is overridable line by line, optionally split into separately capped portions (pads versus inline versus anchor); yield-on-cost versus market-cap-rate development spread reported at both stabilization and sale; single or double promote IRR-hurdle waterfalls with GP catch-up and an AUM fee; a residual land value tool; and four sensitivity grids (vacancy, exit cap rate, income growth, expense growth) reported on development spread and levered equity multiple.</t>
        </is>
      </c>
      <c r="M108" s="28" t="inlineStr">
        <is>
          <t>Express a budget line as an amount plus a shape (s-curve, straight line, ramp) spread over a start/end month window; express capitalized interest that accrues onto the drawn balance and feeds back into the sizing constraint — a solve-to-target over a circular dependency the engine must resolve declaratively where the workbook resorts to a macro; express a second, independent circularity where a fee defined as a percentage of a revenue aggregate is itself a component of that aggregate through expense recovery; express a lease as a first-class entity whose rent commencement, recovery commencement and term commencement are three separate dates; express rent steps at a declarable frequency rather than annually; express expense recovery as a pro-rata share of a recoverable pool with a per-lease cap that overrides the computed share; express each operating expense as a fixed component plus a component variable with occupancy; express a phase-in vector that scales a stabilized expense by a per-year percentage during lease-up; express a probability-weighted new-versus-renewal leasing cost accrued as a reserve from a stated month in place of explicit rollover; express a financing event that retires one facility and originates another mid-life under a different amortization regime, sized by a test against a value the model itself computes; express a reversion pro forma derived from a forward window of the operating model yet overridable line by line; express a terminal value as a sum of separately capped portions of one asset; express nested (double promote) IRR-hurdle waterfalls with catch-up over a shared hurdle ladder.</t>
        </is>
      </c>
      <c r="N108" s="28" t="inlineStr">
        <is>
          <t>The cleanest available development-side benchmark for the CRE pack, and the sharpest published test of solve-to-target on circular constraints: the workbook carries two distinct circularities (capitalized construction interest against the LTC sizing test, and a management fee against an EGR that includes it through recoveries) and openly resolves both with a VBA iteration macro because Excel cannot do it declaratively — which is precisely the case CFDL should be able to state as a constraint and solve. Beyond that it validates the fixed/variable opex split, the recovery-cap override, the property-tax phase-in, the three-date lease (term start, rent start, recovery start), reserve-based leasing cost in place of explicit rollover, and the merchant-build versus build-to-core fork — one file yielding two financing and exit regimes over an identical operating model. The shipped default case gives a full set of checkable endpoints (NOI $2,068,645; stabilized value $29,552,066; 306.9 bp development spread; 19.56% unlevered and 31.08% levered IRR; 1.66x and 2.50x; LP 24.23% and GP 99.39% through a four-tier waterfall with catch-up), and every intermediate monthly cash flow is visible in the workbook, so parity can be asserted period by period rather than only at the endpoint. Complements the Ai1 model (breadth) with depth on ground-up retail and pairs with the existing A.CRE Apartment Development and Residential Land Development entries to complete the development family.</t>
        </is>
      </c>
      <c r="O108" s="28" t="inlineStr">
        <is>
          <t>OK — page, video and workbook all obtained 22 August 2026; workbook held locally in cfdl/research</t>
        </is>
      </c>
    </row>
    <row r="109">
      <c r="A109" s="17" t="n">
        <v>108</v>
      </c>
      <c r="B109" s="17" t="inlineStr">
        <is>
          <t>CRE (existing pack)</t>
        </is>
      </c>
      <c r="C109" s="17" t="inlineStr">
        <is>
          <t>Commercial real estate debt — amortization</t>
        </is>
      </c>
      <c r="D109" s="17" t="inlineStr">
        <is>
          <t>Advanced Amortization Model (v1.1)</t>
        </is>
      </c>
      <c r="E109" s="17" t="inlineStr">
        <is>
          <t>Adventures in CRE (A.CRE)</t>
        </is>
      </c>
      <c r="F109" s="17" t="inlineStr"/>
      <c r="G109" s="17" t="inlineStr">
        <is>
          <t>free registration</t>
        </is>
      </c>
      <c r="H109" s="17" t="inlineStr">
        <is>
          <t>"Pay What You're Able" — not cleared for redistribution</t>
        </is>
      </c>
      <c r="I109" s="17" t="inlineStr">
        <is>
          <t>full cash flow table available</t>
        </is>
      </c>
      <c r="J109" s="17" t="inlineStr">
        <is>
          <t>Loan amortization schedule with non-standard payment features</t>
        </is>
      </c>
      <c r="K109" s="17" t="inlineStr">
        <is>
          <t>A single loan amortized monthly with an annual payment roll-up.</t>
        </is>
      </c>
      <c r="L109" s="17" t="inlineStr">
        <is>
          <t>Period-by-period interest/principal split; annual aggregation of a monthly schedule.</t>
        </is>
      </c>
      <c r="M109" s="17" t="inlineStr">
        <is>
          <t>Per-period persistent state (balance carried on prev)</t>
        </is>
      </c>
      <c r="N109" s="17" t="inlineStr">
        <is>
          <t>Amortization arithmetic against an independent schedule; monthly-to-annual rollup.</t>
        </is>
      </c>
      <c r="O109" s="17" t="inlineStr">
        <is>
          <t>n/a — local file</t>
        </is>
      </c>
      <c r="P109" s="17" t="inlineStr">
        <is>
          <t>public template</t>
        </is>
      </c>
      <c r="Q109" s="17" t="inlineStr"/>
    </row>
    <row r="110">
      <c r="A110" s="17" t="n">
        <v>109</v>
      </c>
      <c r="B110" s="17" t="inlineStr">
        <is>
          <t>CRE (existing pack)</t>
        </is>
      </c>
      <c r="C110" s="17" t="inlineStr">
        <is>
          <t>Commercial real estate — generic acquisition</t>
        </is>
      </c>
      <c r="D110" s="17" t="inlineStr">
        <is>
          <t>Basic Real Estate Model (v1.2)</t>
        </is>
      </c>
      <c r="E110" s="17" t="inlineStr">
        <is>
          <t>Adventures in CRE (A.CRE)</t>
        </is>
      </c>
      <c r="F110" s="17" t="inlineStr"/>
      <c r="G110" s="17" t="inlineStr">
        <is>
          <t>free registration</t>
        </is>
      </c>
      <c r="H110" s="17" t="inlineStr">
        <is>
          <t>"Pay What You're Able" — not cleared for redistribution</t>
        </is>
      </c>
      <c r="I110" s="17" t="inlineStr">
        <is>
          <t>full cash flow table available</t>
        </is>
      </c>
      <c r="J110" s="17" t="inlineStr">
        <is>
          <t>Single-sheet acquisition pro forma</t>
        </is>
      </c>
      <c r="K110" s="17" t="inlineStr">
        <is>
          <t>A minimal buy/hold/sell on one sheet.</t>
        </is>
      </c>
      <c r="L110" s="17" t="inlineStr">
        <is>
          <t>NOI build, debt service, reversion, unlevered and levered IRR.</t>
        </is>
      </c>
      <c r="M110" s="17" t="inlineStr">
        <is>
          <t>Calendar, horizon &amp; event timing</t>
        </is>
      </c>
      <c r="N110" s="17" t="inlineStr">
        <is>
          <t>A floor case: the smallest complete CRE deal, useful as a regression anchor.</t>
        </is>
      </c>
      <c r="O110" s="17" t="inlineStr">
        <is>
          <t>n/a — local file</t>
        </is>
      </c>
      <c r="P110" s="17" t="inlineStr">
        <is>
          <t>public template</t>
        </is>
      </c>
      <c r="Q110" s="17" t="inlineStr"/>
    </row>
    <row r="111">
      <c r="A111" s="17" t="n">
        <v>110</v>
      </c>
      <c r="B111" s="17" t="inlineStr">
        <is>
          <t>CRE (existing pack)</t>
        </is>
      </c>
      <c r="C111" s="17" t="inlineStr">
        <is>
          <t>Multifamily development — after-tax</t>
        </is>
      </c>
      <c r="D111" s="17" t="inlineStr">
        <is>
          <t>Basic Multifamily Development Model (v1.1)</t>
        </is>
      </c>
      <c r="E111" s="17" t="inlineStr">
        <is>
          <t>Adventures in CRE (A.CRE)</t>
        </is>
      </c>
      <c r="F111" s="17" t="inlineStr"/>
      <c r="G111" s="17" t="inlineStr">
        <is>
          <t>free registration</t>
        </is>
      </c>
      <c r="H111" s="17" t="inlineStr">
        <is>
          <t>"Pay What You're Able" — not cleared for redistribution</t>
        </is>
      </c>
      <c r="I111" s="17" t="inlineStr">
        <is>
          <t>full cash flow table available</t>
        </is>
      </c>
      <c r="J111" s="17" t="inlineStr">
        <is>
          <t>Ground-up multifamily development with an after-tax return</t>
        </is>
      </c>
      <c r="K111" s="17" t="inlineStr">
        <is>
          <t>A transit-oriented apartment development held through stabilization and sold.</t>
        </is>
      </c>
      <c r="L111" s="17" t="inlineStr">
        <is>
          <t>PGI/vacancy/EGI/opex/RE-tax NOI; capital reserve; debt service; depreciation and amortization add-backs to taxable income; tax at 20%; net-book-value reversion.</t>
        </is>
      </c>
      <c r="M111" s="17" t="inlineStr">
        <is>
          <t>Actuarial &amp; tax subsystems (depreciation, tax on taxable income)</t>
        </is>
      </c>
      <c r="N111" s="17" t="inlineStr">
        <is>
          <t>The only after-tax CRE convention in the corpus: a second ledger alongside cash.</t>
        </is>
      </c>
      <c r="O111" s="17" t="inlineStr">
        <is>
          <t>n/a — local file</t>
        </is>
      </c>
      <c r="P111" s="17" t="inlineStr">
        <is>
          <t>public template</t>
        </is>
      </c>
      <c r="Q111" s="17" t="inlineStr"/>
    </row>
    <row r="112">
      <c r="A112" s="17" t="n">
        <v>111</v>
      </c>
      <c r="B112" s="17" t="inlineStr">
        <is>
          <t>CRE (existing pack)</t>
        </is>
      </c>
      <c r="C112" s="17" t="inlineStr">
        <is>
          <t>Multifamily — value-add / redevelopment</t>
        </is>
      </c>
      <c r="D112" s="17" t="inlineStr">
        <is>
          <t>Belasco Multifamily Redevelopment Model</t>
        </is>
      </c>
      <c r="E112" s="17" t="inlineStr">
        <is>
          <t>Adventures in CRE (A.CRE)</t>
        </is>
      </c>
      <c r="F112" s="17" t="inlineStr"/>
      <c r="G112" s="17" t="inlineStr">
        <is>
          <t>free registration</t>
        </is>
      </c>
      <c r="H112" s="17" t="inlineStr">
        <is>
          <t>"Pay What You're Able" — not cleared for redistribution</t>
        </is>
      </c>
      <c r="I112" s="17" t="inlineStr">
        <is>
          <t>full cash flow table available</t>
        </is>
      </c>
      <c r="J112" s="17" t="inlineStr">
        <is>
          <t>Monthly value-add multifamily redevelopment</t>
        </is>
      </c>
      <c r="K112" s="17" t="inlineStr">
        <is>
          <t>A unit-by-unit renovation with rents rolling to a post-renovation level.</t>
        </is>
      </c>
      <c r="L112" s="17" t="inlineStr">
        <is>
          <t>Unit breakdown driving a monthly pro forma; annual roll-up with returns; amortization schedule.</t>
        </is>
      </c>
      <c r="M112" s="17" t="inlineStr">
        <is>
          <t>Cohort / vintage stock (units by renovation status)</t>
        </is>
      </c>
      <c r="N112" s="17" t="inlineStr">
        <is>
          <t>Unit-level rollover as a cohort problem rather than a single blended rent.</t>
        </is>
      </c>
      <c r="O112" s="17" t="inlineStr">
        <is>
          <t>n/a — local file</t>
        </is>
      </c>
      <c r="P112" s="17" t="inlineStr">
        <is>
          <t>public template</t>
        </is>
      </c>
      <c r="Q112" s="17" t="inlineStr"/>
    </row>
    <row r="113">
      <c r="A113" s="17" t="n">
        <v>112</v>
      </c>
      <c r="B113" s="17" t="inlineStr">
        <is>
          <t>CRE (existing pack)</t>
        </is>
      </c>
      <c r="C113" s="17" t="inlineStr">
        <is>
          <t>Real estate private equity / JV promote</t>
        </is>
      </c>
      <c r="D113" s="17" t="inlineStr">
        <is>
          <t>Belasco Equity Waterfall Model</t>
        </is>
      </c>
      <c r="E113" s="17" t="inlineStr">
        <is>
          <t>Adventures in CRE (A.CRE)</t>
        </is>
      </c>
      <c r="F113" s="17" t="inlineStr"/>
      <c r="G113" s="17" t="inlineStr">
        <is>
          <t>free registration</t>
        </is>
      </c>
      <c r="H113" s="17" t="inlineStr">
        <is>
          <t>"Pay What You're Able" — not cleared for redistribution</t>
        </is>
      </c>
      <c r="I113" s="17" t="inlineStr">
        <is>
          <t>full cash flow table available</t>
        </is>
      </c>
      <c r="J113" s="17" t="inlineStr">
        <is>
          <t>JV equity waterfall over a redevelopment deal</t>
        </is>
      </c>
      <c r="K113" s="17" t="inlineStr">
        <is>
          <t>The Belasco redevelopment distributed through a promote structure.</t>
        </is>
      </c>
      <c r="L113" s="17" t="inlineStr">
        <is>
          <t>Tiered waterfall with amortization schedule feeding the underlying model.</t>
        </is>
      </c>
      <c r="M113" s="17" t="inlineStr">
        <is>
          <t>Ordered waterfall / priority of payments</t>
        </is>
      </c>
      <c r="N113" s="17" t="inlineStr">
        <is>
          <t>A waterfall bound to a real underlying model rather than a synthetic cash flow strip.</t>
        </is>
      </c>
      <c r="O113" s="17" t="inlineStr">
        <is>
          <t>n/a — local file</t>
        </is>
      </c>
      <c r="P113" s="17" t="inlineStr">
        <is>
          <t>public template</t>
        </is>
      </c>
      <c r="Q113" s="17" t="inlineStr"/>
    </row>
    <row r="114">
      <c r="A114" s="17" t="n">
        <v>113</v>
      </c>
      <c r="B114" s="17" t="inlineStr">
        <is>
          <t>CRE (existing pack)</t>
        </is>
      </c>
      <c r="C114" s="17" t="inlineStr">
        <is>
          <t>Real estate debt — construction draw and interest</t>
        </is>
      </c>
      <c r="D114" s="17" t="inlineStr">
        <is>
          <t>Construction Draw and Interest Calculation Model (v1.31)</t>
        </is>
      </c>
      <c r="E114" s="17" t="inlineStr">
        <is>
          <t>Adventures in CRE (A.CRE)</t>
        </is>
      </c>
      <c r="F114" s="17" t="inlineStr"/>
      <c r="G114" s="17" t="inlineStr">
        <is>
          <t>free registration</t>
        </is>
      </c>
      <c r="H114" s="17" t="inlineStr">
        <is>
          <t>"Pay What You're Able" — not cleared for redistribution</t>
        </is>
      </c>
      <c r="I114" s="17" t="inlineStr">
        <is>
          <t>full cash flow table available</t>
        </is>
      </c>
      <c r="J114" s="17" t="inlineStr">
        <is>
          <t>S-curve construction draw with capitalized interest</t>
        </is>
      </c>
      <c r="K114" s="17" t="inlineStr">
        <is>
          <t>A construction budget drawn on an S-curve, with interest calculated on the running balance.</t>
        </is>
      </c>
      <c r="L114" s="17" t="inlineStr">
        <is>
          <t>Sources and uses; budget by cost code; S-curve distribution; interest on average balance.</t>
        </is>
      </c>
      <c r="M114" s="17" t="inlineStr">
        <is>
          <t>Per-period persistent state; solve-to-target / endogenous circularity</t>
        </is>
      </c>
      <c r="N114" s="17" t="inlineStr">
        <is>
          <t>Capitalized construction interest — the circularity that penzance_highlands builds by hand.</t>
        </is>
      </c>
      <c r="O114" s="17" t="inlineStr">
        <is>
          <t>n/a — local file</t>
        </is>
      </c>
      <c r="P114" s="17" t="inlineStr">
        <is>
          <t>public template</t>
        </is>
      </c>
      <c r="Q114" s="17" t="n">
        <v>18</v>
      </c>
    </row>
    <row r="115">
      <c r="A115" s="17" t="n">
        <v>114</v>
      </c>
      <c r="B115" s="17" t="inlineStr">
        <is>
          <t>CRE (existing pack)</t>
        </is>
      </c>
      <c r="C115" s="17" t="inlineStr">
        <is>
          <t>Real estate development — budget distribution</t>
        </is>
      </c>
      <c r="D115" s="17" t="inlineStr">
        <is>
          <t>Development Budget Cash Flow Distribution Module</t>
        </is>
      </c>
      <c r="E115" s="17" t="inlineStr">
        <is>
          <t>Adventures in CRE (A.CRE)</t>
        </is>
      </c>
      <c r="F115" s="17" t="inlineStr"/>
      <c r="G115" s="17" t="inlineStr">
        <is>
          <t>free registration</t>
        </is>
      </c>
      <c r="H115" s="17" t="inlineStr">
        <is>
          <t>"Pay What You're Able" — not cleared for redistribution</t>
        </is>
      </c>
      <c r="I115" s="17" t="inlineStr">
        <is>
          <t>full cash flow table available</t>
        </is>
      </c>
      <c r="J115" s="17" t="inlineStr">
        <is>
          <t>Cost-curve distribution module</t>
        </is>
      </c>
      <c r="K115" s="17" t="inlineStr">
        <is>
          <t>A development budget spread over a build period by S-curve.</t>
        </is>
      </c>
      <c r="L115" s="17" t="inlineStr">
        <is>
          <t>Budget by line item; S-curve weights; period distribution.</t>
        </is>
      </c>
      <c r="M115" s="17" t="inlineStr">
        <is>
          <t>Curves, indices &amp; price paths</t>
        </is>
      </c>
      <c r="N115" s="17" t="inlineStr">
        <is>
          <t>Curve lowering in isolation — a unit test for the cost-curve mechanism.</t>
        </is>
      </c>
      <c r="O115" s="17" t="inlineStr">
        <is>
          <t>n/a — local file</t>
        </is>
      </c>
      <c r="P115" s="17" t="inlineStr">
        <is>
          <t>public template</t>
        </is>
      </c>
      <c r="Q115" s="17" t="inlineStr"/>
    </row>
    <row r="116">
      <c r="A116" s="17" t="n">
        <v>115</v>
      </c>
      <c r="B116" s="17" t="inlineStr">
        <is>
          <t>CRE (existing pack)</t>
        </is>
      </c>
      <c r="C116" s="17" t="inlineStr">
        <is>
          <t>Commercial real estate — acquisition</t>
        </is>
      </c>
      <c r="D116" s="17" t="inlineStr">
        <is>
          <t>Real Estate Acquisition Model (v1.3)</t>
        </is>
      </c>
      <c r="E116" s="17" t="inlineStr">
        <is>
          <t>Adventures in CRE (A.CRE)</t>
        </is>
      </c>
      <c r="F116" s="17" t="inlineStr"/>
      <c r="G116" s="17" t="inlineStr">
        <is>
          <t>free registration</t>
        </is>
      </c>
      <c r="H116" s="17" t="inlineStr">
        <is>
          <t>"Pay What You're Able" — not cleared for redistribution</t>
        </is>
      </c>
      <c r="I116" s="17" t="inlineStr">
        <is>
          <t>full cash flow table available</t>
        </is>
      </c>
      <c r="J116" s="17" t="inlineStr">
        <is>
          <t>Institutional acquisition DCF with investor returns</t>
        </is>
      </c>
      <c r="K116" s="17" t="inlineStr">
        <is>
          <t>A stabilized asset acquired, held and sold, with a separate investor-return layer.</t>
        </is>
      </c>
      <c r="L116" s="17" t="inlineStr">
        <is>
          <t>Property summary, operating-statement DCF, debt module, property vs investor returns.</t>
        </is>
      </c>
      <c r="M116" s="17" t="inlineStr">
        <is>
          <t>Composition, nesting &amp; multi-entity</t>
        </is>
      </c>
      <c r="N116" s="17" t="inlineStr">
        <is>
          <t>The property/investor return split — two return layers over one cash flow.</t>
        </is>
      </c>
      <c r="O116" s="17" t="inlineStr">
        <is>
          <t>n/a — local file</t>
        </is>
      </c>
      <c r="P116" s="17" t="inlineStr">
        <is>
          <t>public template</t>
        </is>
      </c>
      <c r="Q116" s="17" t="inlineStr"/>
    </row>
    <row r="117">
      <c r="A117" s="17" t="n">
        <v>116</v>
      </c>
      <c r="B117" s="17" t="inlineStr">
        <is>
          <t>CRE (existing pack)</t>
        </is>
      </c>
      <c r="C117" s="17" t="inlineStr">
        <is>
          <t>Commercial real estate — acquisition</t>
        </is>
      </c>
      <c r="D117" s="17" t="inlineStr">
        <is>
          <t>Real Estate Acquisition Model — operating, investment and return</t>
        </is>
      </c>
      <c r="E117" s="17" t="inlineStr">
        <is>
          <t>Adventures in CRE (A.CRE)</t>
        </is>
      </c>
      <c r="F117" s="17" t="inlineStr"/>
      <c r="G117" s="17" t="inlineStr">
        <is>
          <t>free registration</t>
        </is>
      </c>
      <c r="H117" s="17" t="inlineStr">
        <is>
          <t>"Pay What You're Able" — not cleared for redistribution</t>
        </is>
      </c>
      <c r="I117" s="17" t="inlineStr">
        <is>
          <t>full cash flow table available</t>
        </is>
      </c>
      <c r="J117" s="17" t="inlineStr">
        <is>
          <t>Acquisition model with an amortization schedule</t>
        </is>
      </c>
      <c r="K117" s="17" t="inlineStr">
        <is>
          <t>A held-and-sold asset with an explicit loan schedule.</t>
        </is>
      </c>
      <c r="L117" s="17" t="inlineStr">
        <is>
          <t>Single-sheet model plus amortization schedule.</t>
        </is>
      </c>
      <c r="M117" s="17" t="inlineStr">
        <is>
          <t>Per-period persistent state</t>
        </is>
      </c>
      <c r="N117" s="17" t="inlineStr">
        <is>
          <t>A second independent implementation of the acquisition conventions in ID 115.</t>
        </is>
      </c>
      <c r="O117" s="17" t="inlineStr">
        <is>
          <t>n/a — local file</t>
        </is>
      </c>
      <c r="P117" s="17" t="inlineStr">
        <is>
          <t>public template</t>
        </is>
      </c>
      <c r="Q117" s="17" t="inlineStr"/>
    </row>
    <row r="118">
      <c r="A118" s="17" t="n">
        <v>117</v>
      </c>
      <c r="B118" s="17" t="inlineStr">
        <is>
          <t>CRE (existing pack)</t>
        </is>
      </c>
      <c r="C118" s="17" t="inlineStr">
        <is>
          <t>Commercial real estate — portfolio</t>
        </is>
      </c>
      <c r="D118" s="17" t="inlineStr">
        <is>
          <t>Real Estate Portfolio Acquisition Model (v2.3)</t>
        </is>
      </c>
      <c r="E118" s="17" t="inlineStr">
        <is>
          <t>Adventures in CRE (A.CRE)</t>
        </is>
      </c>
      <c r="F118" s="17" t="inlineStr"/>
      <c r="G118" s="17" t="inlineStr">
        <is>
          <t>free registration</t>
        </is>
      </c>
      <c r="H118" s="17" t="inlineStr">
        <is>
          <t>"Pay What You're Able" — not cleared for redistribution</t>
        </is>
      </c>
      <c r="I118" s="17" t="inlineStr">
        <is>
          <t>full cash flow table available</t>
        </is>
      </c>
      <c r="J118" s="17" t="inlineStr">
        <is>
          <t>Multi-property portfolio acquisition</t>
        </is>
      </c>
      <c r="K118" s="17" t="inlineStr">
        <is>
          <t>Several assets underwritten separately and rolled to a portfolio.</t>
        </is>
      </c>
      <c r="L118" s="17" t="inlineStr">
        <is>
          <t>Per-property assumptions and returns; portfolio-level roll-up; investor-level returns; debt.</t>
        </is>
      </c>
      <c r="M118" s="17" t="inlineStr">
        <is>
          <t>Composition, nesting &amp; multi-entity</t>
        </is>
      </c>
      <c r="N118" s="17" t="inlineStr">
        <is>
          <t>Three return layers (property, portfolio, investor) — nothing in the suite covers a portfolio roll-up.</t>
        </is>
      </c>
      <c r="O118" s="17" t="inlineStr">
        <is>
          <t>n/a — local file</t>
        </is>
      </c>
      <c r="P118" s="17" t="inlineStr">
        <is>
          <t>public template</t>
        </is>
      </c>
      <c r="Q118" s="17" t="inlineStr"/>
    </row>
    <row r="119">
      <c r="A119" s="17" t="n">
        <v>118</v>
      </c>
      <c r="B119" s="17" t="inlineStr">
        <is>
          <t>CRE (existing pack)</t>
        </is>
      </c>
      <c r="C119" s="17" t="inlineStr">
        <is>
          <t>Real estate private equity / JV promote</t>
        </is>
      </c>
      <c r="D119" s="17" t="inlineStr">
        <is>
          <t>Real Estate Equity Waterfall — combined (v1.122)</t>
        </is>
      </c>
      <c r="E119" s="17" t="inlineStr">
        <is>
          <t>Adventures in CRE (A.CRE)</t>
        </is>
      </c>
      <c r="F119" s="17" t="inlineStr"/>
      <c r="G119" s="17" t="inlineStr">
        <is>
          <t>free registration</t>
        </is>
      </c>
      <c r="H119" s="17" t="inlineStr">
        <is>
          <t>"Pay What You're Able" — not cleared for redistribution</t>
        </is>
      </c>
      <c r="I119" s="17" t="inlineStr">
        <is>
          <t>full cash flow table available</t>
        </is>
      </c>
      <c r="J119" s="17" t="inlineStr">
        <is>
          <t>Equity waterfall, combined annual/monthly</t>
        </is>
      </c>
      <c r="K119" s="17" t="inlineStr">
        <is>
          <t>An investor-return waterfall on a single sheet.</t>
        </is>
      </c>
      <c r="L119" s="17" t="inlineStr">
        <is>
          <t>Tiered distribution with catch-up.</t>
        </is>
      </c>
      <c r="M119" s="17" t="inlineStr">
        <is>
          <t>Ordered waterfall / priority of payments</t>
        </is>
      </c>
      <c r="N119" s="17" t="inlineStr">
        <is>
          <t>Waterfall tier arithmetic isolated from an underlying property model.</t>
        </is>
      </c>
      <c r="O119" s="17" t="inlineStr">
        <is>
          <t>n/a — local file</t>
        </is>
      </c>
      <c r="P119" s="17" t="inlineStr">
        <is>
          <t>public template</t>
        </is>
      </c>
      <c r="Q119" s="17" t="n">
        <v>7</v>
      </c>
    </row>
    <row r="120">
      <c r="A120" s="17" t="n">
        <v>119</v>
      </c>
      <c r="B120" s="17" t="inlineStr">
        <is>
          <t>CRE (existing pack)</t>
        </is>
      </c>
      <c r="C120" s="17" t="inlineStr">
        <is>
          <t>Real estate private equity / JV promote</t>
        </is>
      </c>
      <c r="D120" s="17" t="inlineStr">
        <is>
          <t>Real Estate Equity Waterfall — monthly (v1.1)</t>
        </is>
      </c>
      <c r="E120" s="17" t="inlineStr">
        <is>
          <t>Adventures in CRE (A.CRE)</t>
        </is>
      </c>
      <c r="F120" s="17" t="inlineStr"/>
      <c r="G120" s="17" t="inlineStr">
        <is>
          <t>free registration</t>
        </is>
      </c>
      <c r="H120" s="17" t="inlineStr">
        <is>
          <t>"Pay What You're Able" — not cleared for redistribution</t>
        </is>
      </c>
      <c r="I120" s="17" t="inlineStr">
        <is>
          <t>full cash flow table available</t>
        </is>
      </c>
      <c r="J120" s="17" t="inlineStr">
        <is>
          <t>Monthly equity waterfall</t>
        </is>
      </c>
      <c r="K120" s="17" t="inlineStr">
        <is>
          <t>The same structure as ID 118 on a monthly period.</t>
        </is>
      </c>
      <c r="L120" s="17" t="inlineStr">
        <is>
          <t>Monthly tier accrual and distribution.</t>
        </is>
      </c>
      <c r="M120" s="17" t="inlineStr">
        <is>
          <t>Ordered waterfall; calendar, horizon &amp; event timing</t>
        </is>
      </c>
      <c r="N120" s="17" t="inlineStr">
        <is>
          <t>Whether a promote computed monthly and annually agree — a period-convention check.</t>
        </is>
      </c>
      <c r="O120" s="17" t="inlineStr">
        <is>
          <t>n/a — local file</t>
        </is>
      </c>
      <c r="P120" s="17" t="inlineStr">
        <is>
          <t>public template</t>
        </is>
      </c>
      <c r="Q120" s="17" t="n">
        <v>7</v>
      </c>
    </row>
    <row r="121">
      <c r="A121" s="17" t="n">
        <v>120</v>
      </c>
      <c r="B121" s="17" t="inlineStr">
        <is>
          <t>CRE (existing pack)</t>
        </is>
      </c>
      <c r="C121" s="17" t="inlineStr">
        <is>
          <t>Multifamily / apartment acquisition — stochastic</t>
        </is>
      </c>
      <c r="D121" s="17" t="inlineStr">
        <is>
          <t>Apartment Acquisition Model with Monte Carlo (v2.1)</t>
        </is>
      </c>
      <c r="E121" s="17" t="inlineStr">
        <is>
          <t>Adventures in CRE (A.CRE)</t>
        </is>
      </c>
      <c r="F121" s="17" t="inlineStr"/>
      <c r="G121" s="17" t="inlineStr">
        <is>
          <t>free registration</t>
        </is>
      </c>
      <c r="H121" s="17" t="inlineStr">
        <is>
          <t>"Pay What You're Able" — not cleared for redistribution</t>
        </is>
      </c>
      <c r="I121" s="17" t="inlineStr">
        <is>
          <t>full cash flow table available</t>
        </is>
      </c>
      <c r="J121" s="17" t="inlineStr">
        <is>
          <t>Monthly multifamily acquisition with a Monte Carlo layer</t>
        </is>
      </c>
      <c r="K121" s="17" t="inlineStr">
        <is>
          <t>A rent-roll-driven apartment acquisition with stochastic rent, vacancy and exit assumptions.</t>
        </is>
      </c>
      <c r="L121" s="17" t="inlineStr">
        <is>
          <t>MF rent roll; rents, capex, rollover, free rent, vacancy and releasing as separate monthly modules; 10,000-trial Monte Carlo sheet; property and investor returns.</t>
        </is>
      </c>
      <c r="M121" s="17" t="inlineStr">
        <is>
          <t>Stochastic drivers &amp; event Monte Carlo; cohort / vintage stock</t>
        </is>
      </c>
      <c r="N121" s="17" t="inlineStr">
        <is>
          <t>The only Monte Carlo reference in the CRE corpus — an aggregate-distribution assertion target.</t>
        </is>
      </c>
      <c r="O121" s="17" t="inlineStr">
        <is>
          <t>n/a — local file</t>
        </is>
      </c>
      <c r="P121" s="17" t="inlineStr">
        <is>
          <t>public template</t>
        </is>
      </c>
      <c r="Q121" s="17" t="inlineStr"/>
    </row>
    <row r="122">
      <c r="A122" s="17" t="n">
        <v>121</v>
      </c>
      <c r="B122" s="17" t="inlineStr">
        <is>
          <t>CRE (existing pack)</t>
        </is>
      </c>
      <c r="C122" s="17" t="inlineStr">
        <is>
          <t>Single-family residential investment</t>
        </is>
      </c>
      <c r="D122" s="17" t="inlineStr">
        <is>
          <t>Single-Family Residential Investment Model (v1.12)</t>
        </is>
      </c>
      <c r="E122" s="17" t="inlineStr">
        <is>
          <t>Adventures in CRE (A.CRE)</t>
        </is>
      </c>
      <c r="F122" s="17" t="inlineStr"/>
      <c r="G122" s="17" t="inlineStr">
        <is>
          <t>free registration</t>
        </is>
      </c>
      <c r="H122" s="17" t="inlineStr">
        <is>
          <t>"Pay What You're Able" — not cleared for redistribution</t>
        </is>
      </c>
      <c r="I122" s="17" t="inlineStr">
        <is>
          <t>full cash flow table available</t>
        </is>
      </c>
      <c r="J122" s="17" t="inlineStr">
        <is>
          <t>Single-family buy/renovate/hold</t>
        </is>
      </c>
      <c r="K122" s="17" t="inlineStr">
        <is>
          <t>A single house acquired, renovated on a construction budget and held.</t>
        </is>
      </c>
      <c r="L122" s="17" t="inlineStr">
        <is>
          <t>Construction budget; proforma; monthly cash flow; summary returns.</t>
        </is>
      </c>
      <c r="M122" s="17" t="inlineStr">
        <is>
          <t>Calendar, horizon &amp; event timing</t>
        </is>
      </c>
      <c r="N122" s="17" t="inlineStr">
        <is>
          <t>Small-asset conventions — no rent roll, no tenant rollover.</t>
        </is>
      </c>
      <c r="O122" s="17" t="inlineStr">
        <is>
          <t>n/a — local file</t>
        </is>
      </c>
      <c r="P122" s="17" t="inlineStr">
        <is>
          <t>public template</t>
        </is>
      </c>
      <c r="Q122" s="17" t="inlineStr"/>
    </row>
    <row r="123">
      <c r="A123" s="17" t="n">
        <v>122</v>
      </c>
      <c r="B123" s="17" t="inlineStr">
        <is>
          <t>CRE (existing pack)</t>
        </is>
      </c>
      <c r="C123" s="17" t="inlineStr">
        <is>
          <t>Commercial real estate — modeling technique</t>
        </is>
      </c>
      <c r="D123" s="17" t="inlineStr">
        <is>
          <t>OFFSET in Real Estate Modeling</t>
        </is>
      </c>
      <c r="E123" s="17" t="inlineStr">
        <is>
          <t>Adventures in CRE (A.CRE)</t>
        </is>
      </c>
      <c r="F123" s="17" t="inlineStr"/>
      <c r="G123" s="17" t="inlineStr">
        <is>
          <t>free registration</t>
        </is>
      </c>
      <c r="H123" s="17" t="inlineStr">
        <is>
          <t>"Pay What You're Able" — not cleared for redistribution</t>
        </is>
      </c>
      <c r="I123" s="17" t="inlineStr">
        <is>
          <t>assumptions and outputs only</t>
        </is>
      </c>
      <c r="J123" s="17" t="inlineStr">
        <is>
          <t>Technique demonstration</t>
        </is>
      </c>
      <c r="K123" s="17" t="inlineStr">
        <is>
          <t>Trailing-twelve-month calculations built with an OFFSET window.</t>
        </is>
      </c>
      <c r="L123" s="17" t="inlineStr">
        <is>
          <t>Rolling-window aggregation over a period series.</t>
        </is>
      </c>
      <c r="M123" s="17" t="inlineStr">
        <is>
          <t>Curves, indices &amp; price paths</t>
        </is>
      </c>
      <c r="N123" s="17" t="inlineStr">
        <is>
          <t>Rolling-window aggregation (TTM), which the language expresses with series_sum over a bounded range.</t>
        </is>
      </c>
      <c r="O123" s="17" t="inlineStr">
        <is>
          <t>n/a — local file</t>
        </is>
      </c>
      <c r="P123" s="17" t="inlineStr">
        <is>
          <t>public template</t>
        </is>
      </c>
      <c r="Q123" s="17" t="inlineStr"/>
    </row>
    <row r="124">
      <c r="A124" s="17" t="n">
        <v>123</v>
      </c>
      <c r="B124" s="17" t="inlineStr">
        <is>
          <t>CRE (existing pack)</t>
        </is>
      </c>
      <c r="C124" s="17" t="inlineStr">
        <is>
          <t>Hotels / hospitality</t>
        </is>
      </c>
      <c r="D124" s="17" t="inlineStr">
        <is>
          <t>Hotel Acquisition Model (USALI departmental)</t>
        </is>
      </c>
      <c r="E124" s="17" t="inlineStr">
        <is>
          <t>Unattributed</t>
        </is>
      </c>
      <c r="F124" s="17" t="inlineStr"/>
      <c r="G124" s="17" t="inlineStr">
        <is>
          <t>direct download</t>
        </is>
      </c>
      <c r="H124" s="17" t="inlineStr">
        <is>
          <t>Provenance not established; treat as not redistributable</t>
        </is>
      </c>
      <c r="I124" s="17" t="inlineStr">
        <is>
          <t>full cash flow table available</t>
        </is>
      </c>
      <c r="J124" s="17" t="inlineStr">
        <is>
          <t>10-year hotel acquisition, full USALI departmental structure</t>
        </is>
      </c>
      <c r="K124" s="17" t="inlineStr">
        <is>
          <t>A 175-key full-service hotel acquired Oct 2018, 60% LTV with a 2-year IO period then 30-year amortization, sold at a 7% exit cap.</t>
        </is>
      </c>
      <c r="L124" s="17" t="inlineStr">
        <is>
          <t>Occupancy/ADR/RevPAR penetration indices; rooms, F&amp;B and other operating departments each with revenue, expense and departmental profit; undistributed expenses; franchise and management fees; fixed expenses; NOI; FF&amp;E reserve; unlevered and levered returns.</t>
        </is>
      </c>
      <c r="M124" s="17" t="inlineStr">
        <is>
          <t>Per-period persistent state; composition, nesting &amp; multi-entity</t>
        </is>
      </c>
      <c r="N124" s="17" t="inlineStr">
        <is>
          <t>Departmental hotel P&amp;L — no CRE case has revenue built from a rate x volume index.</t>
        </is>
      </c>
      <c r="O124" s="17" t="inlineStr">
        <is>
          <t>n/a — local file</t>
        </is>
      </c>
      <c r="P124" s="17" t="inlineStr">
        <is>
          <t>public template</t>
        </is>
      </c>
      <c r="Q124" s="17" t="n">
        <v>20</v>
      </c>
    </row>
    <row r="125">
      <c r="A125" s="17" t="n">
        <v>124</v>
      </c>
      <c r="B125" s="17" t="inlineStr">
        <is>
          <t>CRE (existing pack)</t>
        </is>
      </c>
      <c r="C125" s="17" t="inlineStr">
        <is>
          <t>Hotels / hospitality — value-add</t>
        </is>
      </c>
      <c r="D125" s="17" t="inlineStr">
        <is>
          <t>Value-Add Hotel Valuation Model</t>
        </is>
      </c>
      <c r="E125" s="17" t="inlineStr">
        <is>
          <t>Adventures in CRE (A.CRE)</t>
        </is>
      </c>
      <c r="F125" s="17" t="inlineStr"/>
      <c r="G125" s="17" t="inlineStr">
        <is>
          <t>free registration</t>
        </is>
      </c>
      <c r="H125" s="17" t="inlineStr">
        <is>
          <t>"Pay What You're Able" — not cleared for redistribution</t>
        </is>
      </c>
      <c r="I125" s="17" t="inlineStr">
        <is>
          <t>full cash flow table available</t>
        </is>
      </c>
      <c r="J125" s="17" t="inlineStr">
        <is>
          <t>5-year value-add hotel valuation, unlevered and levered</t>
        </is>
      </c>
      <c r="K125" s="17" t="inlineStr">
        <is>
          <t>A hotel bought, repositioned with a $6M capital improvement in year 1, and sold.</t>
        </is>
      </c>
      <c r="L125" s="17" t="inlineStr">
        <is>
          <t>NOI build from a P&amp;L; PV of cash flow vs PV of resale; terminal value and selling costs; unlevered IRR partitioned into income and residual; branding scenario switch.</t>
        </is>
      </c>
      <c r="M125" s="17" t="inlineStr">
        <is>
          <t>Calendar, horizon &amp; event timing; piecewise, threshold &amp; greater-of expressions</t>
        </is>
      </c>
      <c r="N125" s="17" t="inlineStr">
        <is>
          <t>Unlevered throughout, so model.npv is assertable — no existing CRE case asserts it.</t>
        </is>
      </c>
      <c r="O125" s="17" t="inlineStr">
        <is>
          <t>n/a — local file</t>
        </is>
      </c>
      <c r="P125" s="17" t="inlineStr">
        <is>
          <t>public template</t>
        </is>
      </c>
      <c r="Q125" s="17" t="n">
        <v>3</v>
      </c>
    </row>
    <row r="126">
      <c r="A126" s="17" t="n">
        <v>125</v>
      </c>
      <c r="B126" s="17" t="inlineStr">
        <is>
          <t>CRE (existing pack)</t>
        </is>
      </c>
      <c r="C126" s="17" t="inlineStr">
        <is>
          <t>Public subsidy — tax increment financing</t>
        </is>
      </c>
      <c r="D126" s="17" t="inlineStr">
        <is>
          <t>Tax Increment Financing (TIF) Sample Analysis</t>
        </is>
      </c>
      <c r="E126" s="17" t="inlineStr">
        <is>
          <t>PropertyMetrics</t>
        </is>
      </c>
      <c r="F126" s="17" t="inlineStr"/>
      <c r="G126" s="17" t="inlineStr">
        <is>
          <t>direct download</t>
        </is>
      </c>
      <c r="H126" s="17" t="inlineStr">
        <is>
          <t>Provenance not established; treat as not redistributable</t>
        </is>
      </c>
      <c r="I126" s="17" t="inlineStr">
        <is>
          <t>full cash flow table available</t>
        </is>
      </c>
      <c r="J126" s="17" t="inlineStr">
        <is>
          <t>TIF-supported redevelopment, run with and without the subsidy</t>
        </is>
      </c>
      <c r="K126" s="17" t="inlineStr">
        <is>
          <t>A $10M property redeveloped for $7.5M, with the increment captured across three tax bases.</t>
        </is>
      </c>
      <c r="L126" s="17" t="inlineStr">
        <is>
          <t>Real property, retail sales and personal property increments, each with its own assessment ratio, capture percentage and inflation/depreciation factor, against a five-district levy table with separate TIF columns; feasibility run twice — IRR 7.139% without TIF, 13.51% with.</t>
        </is>
      </c>
      <c r="M126" s="17" t="inlineStr">
        <is>
          <t>Composition, nesting &amp; multi-entity; curves, indices &amp; price paths</t>
        </is>
      </c>
      <c r="N126" s="17" t="inlineStr">
        <is>
          <t>A paired with/without comparison — a stronger assertion shape than a single IRR, and the only public-subsidy revenue stream in the corpus.</t>
        </is>
      </c>
      <c r="O126" s="17" t="inlineStr">
        <is>
          <t>n/a — local file</t>
        </is>
      </c>
      <c r="P126" s="17" t="inlineStr">
        <is>
          <t>public template</t>
        </is>
      </c>
      <c r="Q126" s="17" t="inlineStr"/>
    </row>
    <row r="127">
      <c r="A127" s="17" t="n">
        <v>126</v>
      </c>
      <c r="B127" s="17" t="inlineStr">
        <is>
          <t>CRE (existing pack)</t>
        </is>
      </c>
      <c r="C127" s="17" t="inlineStr">
        <is>
          <t>Multi-asset commercial real estate</t>
        </is>
      </c>
      <c r="D127" s="17" t="inlineStr">
        <is>
          <t>A.CRE All-in-One (Ai1) Underwriting Model</t>
        </is>
      </c>
      <c r="E127" s="17" t="inlineStr">
        <is>
          <t>Adventures in CRE (A.CRE)</t>
        </is>
      </c>
      <c r="F127" s="17" t="inlineStr"/>
      <c r="G127" s="17" t="inlineStr">
        <is>
          <t>free registration</t>
        </is>
      </c>
      <c r="H127" s="17" t="inlineStr">
        <is>
          <t>"Pay What You're Able" — not cleared for redistribution</t>
        </is>
      </c>
      <c r="I127" s="17" t="inlineStr">
        <is>
          <t>assumptions and outputs only</t>
        </is>
      </c>
      <c r="J127" s="17" t="inlineStr">
        <is>
          <t>Monthly institutional underwriting across property types</t>
        </is>
      </c>
      <c r="K127" s="17" t="inlineStr">
        <is>
          <t>A.CRE's flagship general-purpose underwriting model.</t>
        </is>
      </c>
      <c r="L127" s="17" t="inlineStr">
        <is>
          <t>Lease-by-lease rent roll, development and acquisition modes, debt and waterfall modules.</t>
        </is>
      </c>
      <c r="M127" s="17" t="inlineStr">
        <is>
          <t>Composition, nesting &amp; multi-entity</t>
        </is>
      </c>
      <c r="N127" s="17" t="inlineStr">
        <is>
          <t>Already catalogued as ID 1; this is the local copy. Not read: .xlsb needs pyxlsb.</t>
        </is>
      </c>
      <c r="O127" s="17" t="inlineStr">
        <is>
          <t>n/a — local file</t>
        </is>
      </c>
      <c r="P127" s="17" t="inlineStr">
        <is>
          <t>public template</t>
        </is>
      </c>
      <c r="Q127" s="17" t="n">
        <v>1</v>
      </c>
    </row>
    <row r="128">
      <c r="A128" s="17" t="n">
        <v>127</v>
      </c>
      <c r="B128" s="17" t="inlineStr">
        <is>
          <t>CRE (existing pack)</t>
        </is>
      </c>
      <c r="C128" s="17" t="inlineStr">
        <is>
          <t>Affordable housing — homeownership / PHA</t>
        </is>
      </c>
      <c r="D128" s="17" t="inlineStr">
        <is>
          <t>Homeownership development budget with PHA mortgage analysis</t>
        </is>
      </c>
      <c r="E128" s="17" t="inlineStr">
        <is>
          <t>Unattributed</t>
        </is>
      </c>
      <c r="F128" s="17" t="inlineStr"/>
      <c r="G128" s="17" t="inlineStr">
        <is>
          <t>direct download</t>
        </is>
      </c>
      <c r="H128" s="17" t="inlineStr">
        <is>
          <t>Provenance not established; treat as not redistributable</t>
        </is>
      </c>
      <c r="I128" s="17" t="inlineStr">
        <is>
          <t>full cash flow table available</t>
        </is>
      </c>
      <c r="J128" s="17" t="inlineStr">
        <is>
          <t>Affordable for-sale housing development budget</t>
        </is>
      </c>
      <c r="K128" s="17" t="inlineStr">
        <is>
          <t>A homeownership development with construction and permanent financing and a sales schedule.</t>
        </is>
      </c>
      <c r="L128" s="17" t="inlineStr">
        <is>
          <t>Construction and permanent financing sheets; unit mix; sales financing schedule; public housing authority mortgage analysis.</t>
        </is>
      </c>
      <c r="M128" s="17" t="inlineStr">
        <is>
          <t>Composition, nesting &amp; multi-entity</t>
        </is>
      </c>
      <c r="N128" s="17" t="inlineStr">
        <is>
          <t>For-sale affordable housing with a subsidized mortgage — adjacent to hud_home_multifamily.</t>
        </is>
      </c>
      <c r="O128" s="17" t="inlineStr">
        <is>
          <t>n/a — local file</t>
        </is>
      </c>
      <c r="P128" s="17" t="inlineStr">
        <is>
          <t>public template</t>
        </is>
      </c>
      <c r="Q128" s="17" t="inlineStr"/>
    </row>
    <row r="129">
      <c r="A129" s="17" t="n">
        <v>128</v>
      </c>
      <c r="B129" s="17" t="inlineStr">
        <is>
          <t>CRE (existing pack)</t>
        </is>
      </c>
      <c r="C129" s="17" t="inlineStr">
        <is>
          <t>Mixed-use development — master plan</t>
        </is>
      </c>
      <c r="D129" s="17" t="inlineStr">
        <is>
          <t>Mixed-use master plan financial model with infrastructure allocation</t>
        </is>
      </c>
      <c r="E129" s="17" t="inlineStr">
        <is>
          <t>Unattributed</t>
        </is>
      </c>
      <c r="F129" s="17" t="inlineStr"/>
      <c r="G129" s="17" t="inlineStr">
        <is>
          <t>direct download</t>
        </is>
      </c>
      <c r="H129" s="17" t="inlineStr">
        <is>
          <t>Provenance not established; treat as not redistributable</t>
        </is>
      </c>
      <c r="I129" s="17" t="inlineStr">
        <is>
          <t>full cash flow table available</t>
        </is>
      </c>
      <c r="J129" s="17" t="inlineStr">
        <is>
          <t>Master-planned mixed-use development</t>
        </is>
      </c>
      <c r="K129" s="17" t="inlineStr">
        <is>
          <t>A multi-parcel master plan with rental, for-sale, office, retail, hotel and structured parking.</t>
        </is>
      </c>
      <c r="L129" s="17" t="inlineStr">
        <is>
          <t>Development program; infrastructure costs distributed across land uses; a separate pro forma per product type.</t>
        </is>
      </c>
      <c r="M129" s="17" t="inlineStr">
        <is>
          <t>Composition, nesting &amp; multi-entity</t>
        </is>
      </c>
      <c r="N129" s="17" t="inlineStr">
        <is>
          <t>Shared-cost allocation across product types — the podium problem in penzance_highlands, generalized.</t>
        </is>
      </c>
      <c r="O129" s="17" t="inlineStr">
        <is>
          <t>n/a — local file</t>
        </is>
      </c>
      <c r="P129" s="17" t="inlineStr">
        <is>
          <t>public template</t>
        </is>
      </c>
      <c r="Q129" s="17" t="inlineStr"/>
    </row>
    <row r="130">
      <c r="A130" s="17" t="n">
        <v>129</v>
      </c>
      <c r="B130" s="17" t="inlineStr">
        <is>
          <t>Energy &amp; Infrastructure (existing pack + roadmap)</t>
        </is>
      </c>
      <c r="C130" s="17" t="inlineStr">
        <is>
          <t>Infrastructure — parking concession pricing</t>
        </is>
      </c>
      <c r="D130" s="17" t="inlineStr">
        <is>
          <t>Car parking pricing model</t>
        </is>
      </c>
      <c r="E130" s="17" t="inlineStr">
        <is>
          <t>Unattributed</t>
        </is>
      </c>
      <c r="F130" s="17" t="inlineStr"/>
      <c r="G130" s="17" t="inlineStr">
        <is>
          <t>direct download</t>
        </is>
      </c>
      <c r="H130" s="17" t="inlineStr">
        <is>
          <t>Provenance not established; treat as not redistributable</t>
        </is>
      </c>
      <c r="I130" s="17" t="inlineStr">
        <is>
          <t>full cash flow table available</t>
        </is>
      </c>
      <c r="J130" s="17" t="inlineStr">
        <is>
          <t>Parking facility pricing and cost recovery</t>
        </is>
      </c>
      <c r="K130" s="17" t="inlineStr">
        <is>
          <t>A car park priced to recover costs over a concession term.</t>
        </is>
      </c>
      <c r="L130" s="17" t="inlineStr">
        <is>
          <t>Input data, cost build, revenue build, combined cost and revenue comparison.</t>
        </is>
      </c>
      <c r="M130" s="17" t="inlineStr">
        <is>
          <t>Curves, indices &amp; price paths</t>
        </is>
      </c>
      <c r="N130" s="17" t="inlineStr">
        <is>
          <t>A small infrastructure concession — the simplest form of the PPP structures in IDs 29-34.</t>
        </is>
      </c>
      <c r="O130" s="17" t="inlineStr">
        <is>
          <t>n/a — local file</t>
        </is>
      </c>
      <c r="P130" s="17" t="inlineStr">
        <is>
          <t>public template</t>
        </is>
      </c>
      <c r="Q130" s="17" t="inlineStr"/>
    </row>
    <row r="131">
      <c r="A131" s="17" t="n">
        <v>130</v>
      </c>
      <c r="B131" s="17" t="inlineStr">
        <is>
          <t>CRE (existing pack)</t>
        </is>
      </c>
      <c r="C131" s="17" t="inlineStr">
        <is>
          <t>Hotels / hospitality</t>
        </is>
      </c>
      <c r="D131" s="17" t="inlineStr">
        <is>
          <t>Private deal model — full-service hotel operating reforecast</t>
        </is>
      </c>
      <c r="E131" s="17" t="inlineStr">
        <is>
          <t>Private (client corpus)</t>
        </is>
      </c>
      <c r="F131" s="17" t="inlineStr"/>
      <c r="G131" s="17" t="inlineStr">
        <is>
          <t>private corpus (not redistributable)</t>
        </is>
      </c>
      <c r="H131" s="17" t="inlineStr">
        <is>
          <t>Provenance not established; treat as not redistributable</t>
        </is>
      </c>
      <c r="I131" s="17" t="inlineStr">
        <is>
          <t>full cash flow table available</t>
        </is>
      </c>
      <c r="J131" s="17" t="inlineStr">
        <is>
          <t>Mid-year operating reforecast for a full-service hotel</t>
        </is>
      </c>
      <c r="K131" s="17" t="inlineStr">
        <is>
          <t>A single hotel's departmental financials reforecast against budget.</t>
        </is>
      </c>
      <c r="L131" s="17" t="inlineStr">
        <is>
          <t>One-sheet departmental operating statement, actual-to-date plus forecast.</t>
        </is>
      </c>
      <c r="M131" s="17" t="inlineStr">
        <is>
          <t>Calendar, horizon &amp; event timing</t>
        </is>
      </c>
      <c r="N131" s="17" t="inlineStr">
        <is>
          <t>Realized-versus-forecast operating data — the axis docs/20 §2.2 records as uncovered.</t>
        </is>
      </c>
      <c r="O131" s="17" t="inlineStr">
        <is>
          <t>n/a — local file</t>
        </is>
      </c>
      <c r="P131" s="17" t="inlineStr">
        <is>
          <t>private corpus</t>
        </is>
      </c>
      <c r="Q131" s="17" t="inlineStr"/>
    </row>
    <row r="132">
      <c r="A132" s="17" t="n">
        <v>131</v>
      </c>
      <c r="B132" s="17" t="inlineStr">
        <is>
          <t>CRE (existing pack)</t>
        </is>
      </c>
      <c r="C132" s="17" t="inlineStr">
        <is>
          <t>Mixed-use resort — hotel, condo, retail</t>
        </is>
      </c>
      <c r="D132" s="17" t="inlineStr">
        <is>
          <t>Private deal model — waterfront mixed-use resort JV</t>
        </is>
      </c>
      <c r="E132" s="17" t="inlineStr">
        <is>
          <t>Private (client corpus)</t>
        </is>
      </c>
      <c r="F132" s="17" t="inlineStr"/>
      <c r="G132" s="17" t="inlineStr">
        <is>
          <t>private corpus (not redistributable)</t>
        </is>
      </c>
      <c r="H132" s="17" t="inlineStr">
        <is>
          <t>Provenance not established; treat as not redistributable</t>
        </is>
      </c>
      <c r="I132" s="17" t="inlineStr">
        <is>
          <t>full cash flow table available</t>
        </is>
      </c>
      <c r="J132" s="17" t="inlineStr">
        <is>
          <t>Investor model for a mixed-use resort development</t>
        </is>
      </c>
      <c r="K132" s="17" t="inlineStr">
        <is>
          <t>A waterfront development combining luxury hotel, private residences and retail under a JV.</t>
        </is>
      </c>
      <c r="L132" s="17" t="inlineStr">
        <is>
          <t>Sources and uses; budget summary; equity assumptions and returns; project and sponsor waterfalls run separately; terminal sale summary; retail rent roll; per-component cash flows.</t>
        </is>
      </c>
      <c r="M132" s="17" t="inlineStr">
        <is>
          <t>Ordered waterfall; composition, nesting &amp; multi-entity</t>
        </is>
      </c>
      <c r="N132" s="17" t="inlineStr">
        <is>
          <t>Two waterfalls over one deal (project and sponsor) — a nesting the suite does not cover.</t>
        </is>
      </c>
      <c r="O132" s="17" t="inlineStr">
        <is>
          <t>n/a — local file</t>
        </is>
      </c>
      <c r="P132" s="17" t="inlineStr">
        <is>
          <t>private corpus</t>
        </is>
      </c>
      <c r="Q132" s="17" t="inlineStr"/>
    </row>
    <row r="133">
      <c r="A133" s="17" t="n">
        <v>132</v>
      </c>
      <c r="B133" s="17" t="inlineStr">
        <is>
          <t>CRE (existing pack)</t>
        </is>
      </c>
      <c r="C133" s="17" t="inlineStr">
        <is>
          <t>Condominium development — urban infill</t>
        </is>
      </c>
      <c r="D133" s="17" t="inlineStr">
        <is>
          <t>Private deal model — urban condominium redevelopment</t>
        </is>
      </c>
      <c r="E133" s="17" t="inlineStr">
        <is>
          <t>Private (client corpus)</t>
        </is>
      </c>
      <c r="F133" s="17" t="inlineStr"/>
      <c r="G133" s="17" t="inlineStr">
        <is>
          <t>private corpus (not redistributable)</t>
        </is>
      </c>
      <c r="H133" s="17" t="inlineStr">
        <is>
          <t>Provenance not established; treat as not redistributable</t>
        </is>
      </c>
      <c r="I133" s="17" t="inlineStr">
        <is>
          <t>full cash flow table available</t>
        </is>
      </c>
      <c r="J133" s="17" t="inlineStr">
        <is>
          <t>Condominium redevelopment with a unit-closing schedule</t>
        </is>
      </c>
      <c r="K133" s="17" t="inlineStr">
        <is>
          <t>An infill condominium redesign sold unit by unit.</t>
        </is>
      </c>
      <c r="L133" s="17" t="inlineStr">
        <is>
          <t>Stacking plan; unit closings; soft costs and budget detail; monthly and annual condo cash flows; investor waterfall; working-capital loan interest; sensitivity grid.</t>
        </is>
      </c>
      <c r="M133" s="17" t="inlineStr">
        <is>
          <t>Per-period persistent state; ordered waterfall</t>
        </is>
      </c>
      <c r="N133" s="17" t="inlineStr">
        <is>
          <t>A stacking plan driving closings — condominium sellout at unit granularity.</t>
        </is>
      </c>
      <c r="O133" s="17" t="inlineStr">
        <is>
          <t>n/a — local file</t>
        </is>
      </c>
      <c r="P133" s="17" t="inlineStr">
        <is>
          <t>private corpus</t>
        </is>
      </c>
      <c r="Q133" s="17" t="inlineStr"/>
    </row>
    <row r="134">
      <c r="A134" s="17" t="n">
        <v>133</v>
      </c>
      <c r="B134" s="17" t="inlineStr">
        <is>
          <t>CRE (existing pack)</t>
        </is>
      </c>
      <c r="C134" s="17" t="inlineStr">
        <is>
          <t>Seniors housing / apartment development</t>
        </is>
      </c>
      <c r="D134" s="17" t="inlineStr">
        <is>
          <t>Private investment-committee template — seniors housing development</t>
        </is>
      </c>
      <c r="E134" s="17" t="inlineStr">
        <is>
          <t>Private (client corpus)</t>
        </is>
      </c>
      <c r="F134" s="17" t="inlineStr"/>
      <c r="G134" s="17" t="inlineStr">
        <is>
          <t>private corpus (not redistributable)</t>
        </is>
      </c>
      <c r="H134" s="17" t="inlineStr">
        <is>
          <t>Provenance not established; treat as not redistributable</t>
        </is>
      </c>
      <c r="I134" s="17" t="inlineStr">
        <is>
          <t>full cash flow table available</t>
        </is>
      </c>
      <c r="J134" s="17" t="inlineStr">
        <is>
          <t>Investment-committee development template</t>
        </is>
      </c>
      <c r="K134" s="17" t="inlineStr">
        <is>
          <t>A ground-up seniors housing / apartment development presented for IC approval.</t>
        </is>
      </c>
      <c r="L134" s="17" t="inlineStr">
        <is>
          <t>Summary inputs; development budget with an exhibit; leveraged and unleveraged annual summaries; operating statement; permanent loan schedule; partner pro forma.</t>
        </is>
      </c>
      <c r="M134" s="17" t="inlineStr">
        <is>
          <t>Composition, nesting &amp; multi-entity</t>
        </is>
      </c>
      <c r="N134" s="17" t="inlineStr">
        <is>
          <t>Leveraged and unleveraged views of one deal held side by side — a consistency check.</t>
        </is>
      </c>
      <c r="O134" s="17" t="inlineStr">
        <is>
          <t>n/a — local file</t>
        </is>
      </c>
      <c r="P134" s="17" t="inlineStr">
        <is>
          <t>private corpus</t>
        </is>
      </c>
      <c r="Q134" s="17" t="inlineStr"/>
    </row>
    <row r="135">
      <c r="A135" s="17" t="n">
        <v>134</v>
      </c>
      <c r="B135" s="17" t="inlineStr">
        <is>
          <t>CRE (existing pack)</t>
        </is>
      </c>
      <c r="C135" s="17" t="inlineStr">
        <is>
          <t>Single-family land development — phased</t>
        </is>
      </c>
      <c r="D135" s="17" t="inlineStr">
        <is>
          <t>Private deal model — phased single-family land development</t>
        </is>
      </c>
      <c r="E135" s="17" t="inlineStr">
        <is>
          <t>Private (client corpus)</t>
        </is>
      </c>
      <c r="F135" s="17" t="inlineStr"/>
      <c r="G135" s="17" t="inlineStr">
        <is>
          <t>private corpus (not redistributable)</t>
        </is>
      </c>
      <c r="H135" s="17" t="inlineStr">
        <is>
          <t>Provenance not established; treat as not redistributable</t>
        </is>
      </c>
      <c r="I135" s="17" t="inlineStr">
        <is>
          <t>full cash flow table available</t>
        </is>
      </c>
      <c r="J135" s="17" t="inlineStr">
        <is>
          <t>Phased residential land development with a revolving credit line</t>
        </is>
      </c>
      <c r="K135" s="17" t="inlineStr">
        <is>
          <t>A single-family subdivision built in a horizontal phase plus two vertical phases.</t>
        </is>
      </c>
      <c r="L135" s="17" t="inlineStr">
        <is>
          <t>Bell-curve cost distribution; revolving line of credit analysis; down-payment scenarios; cost sheet; per-phase budgets and cash flows.</t>
        </is>
      </c>
      <c r="M135" s="17" t="inlineStr">
        <is>
          <t>Per-period persistent state; curves, indices &amp; price paths</t>
        </is>
      </c>
      <c r="N135" s="17" t="inlineStr">
        <is>
          <t>A revolver — a facility that draws and repays repeatedly, unlike the one-way construction facilities the suite covers.</t>
        </is>
      </c>
      <c r="O135" s="17" t="inlineStr">
        <is>
          <t>n/a — local file</t>
        </is>
      </c>
      <c r="P135" s="17" t="inlineStr">
        <is>
          <t>private corpus</t>
        </is>
      </c>
      <c r="Q135" s="17" t="inlineStr"/>
    </row>
    <row r="136">
      <c r="A136" s="17" t="n">
        <v>135</v>
      </c>
      <c r="B136" s="17" t="inlineStr">
        <is>
          <t>CRE (existing pack)</t>
        </is>
      </c>
      <c r="C136" s="17" t="inlineStr">
        <is>
          <t>Mixed-income residential — ground lease</t>
        </is>
      </c>
      <c r="D136" s="17" t="inlineStr">
        <is>
          <t>Private deal model — mixed-income residential development on a ground lease</t>
        </is>
      </c>
      <c r="E136" s="17" t="inlineStr">
        <is>
          <t>Private (client corpus)</t>
        </is>
      </c>
      <c r="F136" s="17" t="inlineStr"/>
      <c r="G136" s="17" t="inlineStr">
        <is>
          <t>private corpus (not redistributable)</t>
        </is>
      </c>
      <c r="H136" s="17" t="inlineStr">
        <is>
          <t>Provenance not established; treat as not redistributable</t>
        </is>
      </c>
      <c r="I136" s="17" t="inlineStr">
        <is>
          <t>full cash flow table available</t>
        </is>
      </c>
      <c r="J136" s="17" t="inlineStr">
        <is>
          <t>Mixed-income residential development held 60 years</t>
        </is>
      </c>
      <c r="K136" s="17" t="inlineStr">
        <is>
          <t>A large mixed-income residential development on leased land, with AMI-restricted rents.</t>
        </is>
      </c>
      <c r="L136" s="17" t="inlineStr">
        <is>
          <t>Project budget; unit mix; AMI rent tiers; monthly and annual operating cash flows; construction cash flows; ground lease; tax worksheet; 60-year pro forma; refinancing.</t>
        </is>
      </c>
      <c r="M136" s="17" t="inlineStr">
        <is>
          <t>Calendar, horizon &amp; event timing; composition, nesting &amp; multi-entity</t>
        </is>
      </c>
      <c r="N136" s="17" t="inlineStr">
        <is>
          <t>A 60-year horizon with a refinancing mid-life, and income-restricted rent tiers.</t>
        </is>
      </c>
      <c r="O136" s="17" t="inlineStr">
        <is>
          <t>n/a — local file</t>
        </is>
      </c>
      <c r="P136" s="17" t="inlineStr">
        <is>
          <t>private corpus</t>
        </is>
      </c>
      <c r="Q136" s="17" t="inlineStr"/>
    </row>
    <row r="137">
      <c r="A137" s="17" t="n">
        <v>136</v>
      </c>
      <c r="B137" s="17" t="inlineStr">
        <is>
          <t>CRE (existing pack)</t>
        </is>
      </c>
      <c r="C137" s="17" t="inlineStr">
        <is>
          <t>Hotel and condominium development — JV</t>
        </is>
      </c>
      <c r="D137" s="17" t="inlineStr">
        <is>
          <t>Private deal model — hotel and condominium development JV</t>
        </is>
      </c>
      <c r="E137" s="17" t="inlineStr">
        <is>
          <t>Private (client corpus)</t>
        </is>
      </c>
      <c r="F137" s="17" t="inlineStr"/>
      <c r="G137" s="17" t="inlineStr">
        <is>
          <t>private corpus (not redistributable)</t>
        </is>
      </c>
      <c r="H137" s="17" t="inlineStr">
        <is>
          <t>Provenance not established; treat as not redistributable</t>
        </is>
      </c>
      <c r="I137" s="17" t="inlineStr">
        <is>
          <t>full cash flow table available</t>
        </is>
      </c>
      <c r="J137" s="17" t="inlineStr">
        <is>
          <t>Combined hotel and for-sale condominium development</t>
        </is>
      </c>
      <c r="K137" s="17" t="inlineStr">
        <is>
          <t>A resort development carrying a hotel and a condominium on one construction basis.</t>
        </is>
      </c>
      <c r="L137" s="17" t="inlineStr">
        <is>
          <t>Development program split public-area and F&amp;B; detailed budget and funding; equity contribution; hotel cost spread and operations; quarterly and annual rollups; pre-sale economics; condo sales and trading program; combined waterfall and returns summary.</t>
        </is>
      </c>
      <c r="M137" s="17" t="inlineStr">
        <is>
          <t>Ordered waterfall; composition, nesting &amp; multi-entity</t>
        </is>
      </c>
      <c r="N137" s="17" t="inlineStr">
        <is>
          <t>Hotel and condominium on one basis with quarterly and annual rollups of the same cash flow.</t>
        </is>
      </c>
      <c r="O137" s="17" t="inlineStr">
        <is>
          <t>n/a — local file</t>
        </is>
      </c>
      <c r="P137" s="17" t="inlineStr">
        <is>
          <t>private corpus</t>
        </is>
      </c>
      <c r="Q137" s="17" t="inlineStr"/>
    </row>
    <row r="138">
      <c r="A138" s="17" t="n">
        <v>137</v>
      </c>
      <c r="B138" s="17" t="inlineStr">
        <is>
          <t>CRE (existing pack)</t>
        </is>
      </c>
      <c r="C138" s="17" t="inlineStr">
        <is>
          <t>Real estate fund — GP/LP</t>
        </is>
      </c>
      <c r="D138" s="17" t="inlineStr">
        <is>
          <t>Private fund model — GP/LP waterfall over a property portfolio</t>
        </is>
      </c>
      <c r="E138" s="17" t="inlineStr">
        <is>
          <t>Private (client corpus)</t>
        </is>
      </c>
      <c r="F138" s="17" t="inlineStr"/>
      <c r="G138" s="17" t="inlineStr">
        <is>
          <t>private corpus (not redistributable)</t>
        </is>
      </c>
      <c r="H138" s="17" t="inlineStr">
        <is>
          <t>Provenance not established; treat as not redistributable</t>
        </is>
      </c>
      <c r="I138" s="17" t="inlineStr">
        <is>
          <t>full cash flow table available</t>
        </is>
      </c>
      <c r="J138" s="17" t="inlineStr">
        <is>
          <t>Fund-level waterfall over multiple properties</t>
        </is>
      </c>
      <c r="K138" s="17" t="inlineStr">
        <is>
          <t>A real estate fund with numbered property models rolling into fund-level distributions.</t>
        </is>
      </c>
      <c r="L138" s="17" t="inlineStr">
        <is>
          <t>Fund tear sheet; fund and property inputs; property summary; separate property and development waterfalls; a GP waterfall and a 'super GP as developer' layer.</t>
        </is>
      </c>
      <c r="M138" s="17" t="inlineStr">
        <is>
          <t>Ordered waterfall; composition, nesting &amp; multi-entity</t>
        </is>
      </c>
      <c r="N138" s="17" t="inlineStr">
        <is>
          <t>Three stacked waterfalls (property, development, GP) — the deepest nesting in the corpus.</t>
        </is>
      </c>
      <c r="O138" s="17" t="inlineStr">
        <is>
          <t>n/a — local file</t>
        </is>
      </c>
      <c r="P138" s="17" t="inlineStr">
        <is>
          <t>private corpus</t>
        </is>
      </c>
      <c r="Q138" s="17" t="inlineStr"/>
    </row>
    <row r="139">
      <c r="A139" s="17" t="n">
        <v>138</v>
      </c>
      <c r="B139" s="17" t="inlineStr">
        <is>
          <t>CRE (existing pack)</t>
        </is>
      </c>
      <c r="C139" s="17" t="inlineStr">
        <is>
          <t>Condominium — co-investment</t>
        </is>
      </c>
      <c r="D139" s="17" t="inlineStr">
        <is>
          <t>Private deal model — condominium co-investment</t>
        </is>
      </c>
      <c r="E139" s="17" t="inlineStr">
        <is>
          <t>Private (client corpus)</t>
        </is>
      </c>
      <c r="F139" s="17" t="inlineStr"/>
      <c r="G139" s="17" t="inlineStr">
        <is>
          <t>private corpus (not redistributable)</t>
        </is>
      </c>
      <c r="H139" s="17" t="inlineStr">
        <is>
          <t>Provenance not established; treat as not redistributable</t>
        </is>
      </c>
      <c r="I139" s="17" t="inlineStr">
        <is>
          <t>full cash flow table available</t>
        </is>
      </c>
      <c r="J139" s="17" t="inlineStr">
        <is>
          <t>Condominium development held through a co-investment vehicle</t>
        </is>
      </c>
      <c r="K139" s="17" t="inlineStr">
        <is>
          <t>A condominium project underwritten for a co-investor.</t>
        </is>
      </c>
      <c r="L139" s="17" t="inlineStr">
        <is>
          <t>Underwriting summary; budget; cash flow; waterfall; Gantt chart; maintenance summary.</t>
        </is>
      </c>
      <c r="M139" s="17" t="inlineStr">
        <is>
          <t>Ordered waterfall; calendar, horizon &amp; event timing</t>
        </is>
      </c>
      <c r="N139" s="17" t="inlineStr">
        <is>
          <t>A schedule (Gantt) driving the cash flow rather than a fixed period offset.</t>
        </is>
      </c>
      <c r="O139" s="17" t="inlineStr">
        <is>
          <t>n/a — local file</t>
        </is>
      </c>
      <c r="P139" s="17" t="inlineStr">
        <is>
          <t>private corpus</t>
        </is>
      </c>
      <c r="Q139" s="17" t="inlineStr"/>
    </row>
    <row r="140">
      <c r="A140" s="17" t="n">
        <v>139</v>
      </c>
      <c r="B140" s="17" t="inlineStr">
        <is>
          <t>CRE (existing pack)</t>
        </is>
      </c>
      <c r="C140" s="17" t="inlineStr">
        <is>
          <t>Condominium — template</t>
        </is>
      </c>
      <c r="D140" s="17" t="inlineStr">
        <is>
          <t>Private template — condominium development with partner cash flow</t>
        </is>
      </c>
      <c r="E140" s="17" t="inlineStr">
        <is>
          <t>Private (client corpus)</t>
        </is>
      </c>
      <c r="F140" s="17" t="inlineStr"/>
      <c r="G140" s="17" t="inlineStr">
        <is>
          <t>private corpus (not redistributable)</t>
        </is>
      </c>
      <c r="H140" s="17" t="inlineStr">
        <is>
          <t>Provenance not established; treat as not redistributable</t>
        </is>
      </c>
      <c r="I140" s="17" t="inlineStr">
        <is>
          <t>full cash flow table available</t>
        </is>
      </c>
      <c r="J140" s="17" t="inlineStr">
        <is>
          <t>Reusable condominium underwriting template</t>
        </is>
      </c>
      <c r="K140" s="17" t="inlineStr">
        <is>
          <t>A condominium template with revenue inputs, partner splits and scenario summaries.</t>
        </is>
      </c>
      <c r="L140" s="17" t="inlineStr">
        <is>
          <t>Revenue inputs; cash flow; partner cash flow; PIR tables; sensitivity and scenario summary.</t>
        </is>
      </c>
      <c r="M140" s="17" t="inlineStr">
        <is>
          <t>Composition, nesting &amp; multi-entity</t>
        </is>
      </c>
      <c r="N140" s="17" t="inlineStr">
        <is>
          <t>A partner-level cash flow derived from a project-level one — the same split as ID 115.</t>
        </is>
      </c>
      <c r="O140" s="17" t="inlineStr">
        <is>
          <t>n/a — local file</t>
        </is>
      </c>
      <c r="P140" s="17" t="inlineStr">
        <is>
          <t>private corpus</t>
        </is>
      </c>
      <c r="Q140" s="17" t="inlineStr"/>
    </row>
    <row r="141">
      <c r="A141" s="17" t="n">
        <v>140</v>
      </c>
      <c r="B141" s="17" t="inlineStr">
        <is>
          <t>CRE (existing pack)</t>
        </is>
      </c>
      <c r="C141" s="17" t="inlineStr">
        <is>
          <t>Multifamily development — mezzanine</t>
        </is>
      </c>
      <c r="D141" s="17" t="inlineStr">
        <is>
          <t>Private deal model — multifamily development with mezzanine notes</t>
        </is>
      </c>
      <c r="E141" s="17" t="inlineStr">
        <is>
          <t>Private (client corpus)</t>
        </is>
      </c>
      <c r="F141" s="17" t="inlineStr"/>
      <c r="G141" s="17" t="inlineStr">
        <is>
          <t>private corpus (not redistributable)</t>
        </is>
      </c>
      <c r="H141" s="17" t="inlineStr">
        <is>
          <t>Provenance not established; treat as not redistributable</t>
        </is>
      </c>
      <c r="I141" s="17" t="inlineStr">
        <is>
          <t>full cash flow table available</t>
        </is>
      </c>
      <c r="J141" s="17" t="inlineStr">
        <is>
          <t>265-unit multifamily development with a note structure</t>
        </is>
      </c>
      <c r="K141" s="17" t="inlineStr">
        <is>
          <t>A ground-up apartment development financed with senior and mezzanine notes.</t>
        </is>
      </c>
      <c r="L141" s="17" t="inlineStr">
        <is>
          <t>Global and capital inputs; notes calculation; residual value; cash flow; equity waterfall.</t>
        </is>
      </c>
      <c r="M141" s="17" t="inlineStr">
        <is>
          <t>Ordered waterfall; per-period persistent state</t>
        </is>
      </c>
      <c r="N141" s="17" t="inlineStr">
        <is>
          <t>A mezzanine tranche between senior debt and equity — a layer the suite does not model.</t>
        </is>
      </c>
      <c r="O141" s="17" t="inlineStr">
        <is>
          <t>n/a — local file</t>
        </is>
      </c>
      <c r="P141" s="17" t="inlineStr">
        <is>
          <t>private corpus</t>
        </is>
      </c>
      <c r="Q141" s="17" t="inlineStr"/>
    </row>
    <row r="142">
      <c r="A142" s="17" t="n">
        <v>141</v>
      </c>
      <c r="B142" s="17" t="inlineStr">
        <is>
          <t>CRE (existing pack)</t>
        </is>
      </c>
      <c r="C142" s="17" t="inlineStr">
        <is>
          <t>Structured real estate debt — mezzanine sizing</t>
        </is>
      </c>
      <c r="D142" s="17" t="inlineStr">
        <is>
          <t>Private deal model — structured debt and mezzanine sizing review</t>
        </is>
      </c>
      <c r="E142" s="17" t="inlineStr">
        <is>
          <t>Private (client corpus)</t>
        </is>
      </c>
      <c r="F142" s="17" t="inlineStr"/>
      <c r="G142" s="17" t="inlineStr">
        <is>
          <t>private corpus (not redistributable)</t>
        </is>
      </c>
      <c r="H142" s="17" t="inlineStr">
        <is>
          <t>Provenance not established; treat as not redistributable</t>
        </is>
      </c>
      <c r="I142" s="17" t="inlineStr">
        <is>
          <t>full cash flow table available</t>
        </is>
      </c>
      <c r="J142" s="17" t="inlineStr">
        <is>
          <t>Lender-side review of a structured debt request</t>
        </is>
      </c>
      <c r="K142" s="17" t="inlineStr">
        <is>
          <t>A development loan request reviewed by a capital provider, sized under several cases.</t>
        </is>
      </c>
      <c r="L142" s="17" t="inlineStr">
        <is>
          <t>Loan request; stabilized operations; detailed project costs; cash flow and return summary; structured debt output; mezzanine-only output; takeover underwriting; case assumptions.</t>
        </is>
      </c>
      <c r="M142" s="17" t="inlineStr">
        <is>
          <t>Trigger, covenant &amp; regime switch; piecewise, threshold &amp; greater-of expressions</t>
        </is>
      </c>
      <c r="N142" s="17" t="inlineStr">
        <is>
          <t>Debt sized to a constraint rather than stated — solve-to-target on a coverage test.</t>
        </is>
      </c>
      <c r="O142" s="17" t="inlineStr">
        <is>
          <t>n/a — local file</t>
        </is>
      </c>
      <c r="P142" s="17" t="inlineStr">
        <is>
          <t>private corpus</t>
        </is>
      </c>
      <c r="Q142" s="17" t="inlineStr"/>
    </row>
    <row r="143">
      <c r="A143" s="17" t="n">
        <v>142</v>
      </c>
      <c r="B143" s="17" t="inlineStr">
        <is>
          <t>OpCo &amp; Corporate Finance (existing pack + roadmap)</t>
        </is>
      </c>
      <c r="C143" s="17" t="inlineStr">
        <is>
          <t>Private equity fund — pacing and gross-to-net</t>
        </is>
      </c>
      <c r="D143" s="17" t="inlineStr">
        <is>
          <t>Private fund model — commitment pacing, capital calls and gross-to-net</t>
        </is>
      </c>
      <c r="E143" s="17" t="inlineStr">
        <is>
          <t>Private (client corpus)</t>
        </is>
      </c>
      <c r="F143" s="17" t="inlineStr"/>
      <c r="G143" s="17" t="inlineStr">
        <is>
          <t>private corpus (not redistributable)</t>
        </is>
      </c>
      <c r="H143" s="17" t="inlineStr">
        <is>
          <t>Provenance not established; treat as not redistributable</t>
        </is>
      </c>
      <c r="I143" s="17" t="inlineStr">
        <is>
          <t>full cash flow table available</t>
        </is>
      </c>
      <c r="J143" s="17" t="inlineStr">
        <is>
          <t>Fund-level pro forma with capital call pacing</t>
        </is>
      </c>
      <c r="K143" s="17" t="inlineStr">
        <is>
          <t>A closed-end fund modeled from commitments through gross and net returns.</t>
        </is>
      </c>
      <c r="L143" s="17" t="inlineStr">
        <is>
          <t>Fund assumptions; deal summary; annual and calendar fund-level summaries; gross-to-net bridge; GP summary; LP and subscription-line terms; expense inputs; capital call inputs; pacing assumptions; tax-only view.</t>
        </is>
      </c>
      <c r="M143" s="17" t="inlineStr">
        <is>
          <t>Ordered waterfall; solve-to-target / endogenous circularity</t>
        </is>
      </c>
      <c r="N143" s="17" t="inlineStr">
        <is>
          <t>A subscription line and a gross-to-net bridge — the fund mechanics behind catalogue IDs 79-80.</t>
        </is>
      </c>
      <c r="O143" s="17" t="inlineStr">
        <is>
          <t>n/a — local file</t>
        </is>
      </c>
      <c r="P143" s="17" t="inlineStr">
        <is>
          <t>private corpus</t>
        </is>
      </c>
      <c r="Q143" s="17" t="inlineStr"/>
    </row>
    <row r="144">
      <c r="A144" s="17" t="n">
        <v>143</v>
      </c>
      <c r="B144" s="17" t="inlineStr">
        <is>
          <t>CRE (existing pack)</t>
        </is>
      </c>
      <c r="C144" s="17" t="inlineStr">
        <is>
          <t>Retail — JV development</t>
        </is>
      </c>
      <c r="D144" s="17" t="inlineStr">
        <is>
          <t>Private deal model — retail JV with a two-tier waterfall</t>
        </is>
      </c>
      <c r="E144" s="17" t="inlineStr">
        <is>
          <t>Private (client corpus)</t>
        </is>
      </c>
      <c r="F144" s="17" t="inlineStr"/>
      <c r="G144" s="17" t="inlineStr">
        <is>
          <t>private corpus (not redistributable)</t>
        </is>
      </c>
      <c r="H144" s="17" t="inlineStr">
        <is>
          <t>Provenance not established; treat as not redistributable</t>
        </is>
      </c>
      <c r="I144" s="17" t="inlineStr">
        <is>
          <t>full cash flow table available</t>
        </is>
      </c>
      <c r="J144" s="17" t="inlineStr">
        <is>
          <t>Retail development held in a JV, with ARGUS output as the rent source</t>
        </is>
      </c>
      <c r="K144" s="17" t="inlineStr">
        <is>
          <t>A retail parcel developed and held, with the rent roll imported from ARGUS.</t>
        </is>
      </c>
      <c r="L144" s="17" t="inlineStr">
        <is>
          <t>Monthly and annual cash flows; JV partnership structure; two separate waterfalls; senior and permanent loan amortization; ARGUS output sheet.</t>
        </is>
      </c>
      <c r="M144" s="17" t="inlineStr">
        <is>
          <t>Ordered waterfall; composition, nesting &amp; multi-entity</t>
        </is>
      </c>
      <c r="N144" s="17" t="inlineStr">
        <is>
          <t>Construction-to-permanent refinancing, and a rent roll sourced from valuation software.</t>
        </is>
      </c>
      <c r="O144" s="17" t="inlineStr">
        <is>
          <t>n/a — local file</t>
        </is>
      </c>
      <c r="P144" s="17" t="inlineStr">
        <is>
          <t>private corpus</t>
        </is>
      </c>
      <c r="Q144" s="17" t="inlineStr"/>
    </row>
    <row r="145">
      <c r="A145" s="17" t="n">
        <v>144</v>
      </c>
      <c r="B145" s="17" t="inlineStr">
        <is>
          <t>CRE (existing pack)</t>
        </is>
      </c>
      <c r="C145" s="17" t="inlineStr">
        <is>
          <t>Preferred equity</t>
        </is>
      </c>
      <c r="D145" s="17" t="inlineStr">
        <is>
          <t>Private deal model — preferred equity with a draw schedule</t>
        </is>
      </c>
      <c r="E145" s="17" t="inlineStr">
        <is>
          <t>Private (client corpus)</t>
        </is>
      </c>
      <c r="F145" s="17" t="inlineStr"/>
      <c r="G145" s="17" t="inlineStr">
        <is>
          <t>private corpus (not redistributable)</t>
        </is>
      </c>
      <c r="H145" s="17" t="inlineStr">
        <is>
          <t>Provenance not established; treat as not redistributable</t>
        </is>
      </c>
      <c r="I145" s="17" t="inlineStr">
        <is>
          <t>full cash flow table available</t>
        </is>
      </c>
      <c r="J145" s="17" t="inlineStr">
        <is>
          <t>Preferred equity position with disbursement and waterfall checks</t>
        </is>
      </c>
      <c r="K145" s="17" t="inlineStr">
        <is>
          <t>A preferred equity investment funded on a draw schedule against a development budget.</t>
        </is>
      </c>
      <c r="L145" s="17" t="inlineStr">
        <is>
          <t>Budget; disbursement schedule; draw requests; year-2 and year-3 waterfalls; a waterfall check sheet; a discrepancy sheet; hidden cash-flow/IRR sheet; co-GP economics.</t>
        </is>
      </c>
      <c r="M145" s="17" t="inlineStr">
        <is>
          <t>Ordered waterfall; per-period persistent state</t>
        </is>
      </c>
      <c r="N145" s="17" t="inlineStr">
        <is>
          <t>Preferred equity accrual and catch-up — a position type the suite does not cover, with the workbook's own check sheet as a second reference.</t>
        </is>
      </c>
      <c r="O145" s="17" t="inlineStr">
        <is>
          <t>n/a — local file</t>
        </is>
      </c>
      <c r="P145" s="17" t="inlineStr">
        <is>
          <t>private corpus</t>
        </is>
      </c>
      <c r="Q145" s="17" t="inlineStr"/>
    </row>
    <row r="146">
      <c r="A146" s="17" t="n">
        <v>145</v>
      </c>
      <c r="B146" s="17" t="inlineStr">
        <is>
          <t>CRE (existing pack)</t>
        </is>
      </c>
      <c r="C146" s="17" t="inlineStr">
        <is>
          <t>Hotels / hospitality — development</t>
        </is>
      </c>
      <c r="D146" s="17" t="inlineStr">
        <is>
          <t>Private deal model — hotel development with a USALI pro forma</t>
        </is>
      </c>
      <c r="E146" s="17" t="inlineStr">
        <is>
          <t>Private (client corpus)</t>
        </is>
      </c>
      <c r="F146" s="17" t="inlineStr"/>
      <c r="G146" s="17" t="inlineStr">
        <is>
          <t>private corpus (not redistributable)</t>
        </is>
      </c>
      <c r="H146" s="17" t="inlineStr">
        <is>
          <t>Provenance not established; treat as not redistributable</t>
        </is>
      </c>
      <c r="I146" s="17" t="inlineStr">
        <is>
          <t>full cash flow table available</t>
        </is>
      </c>
      <c r="J146" s="17" t="inlineStr">
        <is>
          <t>Ground-up hotel development held through stabilization</t>
        </is>
      </c>
      <c r="K146" s="17" t="inlineStr">
        <is>
          <t>A hotel developed, opened and operated on a USALI departmental structure.</t>
        </is>
      </c>
      <c r="L146" s="17" t="inlineStr">
        <is>
          <t>Inputs and working sheets; waterfall; USALI operating pro forma; development pro forma.</t>
        </is>
      </c>
      <c r="M146" s="17" t="inlineStr">
        <is>
          <t>Per-period persistent state; ordered waterfall</t>
        </is>
      </c>
      <c r="N146" s="17" t="inlineStr">
        <is>
          <t>Development and operations on one basis, with the ramp from opening to stabilization.</t>
        </is>
      </c>
      <c r="O146" s="17" t="inlineStr">
        <is>
          <t>n/a — local file</t>
        </is>
      </c>
      <c r="P146" s="17" t="inlineStr">
        <is>
          <t>private corpus</t>
        </is>
      </c>
      <c r="Q146" s="17" t="inlineStr"/>
    </row>
    <row r="147">
      <c r="A147" s="17" t="n">
        <v>146</v>
      </c>
      <c r="B147" s="17" t="inlineStr">
        <is>
          <t>CRE (existing pack)</t>
        </is>
      </c>
      <c r="C147" s="17" t="inlineStr">
        <is>
          <t>Hotels / hospitality — repositioning</t>
        </is>
      </c>
      <c r="D147" s="17" t="inlineStr">
        <is>
          <t>Private deal model — hotel repositioning ROI with STR benchmarking</t>
        </is>
      </c>
      <c r="E147" s="17" t="inlineStr">
        <is>
          <t>Private (client corpus)</t>
        </is>
      </c>
      <c r="F147" s="17" t="inlineStr"/>
      <c r="G147" s="17" t="inlineStr">
        <is>
          <t>private corpus (not redistributable)</t>
        </is>
      </c>
      <c r="H147" s="17" t="inlineStr">
        <is>
          <t>Provenance not established; treat as not redistributable</t>
        </is>
      </c>
      <c r="I147" s="17" t="inlineStr">
        <is>
          <t>full cash flow table available</t>
        </is>
      </c>
      <c r="J147" s="17" t="inlineStr">
        <is>
          <t>Return on a hotel repositioning investment</t>
        </is>
      </c>
      <c r="K147" s="17" t="inlineStr">
        <is>
          <t>A hotel repositioned against its competitive set, benchmarked on STR data.</t>
        </is>
      </c>
      <c r="L147" s="17" t="inlineStr">
        <is>
          <t>Competitive set comparison; operating history; detailed F&amp;B analysis; pro forma versus comparables; ROI analysis; STR raw data and STAR/TREND responses; refinancing reference.</t>
        </is>
      </c>
      <c r="M147" s="17" t="inlineStr">
        <is>
          <t>Curves, indices &amp; price paths</t>
        </is>
      </c>
      <c r="N147" s="17" t="inlineStr">
        <is>
          <t>Penetration indices against a measured competitive set rather than assumed — the empirical version of the Hotel Acquisition Model's penetration sheet.</t>
        </is>
      </c>
      <c r="O147" s="17" t="inlineStr">
        <is>
          <t>n/a — local file</t>
        </is>
      </c>
      <c r="P147" s="17" t="inlineStr">
        <is>
          <t>private corpus</t>
        </is>
      </c>
      <c r="Q147" s="17" t="inlineStr"/>
    </row>
    <row r="148">
      <c r="A148" s="17" t="n">
        <v>147</v>
      </c>
      <c r="B148" s="17" t="inlineStr">
        <is>
          <t>CRE (existing pack)</t>
        </is>
      </c>
      <c r="C148" s="17" t="inlineStr">
        <is>
          <t>Commercial real estate — unclassified</t>
        </is>
      </c>
      <c r="D148" s="17" t="inlineStr">
        <is>
          <t>Private deal model — not yet read (.xlsb)</t>
        </is>
      </c>
      <c r="E148" s="17" t="inlineStr">
        <is>
          <t>Private (client corpus)</t>
        </is>
      </c>
      <c r="F148" s="17" t="inlineStr"/>
      <c r="G148" s="17" t="inlineStr">
        <is>
          <t>private corpus (not redistributable)</t>
        </is>
      </c>
      <c r="H148" s="17" t="inlineStr">
        <is>
          <t>Provenance not established; treat as not redistributable</t>
        </is>
      </c>
      <c r="I148" s="17" t="inlineStr">
        <is>
          <t>assumptions and outputs only</t>
        </is>
      </c>
      <c r="J148" s="17" t="inlineStr">
        <is>
          <t>Unclassified</t>
        </is>
      </c>
      <c r="K148" s="17" t="inlineStr">
        <is>
          <t>Not established — the file was not opened.</t>
        </is>
      </c>
      <c r="L148" s="17" t="inlineStr">
        <is>
          <t>Not established.</t>
        </is>
      </c>
      <c r="M148" s="17" t="inlineStr">
        <is>
          <t>Not established</t>
        </is>
      </c>
      <c r="N148" s="17" t="inlineStr">
        <is>
          <t>Requires pyxlsb to read; classify before use.</t>
        </is>
      </c>
      <c r="O148" s="17" t="inlineStr">
        <is>
          <t>n/a — local file</t>
        </is>
      </c>
      <c r="P148" s="17" t="inlineStr">
        <is>
          <t>private corpus</t>
        </is>
      </c>
      <c r="Q148" s="17" t="inlineStr"/>
    </row>
    <row r="149">
      <c r="A149" s="17" t="n">
        <v>148</v>
      </c>
      <c r="B149" s="17" t="inlineStr">
        <is>
          <t>CRE (existing pack)</t>
        </is>
      </c>
      <c r="C149" s="17" t="inlineStr">
        <is>
          <t>Residential development — international</t>
        </is>
      </c>
      <c r="D149" s="17" t="inlineStr">
        <is>
          <t>Private deal model — international residential developer (not yet read, .xlsb)</t>
        </is>
      </c>
      <c r="E149" s="17" t="inlineStr">
        <is>
          <t>Private (client corpus)</t>
        </is>
      </c>
      <c r="F149" s="17" t="inlineStr"/>
      <c r="G149" s="17" t="inlineStr">
        <is>
          <t>private corpus (not redistributable)</t>
        </is>
      </c>
      <c r="H149" s="17" t="inlineStr">
        <is>
          <t>Provenance not established; treat as not redistributable</t>
        </is>
      </c>
      <c r="I149" s="17" t="inlineStr">
        <is>
          <t>assumptions and outputs only</t>
        </is>
      </c>
      <c r="J149" s="17" t="inlineStr">
        <is>
          <t>Unclassified</t>
        </is>
      </c>
      <c r="K149" s="17" t="inlineStr">
        <is>
          <t>Not established — the file was not opened.</t>
        </is>
      </c>
      <c r="L149" s="17" t="inlineStr">
        <is>
          <t>Not established.</t>
        </is>
      </c>
      <c r="M149" s="17" t="inlineStr">
        <is>
          <t>Not established</t>
        </is>
      </c>
      <c r="N149" s="17" t="inlineStr">
        <is>
          <t>Requires pyxlsb to read; classify before use.</t>
        </is>
      </c>
      <c r="O149" s="17" t="inlineStr">
        <is>
          <t>n/a — local file</t>
        </is>
      </c>
      <c r="P149" s="17" t="inlineStr">
        <is>
          <t>private corpus</t>
        </is>
      </c>
      <c r="Q149" s="17" t="inlineStr"/>
    </row>
    <row r="150">
      <c r="A150" s="17" t="n">
        <v>149</v>
      </c>
      <c r="B150" s="17" t="inlineStr">
        <is>
          <t>OpCo &amp; Corporate Finance (existing pack + roadmap)</t>
        </is>
      </c>
      <c r="C150" s="17" t="inlineStr">
        <is>
          <t>Consumer foods — M&amp;A</t>
        </is>
      </c>
      <c r="D150" s="17" t="inlineStr">
        <is>
          <t>Kraft / Kellogg accretion-dilution exercise (worked solution)</t>
        </is>
      </c>
      <c r="E150" s="17" t="inlineStr">
        <is>
          <t>Unattributed (training material)</t>
        </is>
      </c>
      <c r="F150" s="17" t="inlineStr"/>
      <c r="G150" s="17" t="inlineStr">
        <is>
          <t>private corpus (not redistributable)</t>
        </is>
      </c>
      <c r="H150" s="17" t="inlineStr">
        <is>
          <t>Provenance not established; treat as not redistributable</t>
        </is>
      </c>
      <c r="I150" s="17" t="inlineStr">
        <is>
          <t>full cash flow table available</t>
        </is>
      </c>
      <c r="J150" s="17" t="inlineStr">
        <is>
          <t>Merger accretion/dilution analysis</t>
        </is>
      </c>
      <c r="K150" s="17" t="inlineStr">
        <is>
          <t>A hypothetical acquisition of one listed food company by another.</t>
        </is>
      </c>
      <c r="L150" s="17" t="inlineStr">
        <is>
          <t>Pro forma EPS accretion/dilution across consideration mixes.</t>
        </is>
      </c>
      <c r="M150" s="17" t="inlineStr">
        <is>
          <t>Composition, nesting &amp; multi-entity</t>
        </is>
      </c>
      <c r="N150" s="17" t="inlineStr">
        <is>
          <t>Per-share accretion — a metric defined on a combined entity, not on cash flows.</t>
        </is>
      </c>
      <c r="O150" s="17" t="inlineStr">
        <is>
          <t>n/a — local file</t>
        </is>
      </c>
      <c r="P150" s="17" t="inlineStr">
        <is>
          <t>private corpus</t>
        </is>
      </c>
      <c r="Q150" s="17" t="inlineStr"/>
    </row>
    <row r="151">
      <c r="A151" s="17" t="n">
        <v>150</v>
      </c>
      <c r="B151" s="17" t="inlineStr">
        <is>
          <t>OpCo &amp; Corporate Finance (existing pack + roadmap)</t>
        </is>
      </c>
      <c r="C151" s="17" t="inlineStr">
        <is>
          <t>Consumer foods — M&amp;A</t>
        </is>
      </c>
      <c r="D151" s="17" t="inlineStr">
        <is>
          <t>Kraft / Kellogg full merger model (worked solution)</t>
        </is>
      </c>
      <c r="E151" s="17" t="inlineStr">
        <is>
          <t>Unattributed (training material)</t>
        </is>
      </c>
      <c r="F151" s="17" t="inlineStr"/>
      <c r="G151" s="17" t="inlineStr">
        <is>
          <t>private corpus (not redistributable)</t>
        </is>
      </c>
      <c r="H151" s="17" t="inlineStr">
        <is>
          <t>Provenance not established; treat as not redistributable</t>
        </is>
      </c>
      <c r="I151" s="17" t="inlineStr">
        <is>
          <t>full cash flow table available</t>
        </is>
      </c>
      <c r="J151" s="17" t="inlineStr">
        <is>
          <t>Full merger model with synergies</t>
        </is>
      </c>
      <c r="K151" s="17" t="inlineStr">
        <is>
          <t>The same combination as ID 149, modeled end to end.</t>
        </is>
      </c>
      <c r="L151" s="17" t="inlineStr">
        <is>
          <t>Merger assumptions; pro forma balance sheet; operating model; synergies model; sensitivities.</t>
        </is>
      </c>
      <c r="M151" s="17" t="inlineStr">
        <is>
          <t>Composition, nesting &amp; multi-entity</t>
        </is>
      </c>
      <c r="N151" s="17" t="inlineStr">
        <is>
          <t>A synergy schedule phased in over time — a stream that exists only post-combination.</t>
        </is>
      </c>
      <c r="O151" s="17" t="inlineStr">
        <is>
          <t>n/a — local file</t>
        </is>
      </c>
      <c r="P151" s="17" t="inlineStr">
        <is>
          <t>private corpus</t>
        </is>
      </c>
      <c r="Q151" s="17" t="n">
        <v>149</v>
      </c>
    </row>
    <row r="152">
      <c r="A152" s="17" t="n">
        <v>151</v>
      </c>
      <c r="B152" s="17" t="inlineStr">
        <is>
          <t>OpCo &amp; Corporate Finance (existing pack + roadmap)</t>
        </is>
      </c>
      <c r="C152" s="17" t="inlineStr">
        <is>
          <t>Consumer foods — comparable analysis</t>
        </is>
      </c>
      <c r="D152" s="17" t="inlineStr">
        <is>
          <t>Heinz comparable-company financial spread (worked solution)</t>
        </is>
      </c>
      <c r="E152" s="17" t="inlineStr">
        <is>
          <t>Unattributed (training material)</t>
        </is>
      </c>
      <c r="F152" s="17" t="inlineStr"/>
      <c r="G152" s="17" t="inlineStr">
        <is>
          <t>private corpus (not redistributable)</t>
        </is>
      </c>
      <c r="H152" s="17" t="inlineStr">
        <is>
          <t>Provenance not established; treat as not redistributable</t>
        </is>
      </c>
      <c r="I152" s="17" t="inlineStr">
        <is>
          <t>assumptions and outputs only</t>
        </is>
      </c>
      <c r="J152" s="17" t="inlineStr">
        <is>
          <t>Comparable company spread</t>
        </is>
      </c>
      <c r="K152" s="17" t="inlineStr">
        <is>
          <t>One company's financials normalized for comparison.</t>
        </is>
      </c>
      <c r="L152" s="17" t="inlineStr">
        <is>
          <t>Normalization adjustments and multiple calculation.</t>
        </is>
      </c>
      <c r="M152" s="17" t="inlineStr">
        <is>
          <t>Other / uncategorised</t>
        </is>
      </c>
      <c r="N152" s="17" t="inlineStr">
        <is>
          <t>Multiple-based valuation, which CFDL does not express as cash flows — a scope boundary.</t>
        </is>
      </c>
      <c r="O152" s="17" t="inlineStr">
        <is>
          <t>n/a — local file</t>
        </is>
      </c>
      <c r="P152" s="17" t="inlineStr">
        <is>
          <t>private corpus</t>
        </is>
      </c>
      <c r="Q152" s="17" t="inlineStr"/>
    </row>
    <row r="153">
      <c r="A153" s="17" t="n">
        <v>152</v>
      </c>
      <c r="B153" s="17" t="inlineStr">
        <is>
          <t>OpCo &amp; Corporate Finance (existing pack + roadmap)</t>
        </is>
      </c>
      <c r="C153" s="17" t="inlineStr">
        <is>
          <t>Cross-industry — sponsor buyout</t>
        </is>
      </c>
      <c r="D153" s="17" t="inlineStr">
        <is>
          <t>LBO model (worked solution)</t>
        </is>
      </c>
      <c r="E153" s="17" t="inlineStr">
        <is>
          <t>Unattributed (training material)</t>
        </is>
      </c>
      <c r="F153" s="17" t="inlineStr"/>
      <c r="G153" s="17" t="inlineStr">
        <is>
          <t>private corpus (not redistributable)</t>
        </is>
      </c>
      <c r="H153" s="17" t="inlineStr">
        <is>
          <t>Provenance not established; treat as not redistributable</t>
        </is>
      </c>
      <c r="I153" s="17" t="inlineStr">
        <is>
          <t>full cash flow table available</t>
        </is>
      </c>
      <c r="J153" s="17" t="inlineStr">
        <is>
          <t>Sponsor buyout with a debt schedule</t>
        </is>
      </c>
      <c r="K153" s="17" t="inlineStr">
        <is>
          <t>A generic leveraged buyout held and exited.</t>
        </is>
      </c>
      <c r="L153" s="17" t="inlineStr">
        <is>
          <t>Sources and uses; pro forma balance sheet; operating model with a debt schedule.</t>
        </is>
      </c>
      <c r="M153" s="17" t="inlineStr">
        <is>
          <t>Solve-to-target / endogenous circularity</t>
        </is>
      </c>
      <c r="N153" s="17" t="inlineStr">
        <is>
          <t>A second independent reference for the conventions in benchmarks/opco/lbo_buyout.</t>
        </is>
      </c>
      <c r="O153" s="17" t="inlineStr">
        <is>
          <t>n/a — local file</t>
        </is>
      </c>
      <c r="P153" s="17" t="inlineStr">
        <is>
          <t>private corpus</t>
        </is>
      </c>
      <c r="Q153" s="17" t="inlineStr"/>
    </row>
    <row r="154">
      <c r="A154" s="17" t="n">
        <v>153</v>
      </c>
      <c r="B154" s="17" t="inlineStr">
        <is>
          <t>OpCo &amp; Corporate Finance (existing pack + roadmap)</t>
        </is>
      </c>
      <c r="C154" s="17" t="inlineStr">
        <is>
          <t>Real estate operating company — buyout</t>
        </is>
      </c>
      <c r="D154" s="17" t="inlineStr">
        <is>
          <t>LBO of a property operating company, with NOI and FFO</t>
        </is>
      </c>
      <c r="E154" s="17" t="inlineStr">
        <is>
          <t>Unattributed (training material)</t>
        </is>
      </c>
      <c r="F154" s="17" t="inlineStr"/>
      <c r="G154" s="17" t="inlineStr">
        <is>
          <t>private corpus (not redistributable)</t>
        </is>
      </c>
      <c r="H154" s="17" t="inlineStr">
        <is>
          <t>Provenance not established; treat as not redistributable</t>
        </is>
      </c>
      <c r="I154" s="17" t="inlineStr">
        <is>
          <t>full cash flow table available</t>
        </is>
      </c>
      <c r="J154" s="17" t="inlineStr">
        <is>
          <t>Buyout of a real-estate operating company</t>
        </is>
      </c>
      <c r="K154" s="17" t="inlineStr">
        <is>
          <t>An LBO where the operating cash flow is property NOI and the metric is FFO.</t>
        </is>
      </c>
      <c r="L154" s="17" t="inlineStr">
        <is>
          <t>NOI assumptions; levered and unlevered returns on a cap-rate exit; ratios; DCF; FFO projection.</t>
        </is>
      </c>
      <c r="M154" s="17" t="inlineStr">
        <is>
          <t>Composition, nesting &amp; multi-entity</t>
        </is>
      </c>
      <c r="N154" s="17" t="inlineStr">
        <is>
          <t>The CRE/OpCo boundary — a buyout whose EBITDA is NOI and whose exit is a cap rate.</t>
        </is>
      </c>
      <c r="O154" s="17" t="inlineStr">
        <is>
          <t>n/a — local file</t>
        </is>
      </c>
      <c r="P154" s="17" t="inlineStr">
        <is>
          <t>private corpus</t>
        </is>
      </c>
      <c r="Q154" s="17" t="inlineStr"/>
    </row>
    <row r="155">
      <c r="A155" s="17" t="n">
        <v>154</v>
      </c>
      <c r="B155" s="17" t="inlineStr">
        <is>
          <t>OpCo &amp; Corporate Finance (existing pack + roadmap)</t>
        </is>
      </c>
      <c r="C155" s="17" t="inlineStr">
        <is>
          <t>Cross-industry — sponsor buyout</t>
        </is>
      </c>
      <c r="D155" s="17" t="inlineStr">
        <is>
          <t>Sovereign fund LBO template with a DCF cross-check</t>
        </is>
      </c>
      <c r="E155" s="17" t="inlineStr">
        <is>
          <t>Unattributed (training material)</t>
        </is>
      </c>
      <c r="F155" s="17" t="inlineStr"/>
      <c r="G155" s="17" t="inlineStr">
        <is>
          <t>private corpus (not redistributable)</t>
        </is>
      </c>
      <c r="H155" s="17" t="inlineStr">
        <is>
          <t>Provenance not established; treat as not redistributable</t>
        </is>
      </c>
      <c r="I155" s="17" t="inlineStr">
        <is>
          <t>full cash flow table available</t>
        </is>
      </c>
      <c r="J155" s="17" t="inlineStr">
        <is>
          <t>Buyout template with a parallel DCF</t>
        </is>
      </c>
      <c r="K155" s="17" t="inlineStr">
        <is>
          <t>A buyout modeled alongside an intrinsic valuation of the same business.</t>
        </is>
      </c>
      <c r="L155" s="17" t="inlineStr">
        <is>
          <t>Assumptions; financial statements; LBO and LBO output; DCF; hedge-fund view; calculations.</t>
        </is>
      </c>
      <c r="M155" s="17" t="inlineStr">
        <is>
          <t>Solve-to-target / endogenous circularity</t>
        </is>
      </c>
      <c r="N155" s="17" t="inlineStr">
        <is>
          <t>An LBO return and a DCF value over one forecast — two answers that must reconcile.</t>
        </is>
      </c>
      <c r="O155" s="17" t="inlineStr">
        <is>
          <t>n/a — local file</t>
        </is>
      </c>
      <c r="P155" s="17" t="inlineStr">
        <is>
          <t>private corpus</t>
        </is>
      </c>
      <c r="Q155" s="17" t="inlineStr"/>
    </row>
    <row r="156">
      <c r="A156" s="17" t="n">
        <v>155</v>
      </c>
      <c r="B156" s="17" t="inlineStr">
        <is>
          <t>OpCo &amp; Corporate Finance (existing pack + roadmap)</t>
        </is>
      </c>
      <c r="C156" s="17" t="inlineStr">
        <is>
          <t>Cross-industry — valuation</t>
        </is>
      </c>
      <c r="D156" s="17" t="inlineStr">
        <is>
          <t>Valuation workbook — DCF, comparables and precedent transactions (worked solution)</t>
        </is>
      </c>
      <c r="E156" s="17" t="inlineStr">
        <is>
          <t>Unattributed (training material)</t>
        </is>
      </c>
      <c r="F156" s="17" t="inlineStr"/>
      <c r="G156" s="17" t="inlineStr">
        <is>
          <t>private corpus (not redistributable)</t>
        </is>
      </c>
      <c r="H156" s="17" t="inlineStr">
        <is>
          <t>Provenance not established; treat as not redistributable</t>
        </is>
      </c>
      <c r="I156" s="17" t="inlineStr">
        <is>
          <t>full cash flow table available</t>
        </is>
      </c>
      <c r="J156" s="17" t="inlineStr">
        <is>
          <t>Three-method valuation</t>
        </is>
      </c>
      <c r="K156" s="17" t="inlineStr">
        <is>
          <t>One business valued by DCF, trading comparables and precedent transactions.</t>
        </is>
      </c>
      <c r="L156" s="17" t="inlineStr">
        <is>
          <t>Valuation summary; comparable spread; DCF (two variants); precedent transactions; WACC build.</t>
        </is>
      </c>
      <c r="M156" s="17" t="inlineStr">
        <is>
          <t>Other / uncategorised</t>
        </is>
      </c>
      <c r="N156" s="17" t="inlineStr">
        <is>
          <t>A WACC build feeding a DCF — the discount rate derived rather than stated.</t>
        </is>
      </c>
      <c r="O156" s="17" t="inlineStr">
        <is>
          <t>n/a — local file</t>
        </is>
      </c>
      <c r="P156" s="17" t="inlineStr">
        <is>
          <t>private corpus</t>
        </is>
      </c>
      <c r="Q156" s="17" t="inlineStr"/>
    </row>
    <row r="157">
      <c r="A157" s="17" t="n">
        <v>156</v>
      </c>
      <c r="B157" s="17" t="inlineStr">
        <is>
          <t>OpCo &amp; Corporate Finance (existing pack + roadmap)</t>
        </is>
      </c>
      <c r="C157" s="17" t="inlineStr">
        <is>
          <t>Consumer discretionary — eyewear</t>
        </is>
      </c>
      <c r="D157" s="17" t="inlineStr">
        <is>
          <t>Luxottica Group — DCF and multiple valuation</t>
        </is>
      </c>
      <c r="E157" s="17" t="inlineStr">
        <is>
          <t>Unattributed</t>
        </is>
      </c>
      <c r="F157" s="17" t="inlineStr"/>
      <c r="G157" s="17" t="inlineStr">
        <is>
          <t>private corpus (not redistributable)</t>
        </is>
      </c>
      <c r="H157" s="17" t="inlineStr">
        <is>
          <t>Provenance not established; treat as not redistributable</t>
        </is>
      </c>
      <c r="I157" s="17" t="inlineStr">
        <is>
          <t>full cash flow table available</t>
        </is>
      </c>
      <c r="J157" s="17" t="inlineStr">
        <is>
          <t>Listed company DCF with a football-field summary</t>
        </is>
      </c>
      <c r="K157" s="17" t="inlineStr">
        <is>
          <t>A listed eyewear manufacturer valued by DCF and multiples.</t>
        </is>
      </c>
      <c r="L157" s="17" t="inlineStr">
        <is>
          <t>Beta and WACC build; DCF; multiple valuation; football field; segment detail by geography; consensus comparison; debt outstanding; reorganized balance sheet.</t>
        </is>
      </c>
      <c r="M157" s="17" t="inlineStr">
        <is>
          <t>Other / uncategorised</t>
        </is>
      </c>
      <c r="N157" s="17" t="inlineStr">
        <is>
          <t>A segment-level build rolling to one enterprise value — multi-entity composition in OpCo.</t>
        </is>
      </c>
      <c r="O157" s="17" t="inlineStr">
        <is>
          <t>n/a — local file</t>
        </is>
      </c>
      <c r="P157" s="17" t="inlineStr">
        <is>
          <t>private corpus</t>
        </is>
      </c>
      <c r="Q157" s="17" t="inlineStr"/>
    </row>
    <row r="158">
      <c r="A158" s="17" t="n">
        <v>157</v>
      </c>
      <c r="B158" s="17" t="inlineStr">
        <is>
          <t>OpCo &amp; Corporate Finance (existing pack + roadmap)</t>
        </is>
      </c>
      <c r="C158" s="17" t="inlineStr">
        <is>
          <t>Building materials — cement</t>
        </is>
      </c>
      <c r="D158" s="17" t="inlineStr">
        <is>
          <t>Bestway Cement — operating model, three statements and valuation</t>
        </is>
      </c>
      <c r="E158" s="17" t="inlineStr">
        <is>
          <t>Unattributed</t>
        </is>
      </c>
      <c r="F158" s="17" t="inlineStr"/>
      <c r="G158" s="17" t="inlineStr">
        <is>
          <t>private corpus (not redistributable)</t>
        </is>
      </c>
      <c r="H158" s="17" t="inlineStr">
        <is>
          <t>Provenance not established; treat as not redistributable</t>
        </is>
      </c>
      <c r="I158" s="17" t="inlineStr">
        <is>
          <t>full cash flow table available</t>
        </is>
      </c>
      <c r="J158" s="17" t="inlineStr">
        <is>
          <t>Integrated three-statement model with valuation</t>
        </is>
      </c>
      <c r="K158" s="17" t="inlineStr">
        <is>
          <t>A listed cement manufacturer modeled from operations through to value.</t>
        </is>
      </c>
      <c r="L158" s="17" t="inlineStr">
        <is>
          <t>Operating model; full financial statements; ratio analysis; valuation; beta and market value.</t>
        </is>
      </c>
      <c r="M158" s="17" t="inlineStr">
        <is>
          <t>Composition, nesting &amp; multi-entity</t>
        </is>
      </c>
      <c r="N158" s="17" t="inlineStr">
        <is>
          <t>A full three-statement linkage — balance sheet and cash flow tying to the income statement.</t>
        </is>
      </c>
      <c r="O158" s="17" t="inlineStr">
        <is>
          <t>n/a — local file</t>
        </is>
      </c>
      <c r="P158" s="17" t="inlineStr">
        <is>
          <t>private corpus</t>
        </is>
      </c>
      <c r="Q158" s="17" t="inlineStr"/>
    </row>
    <row r="159">
      <c r="A159" s="17" t="n">
        <v>158</v>
      </c>
      <c r="B159" s="17" t="inlineStr">
        <is>
          <t>OpCo &amp; Corporate Finance (existing pack + roadmap)</t>
        </is>
      </c>
      <c r="C159" s="17" t="inlineStr">
        <is>
          <t>Cross-industry — generic</t>
        </is>
      </c>
      <c r="D159" s="17" t="inlineStr">
        <is>
          <t>Generic three-statement model with DCF and scenario analysis</t>
        </is>
      </c>
      <c r="E159" s="17" t="inlineStr">
        <is>
          <t>Unattributed</t>
        </is>
      </c>
      <c r="F159" s="17" t="inlineStr"/>
      <c r="G159" s="17" t="inlineStr">
        <is>
          <t>private corpus (not redistributable)</t>
        </is>
      </c>
      <c r="H159" s="17" t="inlineStr">
        <is>
          <t>Provenance not established; treat as not redistributable</t>
        </is>
      </c>
      <c r="I159" s="17" t="inlineStr">
        <is>
          <t>full cash flow table available</t>
        </is>
      </c>
      <c r="J159" s="17" t="inlineStr">
        <is>
          <t>Three-statement model with scenarios</t>
        </is>
      </c>
      <c r="K159" s="17" t="inlineStr">
        <is>
          <t>A generic business modeled across scenarios.</t>
        </is>
      </c>
      <c r="L159" s="17" t="inlineStr">
        <is>
          <t>P&amp;L, balance sheet and cash flow with separate assumption sheets; DCF valuation; scenarios.</t>
        </is>
      </c>
      <c r="M159" s="17" t="inlineStr">
        <is>
          <t>Trigger, covenant &amp; regime switch</t>
        </is>
      </c>
      <c r="N159" s="17" t="inlineStr">
        <is>
          <t>Scenario switching over a full statement set — a scenario-harness reference.</t>
        </is>
      </c>
      <c r="O159" s="17" t="inlineStr">
        <is>
          <t>n/a — local file</t>
        </is>
      </c>
      <c r="P159" s="17" t="inlineStr">
        <is>
          <t>private corpus</t>
        </is>
      </c>
      <c r="Q159" s="17" t="inlineStr"/>
    </row>
    <row r="160">
      <c r="A160" s="17" t="n">
        <v>159</v>
      </c>
      <c r="B160" s="17" t="inlineStr">
        <is>
          <t>OpCo &amp; Corporate Finance (existing pack + roadmap)</t>
        </is>
      </c>
      <c r="C160" s="17" t="inlineStr">
        <is>
          <t>Cross-industry — generic</t>
        </is>
      </c>
      <c r="D160" s="17" t="inlineStr">
        <is>
          <t>Basic DCF template</t>
        </is>
      </c>
      <c r="E160" s="17" t="inlineStr">
        <is>
          <t>business-valuation.net</t>
        </is>
      </c>
      <c r="F160" s="17" t="inlineStr"/>
      <c r="G160" s="17" t="inlineStr">
        <is>
          <t>direct download</t>
        </is>
      </c>
      <c r="H160" s="17" t="inlineStr">
        <is>
          <t>Provenance not established; treat as not redistributable</t>
        </is>
      </c>
      <c r="I160" s="17" t="inlineStr">
        <is>
          <t>assumptions and outputs only</t>
        </is>
      </c>
      <c r="J160" s="17" t="inlineStr">
        <is>
          <t>Minimal DCF</t>
        </is>
      </c>
      <c r="K160" s="17" t="inlineStr">
        <is>
          <t>A short DCF with a beta and capital structure sheet.</t>
        </is>
      </c>
      <c r="L160" s="17" t="inlineStr">
        <is>
          <t>Free cash flow discounting; beta and capital structure.</t>
        </is>
      </c>
      <c r="M160" s="17" t="inlineStr">
        <is>
          <t>Other / uncategorised</t>
        </is>
      </c>
      <c r="N160" s="17" t="inlineStr">
        <is>
          <t>A floor case for OpCo discounting, comparable to ID 62 at much smaller scale.</t>
        </is>
      </c>
      <c r="O160" s="17" t="inlineStr">
        <is>
          <t>n/a — local file</t>
        </is>
      </c>
      <c r="P160" s="17" t="inlineStr">
        <is>
          <t>public template</t>
        </is>
      </c>
      <c r="Q160" s="17" t="inlineStr"/>
    </row>
    <row r="161">
      <c r="A161" s="17" t="n">
        <v>160</v>
      </c>
      <c r="B161" s="17" t="inlineStr">
        <is>
          <t>Energy &amp; Infrastructure (existing pack + roadmap)</t>
        </is>
      </c>
      <c r="C161" s="17" t="inlineStr">
        <is>
          <t>Energy — electricity distribution utility</t>
        </is>
      </c>
      <c r="D161" s="17" t="inlineStr">
        <is>
          <t>Electricity distribution utility — three-statement model with investor return</t>
        </is>
      </c>
      <c r="E161" s="17" t="inlineStr">
        <is>
          <t>Unattributed</t>
        </is>
      </c>
      <c r="F161" s="17" t="inlineStr"/>
      <c r="G161" s="17" t="inlineStr">
        <is>
          <t>private corpus (not redistributable)</t>
        </is>
      </c>
      <c r="H161" s="17" t="inlineStr">
        <is>
          <t>Provenance not established; treat as not redistributable</t>
        </is>
      </c>
      <c r="I161" s="17" t="inlineStr">
        <is>
          <t>full cash flow table available</t>
        </is>
      </c>
      <c r="J161" s="17" t="inlineStr">
        <is>
          <t>Regulated distribution utility financial model</t>
        </is>
      </c>
      <c r="K161" s="17" t="inlineStr">
        <is>
          <t>An electricity distribution business modeled from drivers through to investor return.</t>
        </is>
      </c>
      <c r="L161" s="17" t="inlineStr">
        <is>
          <t>Driver sheet; income statement, balance sheet and cash flow; ratio analysis; valuation; investor return; capex; capital structure.</t>
        </is>
      </c>
      <c r="M161" s="17" t="inlineStr">
        <is>
          <t>Composition, nesting &amp; multi-entity</t>
        </is>
      </c>
      <c r="N161" s="17" t="inlineStr">
        <is>
          <t>A regulated utility — a rate-base business, unlike the merchant and PPA cases in the pack.</t>
        </is>
      </c>
      <c r="O161" s="17" t="inlineStr">
        <is>
          <t>n/a — local file</t>
        </is>
      </c>
      <c r="P161" s="17" t="inlineStr">
        <is>
          <t>private corpus</t>
        </is>
      </c>
      <c r="Q161" s="17" t="inlineStr"/>
    </row>
  </sheetData>
  <autoFilter ref="A1:O107"/>
  <hyperlinks>
    <hyperlink xmlns:r="http://schemas.openxmlformats.org/officeDocument/2006/relationships" ref="F2" display="https://www.adventuresincre.com/all-in-one-underwriting-model-for-real-estate-development-and-acquisition/" r:id="rId1"/>
    <hyperlink xmlns:r="http://schemas.openxmlformats.org/officeDocument/2006/relationships" ref="F3" display="https://www.adventuresincre.com/apartment-development-model/" r:id="rId2"/>
    <hyperlink xmlns:r="http://schemas.openxmlformats.org/officeDocument/2006/relationships" ref="F4" display="https://www.adventuresincre.com/hotel-valuation-model/" r:id="rId3"/>
    <hyperlink xmlns:r="http://schemas.openxmlformats.org/officeDocument/2006/relationships" ref="F5" display="https://www.adventuresincre.com/self-storage-acquisition-model/" r:id="rId4"/>
    <hyperlink xmlns:r="http://schemas.openxmlformats.org/officeDocument/2006/relationships" ref="F6" display="https://www.adventuresincre.com/residential-land-development-model/" r:id="rId5"/>
    <hyperlink xmlns:r="http://schemas.openxmlformats.org/officeDocument/2006/relationships" ref="F7" display="https://www.adventuresincre.com/a-cre-value-add-apartment-acquisition-model/" r:id="rId6"/>
    <hyperlink xmlns:r="http://schemas.openxmlformats.org/officeDocument/2006/relationships" ref="F8" display="https://www.adventuresincre.com/real-estate-equity-waterfall-model-catch-up-clawback/" r:id="rId7"/>
    <hyperlink xmlns:r="http://schemas.openxmlformats.org/officeDocument/2006/relationships" ref="F9" display="https://www.adventuresincre.com/commercial-mortgage-loan-analysis-model/" r:id="rId8"/>
    <hyperlink xmlns:r="http://schemas.openxmlformats.org/officeDocument/2006/relationships" ref="F10" display="https://www.adventuresincre.com/single-tenant-nnn-lease-valuation-model/" r:id="rId9"/>
    <hyperlink xmlns:r="http://schemas.openxmlformats.org/officeDocument/2006/relationships" ref="F11" display="https://www.adventuresincre.com/watch-me-build-capital-stack-mezz-debt/" r:id="rId10"/>
    <hyperlink xmlns:r="http://schemas.openxmlformats.org/officeDocument/2006/relationships" ref="F12" display="https://www.hudexchange.info/resource/2468/home-multifamily-underwriting-template/" r:id="rId11"/>
    <hyperlink xmlns:r="http://schemas.openxmlformats.org/officeDocument/2006/relationships" ref="F13" display="https://ocw.mit.edu/courses/11-431j-real-estate-finance-and-investment-fall-2006/3cdd8d84d7dd0fef202fcd0ba8d7a7a7_ps1.pdf" r:id="rId12"/>
    <hyperlink xmlns:r="http://schemas.openxmlformats.org/officeDocument/2006/relationships" ref="F14" display="https://ocw.mit.edu/courses/11-431j-real-estate-finance-and-investment-fall-2006/2c49789596ca71e885d2747c0e59090c_case3.pdf" r:id="rId13"/>
    <hyperlink xmlns:r="http://schemas.openxmlformats.org/officeDocument/2006/relationships" ref="F15" display="https://ocw.mit.edu/courses/11-431j-real-estate-finance-and-investment-fall-2006/6a880c6270e6579be09c8bd516bce5fd_ps2.pdf" r:id="rId14"/>
    <hyperlink xmlns:r="http://schemas.openxmlformats.org/officeDocument/2006/relationships" ref="F16" display="https://github.com/oaklandanalytics/pyforma" r:id="rId15"/>
    <hyperlink xmlns:r="http://schemas.openxmlformats.org/officeDocument/2006/relationships" ref="F17" display="https://propertymetrics.com/office-building-proforma-excel-template/" r:id="rId16"/>
    <hyperlink xmlns:r="http://schemas.openxmlformats.org/officeDocument/2006/relationships" ref="F18" display="https://finamodel.com/templates/retail-centre-model" r:id="rId17"/>
    <hyperlink xmlns:r="http://schemas.openxmlformats.org/officeDocument/2006/relationships" ref="F19" display="https://finamodel.com/templates/construction-draw-model" r:id="rId18"/>
    <hyperlink xmlns:r="http://schemas.openxmlformats.org/officeDocument/2006/relationships" ref="F20" display="https://finamodel.com/templates/mixed-use-model" r:id="rId19"/>
    <hyperlink xmlns:r="http://schemas.openxmlformats.org/officeDocument/2006/relationships" ref="F21" display="https://finamodel.com/templates/hotel-model" r:id="rId20"/>
    <hyperlink xmlns:r="http://schemas.openxmlformats.org/officeDocument/2006/relationships" ref="F22" display="https://github.com/NREL/SAM" r:id="rId21"/>
    <hyperlink xmlns:r="http://schemas.openxmlformats.org/officeDocument/2006/relationships" ref="F23" display="https://nrel-pysam.readthedocs.io/en/master/modules/Singleowner.html" r:id="rId22"/>
    <hyperlink xmlns:r="http://schemas.openxmlformats.org/officeDocument/2006/relationships" ref="F24" display="https://www.nrel.gov/analysis/crest" r:id="rId23"/>
    <hyperlink xmlns:r="http://schemas.openxmlformats.org/officeDocument/2006/relationships" ref="F25" display="https://github.com/syalsm/CRESTSolarModelPython" r:id="rId24"/>
    <hyperlink xmlns:r="http://schemas.openxmlformats.org/officeDocument/2006/relationships" ref="F26" display="https://atb.nrel.gov/electricity/2024/index" r:id="rId25"/>
    <hyperlink xmlns:r="http://schemas.openxmlformats.org/officeDocument/2006/relationships" ref="F27" display="https://emp.lbl.gov/utility-scale-solar/" r:id="rId26"/>
    <hyperlink xmlns:r="http://schemas.openxmlformats.org/officeDocument/2006/relationships" ref="F28" display="https://www.nrel.gov/hydrogen/h2fast" r:id="rId27"/>
    <hyperlink xmlns:r="http://schemas.openxmlformats.org/officeDocument/2006/relationships" ref="F29" display="https://www.energy.gov/hgeo/geothermal/geothermal-electricity-technology-evaluation-model" r:id="rId28"/>
    <hyperlink xmlns:r="http://schemas.openxmlformats.org/officeDocument/2006/relationships" ref="F30" display="https://www.fhwa.dot.gov/ipd/p3/toolkit/analytical_tools/p3_value" r:id="rId29"/>
    <hyperlink xmlns:r="http://schemas.openxmlformats.org/officeDocument/2006/relationships" ref="F31" display="https://www.fhwa.dot.gov/ipd/p3/toolkit/analytical_tools/p3_screen/" r:id="rId30"/>
    <hyperlink xmlns:r="http://schemas.openxmlformats.org/officeDocument/2006/relationships" ref="F32" display="https://www.ppiaf.org/sites/ppiaf.org/files/documents/toolkits/highwaystoolkit-russian/6/pdf-version/numerical_model.pdf" r:id="rId31"/>
    <hyperlink xmlns:r="http://schemas.openxmlformats.org/officeDocument/2006/relationships" ref="F33" display="https://www.ppiaf.org/sites/ppiaf.org/files/documents/toolkits/highwaystoolkit/6/toolkit_files/index.html" r:id="rId32"/>
    <hyperlink xmlns:r="http://schemas.openxmlformats.org/officeDocument/2006/relationships" ref="F34" display="https://ppp.worldbank.org/public-private-partnership/node/5841" r:id="rId33"/>
    <hyperlink xmlns:r="http://schemas.openxmlformats.org/officeDocument/2006/relationships" ref="F35" display="https://ppp.worldbank.org/public-private-partnership/library/ppp-project-screening-and-analytics-tool-psat-2-0" r:id="rId34"/>
    <hyperlink xmlns:r="http://schemas.openxmlformats.org/officeDocument/2006/relationships" ref="F36" display="https://openknowledge.worldbank.org/entities/publication/bdb5f581-b490-5884-8ba7-868a562e8ef9" r:id="rId35"/>
    <hyperlink xmlns:r="http://schemas.openxmlformats.org/officeDocument/2006/relationships" ref="F37" display="https://edbodmer.com/project-finance-model-collection/airport-project-finance-models/" r:id="rId36"/>
    <hyperlink xmlns:r="http://schemas.openxmlformats.org/officeDocument/2006/relationships" ref="F38" display="https://edbodmer.com/project-finance-model-collection/" r:id="rId37"/>
    <hyperlink xmlns:r="http://schemas.openxmlformats.org/officeDocument/2006/relationships" ref="F39" display="https://ppp.worldbank.org/library/world-bank-port-reform-toolkit" r:id="rId38"/>
    <hyperlink xmlns:r="http://schemas.openxmlformats.org/officeDocument/2006/relationships" ref="F40" display="https://www.projectfinance.law/publications/2021/february/partnership-flips" r:id="rId39"/>
    <hyperlink xmlns:r="http://schemas.openxmlformats.org/officeDocument/2006/relationships" ref="F41" display="https://www.sifma.org/wp-content/uploads/2017/08/chsf.pdf" r:id="rId40"/>
    <hyperlink xmlns:r="http://schemas.openxmlformats.org/officeDocument/2006/relationships" ref="F42" display="https://absbox-doc.readthedocs.io/en/latest/nbsample/single_mortgage.html" r:id="rId41"/>
    <hyperlink xmlns:r="http://schemas.openxmlformats.org/officeDocument/2006/relationships" ref="F43" display="https://github.com/absbox/Hastructure" r:id="rId42"/>
    <hyperlink xmlns:r="http://schemas.openxmlformats.org/officeDocument/2006/relationships" ref="F44" display="https://www.openriskmanagement.com/open-source-securitisation/" r:id="rId43"/>
    <hyperlink xmlns:r="http://schemas.openxmlformats.org/officeDocument/2006/relationships" ref="F45" display="https://capitalmarkets.fanniemae.com/credit-risk-transfer/single-family-credit-risk-transfer/fannie-mae-single-family-loan-performance-data" r:id="rId44"/>
    <hyperlink xmlns:r="http://schemas.openxmlformats.org/officeDocument/2006/relationships" ref="F46" display="https://capitalmarkets.freddiemac.com/crt/docs/pdfs/fre_terms_conditions_sflld.pdf" r:id="rId45"/>
    <hyperlink xmlns:r="http://schemas.openxmlformats.org/officeDocument/2006/relationships" ref="F47" display="https://capitalmarkets.freddiemac.com/crt/securities/deal-documents" r:id="rId46"/>
    <hyperlink xmlns:r="http://schemas.openxmlformats.org/officeDocument/2006/relationships" ref="F48" display="https://capitalmarkets.fanniemae.com/media/document/pdf/connave-2025-r03-prelim-offering-memorandum.pdf" r:id="rId47"/>
    <hyperlink xmlns:r="http://schemas.openxmlformats.org/officeDocument/2006/relationships" ref="F49" display="https://www.sec.gov/Archives/edgar/data/1694010/000119312517045288/d269131d424b5.htm" r:id="rId48"/>
    <hyperlink xmlns:r="http://schemas.openxmlformats.org/officeDocument/2006/relationships" ref="F50" display="https://www.sec.gov/Archives/edgar/data/1126530/000092963823002717/bmw2023-2_424b5.htm" r:id="rId49"/>
    <hyperlink xmlns:r="http://schemas.openxmlformats.org/officeDocument/2006/relationships" ref="F51" display="https://www.sec.gov/Archives/edgar/data/1283434/000119312517179867/d363726d424b5.htm" r:id="rId50"/>
    <hyperlink xmlns:r="http://schemas.openxmlformats.org/officeDocument/2006/relationships" ref="F52" display="https://www.sec.gov/Archives/edgar/data/1477336/000119312518274846/d623786dex994.htm" r:id="rId51"/>
    <hyperlink xmlns:r="http://schemas.openxmlformats.org/officeDocument/2006/relationships" ref="F53" display="https://www.salliemae.com/content/dam/slm/writtencontent/Reports/investors/Reg-AB-Loan-Performance-Data-201812-FINAL.pdf" r:id="rId52"/>
    <hyperlink xmlns:r="http://schemas.openxmlformats.org/officeDocument/2006/relationships" ref="F54" display="https://www.federalreserve.gov/publications/2023-june-supervisory-stress-test-methodology-modeled-loss-rates.htm" r:id="rId53"/>
    <hyperlink xmlns:r="http://schemas.openxmlformats.org/officeDocument/2006/relationships" ref="F55" display="https://www.federalreserve.gov/publications/files/2021-april-supervisory-stress-test-methodology.pdf" r:id="rId54"/>
    <hyperlink xmlns:r="http://schemas.openxmlformats.org/officeDocument/2006/relationships" ref="F56" display="https://www.bankofengland.co.uk/markets/market-notices/2019/detailed-transparency-requirements-for-abs-and-covered-bonds-october-2019" r:id="rId55"/>
    <hyperlink xmlns:r="http://schemas.openxmlformats.org/officeDocument/2006/relationships" ref="F57" display="https://rba.gov.au/mkt-operations/pdf/waterfall-template-for-repo-eligible-rmbs.pdf" r:id="rId56"/>
    <hyperlink xmlns:r="http://schemas.openxmlformats.org/officeDocument/2006/relationships" ref="F58" display="https://www.ginniemae.gov/data_and_reports/disclosure_data/Pages/bulk_data_download_layout.aspx" r:id="rId57"/>
    <hyperlink xmlns:r="http://schemas.openxmlformats.org/officeDocument/2006/relationships" ref="F59" display="https://pages.stern.nyu.edu/~adamodar/pc/eqexret.xls" r:id="rId58"/>
    <hyperlink xmlns:r="http://schemas.openxmlformats.org/officeDocument/2006/relationships" ref="F60" display="https://www.occ.treas.gov/publications-and-resources/publications/comptrollers-handbook/files/asset-securitization/pub-ch-asset-securitization.pdf" r:id="rId59"/>
    <hyperlink xmlns:r="http://schemas.openxmlformats.org/officeDocument/2006/relationships" ref="F61" display="https://mf.freddiemac.com/docs/kdeal_investor_presentation.pdf" r:id="rId60"/>
    <hyperlink xmlns:r="http://schemas.openxmlformats.org/officeDocument/2006/relationships" ref="F62" display="https://www.philadelphiafed.org/-/media/FRBP/Assets/working-papers/2025/wp25-10.pdf" r:id="rId61"/>
    <hyperlink xmlns:r="http://schemas.openxmlformats.org/officeDocument/2006/relationships" ref="F63" display="https://pages.stern.nyu.edu/~adamodar/pc/fcffsimpleginzu.xlsx" r:id="rId62"/>
    <hyperlink xmlns:r="http://schemas.openxmlformats.org/officeDocument/2006/relationships" ref="F64" display="https://pages.stern.nyu.edu/~adamodar/pc/lboval.xls" r:id="rId63"/>
    <hyperlink xmlns:r="http://schemas.openxmlformats.org/officeDocument/2006/relationships" ref="F65" display="https://pages.stern.nyu.edu/~adamodar/pc/eqegs/amazon2000.xls" r:id="rId64"/>
    <hyperlink xmlns:r="http://schemas.openxmlformats.org/officeDocument/2006/relationships" ref="F66" display="https://aswathdamodaran.blogspot.com/2020/02/a-do-it-yourself-diy-valuation-of-tesla.html" r:id="rId65"/>
    <hyperlink xmlns:r="http://schemas.openxmlformats.org/officeDocument/2006/relationships" ref="F67" display="https://pages.stern.nyu.edu/~adamodar/New_Home_Page/covals.htm" r:id="rId66"/>
    <hyperlink xmlns:r="http://schemas.openxmlformats.org/officeDocument/2006/relationships" ref="F68" display="https://www.sec.gov/Archives/edgar/data/318771/000119312509051550/dex99c2.htm" r:id="rId67"/>
    <hyperlink xmlns:r="http://schemas.openxmlformats.org/officeDocument/2006/relationships" ref="F69" display="https://www.sec.gov/Archives/edgar/data/1897982/000114036125003656/ny20042057x7_exc-4.htm" r:id="rId68"/>
    <hyperlink xmlns:r="http://schemas.openxmlformats.org/officeDocument/2006/relationships" ref="F70" display="https://www.sec.gov/Archives/edgar/data/1496963/000114036124030374/ny20030653x1_ex16cvi.htm" r:id="rId69"/>
    <hyperlink xmlns:r="http://schemas.openxmlformats.org/officeDocument/2006/relationships" ref="F71" display="https://www.sec.gov/Archives/edgar/data/1713947/000104746920005319/a2242573zex-99_c2.htm" r:id="rId70"/>
    <hyperlink xmlns:r="http://schemas.openxmlformats.org/officeDocument/2006/relationships" ref="F72" display="https://www.sec.gov/Archives/edgar/data/1742056/000119312522190951/d379851dex99c2.htm" r:id="rId71"/>
    <hyperlink xmlns:r="http://schemas.openxmlformats.org/officeDocument/2006/relationships" ref="F73" display="https://www.sec.gov/Archives/edgar/data/1594326/000095014220002871/eh200121088_ex99c6.htm" r:id="rId72"/>
    <hyperlink xmlns:r="http://schemas.openxmlformats.org/officeDocument/2006/relationships" ref="F74" display="https://www.sec.gov/Archives/edgar/data/4447/000119312524118240/d821055ddefm14a.htm" r:id="rId73"/>
    <hyperlink xmlns:r="http://schemas.openxmlformats.org/officeDocument/2006/relationships" ref="F75" display="https://www.sec.gov/Archives/edgar/data/1353283/000114036123050211/ny20011269x2_defm14a.htm" r:id="rId74"/>
    <hyperlink xmlns:r="http://schemas.openxmlformats.org/officeDocument/2006/relationships" ref="F76" display="https://www.sec.gov/Archives/edgar/data/1689923/000119312524029921/d659085ddefm14a.htm" r:id="rId75"/>
    <hyperlink xmlns:r="http://schemas.openxmlformats.org/officeDocument/2006/relationships" ref="F77" display="https://multipleexpansion.com/2020/06/13/advanced-lbo-modeling/" r:id="rId76"/>
    <hyperlink xmlns:r="http://schemas.openxmlformats.org/officeDocument/2006/relationships" ref="F78" display="https://multipleexpansion.com/2017/11/07/dcf/" r:id="rId77"/>
    <hyperlink xmlns:r="http://schemas.openxmlformats.org/officeDocument/2006/relationships" ref="F79" display="https://ocw.mit.edu/courses/15-414-financial-management-summer-2003/pages/assignments/" r:id="rId78"/>
    <hyperlink xmlns:r="http://schemas.openxmlformats.org/officeDocument/2006/relationships" ref="F80" display="https://ilpa.org/wp-content/uploads/2020/07/ILPA-Model-Limited-Partnership-Agreement-Whole-of-Fund-Waterfall-July-2020.pdf" r:id="rId79"/>
    <hyperlink xmlns:r="http://schemas.openxmlformats.org/officeDocument/2006/relationships" ref="F81" display="https://ilpa.org/industry-guidance/templates-standards-model-documents/ilpa-templates-hub/ilpa-capital-call-distribution-template/" r:id="rId80"/>
    <hyperlink xmlns:r="http://schemas.openxmlformats.org/officeDocument/2006/relationships" ref="F82" display="https://www.calpers.ca.gov/investments/about-investment-office/investment-organization/pep-fund-performance" r:id="rId81"/>
    <hyperlink xmlns:r="http://schemas.openxmlformats.org/officeDocument/2006/relationships" ref="F83" display="https://www.asimplemodel.com/insights/distribution-waterfall" r:id="rId82"/>
    <hyperlink xmlns:r="http://schemas.openxmlformats.org/officeDocument/2006/relationships" ref="F84" display="https://www.sec.gov/Archives/edgar/data/1001838/000155837025002017/scco-20241231xex96d6.pdf" r:id="rId83"/>
    <hyperlink xmlns:r="http://schemas.openxmlformats.org/officeDocument/2006/relationships" ref="F85" display="https://www.sec.gov/Archives/edgar/data/921638/000094787125000984/ss5564068_ex9901.htm" r:id="rId84"/>
    <hyperlink xmlns:r="http://schemas.openxmlformats.org/officeDocument/2006/relationships" ref="F86" display="https://s23.q4cdn.com/405985100/files/doc_downloads/2023/09/20230907-2023-CopperWorld-PFS_FINAL.pdf" r:id="rId85"/>
    <hyperlink xmlns:r="http://schemas.openxmlformats.org/officeDocument/2006/relationships" ref="F87" display="https://dpmmetals.com/site/assets/files/16692/g7869_dpm_coka_rakita_ni43101_pea_tech_report_11jun2024_1.pdf" r:id="rId86"/>
    <hyperlink xmlns:r="http://schemas.openxmlformats.org/officeDocument/2006/relationships" ref="F88" display="https://www.i80gold.com/wp-content/uploads/2025/03/Granite-Creek-PEA-Technical-Report-Final-03_31_25.pdf" r:id="rId87"/>
    <hyperlink xmlns:r="http://schemas.openxmlformats.org/officeDocument/2006/relationships" ref="F89" display="https://lundinmining.com/site/assets/files/8410/josemaria_resources_technical_report.pdf" r:id="rId88"/>
    <hyperlink xmlns:r="http://schemas.openxmlformats.org/officeDocument/2006/relationships" ref="F90" display="https://www.sec.gov/Archives/edgar/data/1013131/000141057825001056/tmb-20241231xex96d2.pdf" r:id="rId89"/>
    <hyperlink xmlns:r="http://schemas.openxmlformats.org/officeDocument/2006/relationships" ref="F91" display="https://coststudyfiles.ucdavis.edu/2024/09/30/AlmondsSJVNorth%20Final%20draft4.pdf" r:id="rId90"/>
    <hyperlink xmlns:r="http://schemas.openxmlformats.org/officeDocument/2006/relationships" ref="F92" display="https://www.extension.iastate.edu/agdm/wholefarm/html/c2-77.html" r:id="rId91"/>
    <hyperlink xmlns:r="http://schemas.openxmlformats.org/officeDocument/2006/relationships" ref="F93" display="https://bugwoodcloud.org/bugwood/productivity/pdfs/2017_pubs-BW-04_loblolly_24-versus_33-yr_rotation_age_econ_Dec_2017.pdf" r:id="rId92"/>
    <hyperlink xmlns:r="http://schemas.openxmlformats.org/officeDocument/2006/relationships" ref="F94" display="https://www.timbertax.org/getstarted/appraisal/papers/pdf/ajoct96.PDF" r:id="rId93"/>
    <hyperlink xmlns:r="http://schemas.openxmlformats.org/officeDocument/2006/relationships" ref="F95" display="https://scuervo91.github.io/dcapy/" r:id="rId94"/>
    <hyperlink xmlns:r="http://schemas.openxmlformats.org/officeDocument/2006/relationships" ref="F96" display="https://pbt-permian.com/wp-content/uploads/2025/04/PermianBasin24AR.pdf" r:id="rId95"/>
    <hyperlink xmlns:r="http://schemas.openxmlformats.org/officeDocument/2006/relationships" ref="F97" display="https://www.sec.gov/Archives/edgar/data/1520006/000152000621000056/a20201231mtdr10-kex991.htm" r:id="rId96"/>
    <hyperlink xmlns:r="http://schemas.openxmlformats.org/officeDocument/2006/relationships" ref="F98" display="https://www.sec.gov/Archives/edgar/data/66496/000119312524082941/d771438d10k.htm" r:id="rId97"/>
    <hyperlink xmlns:r="http://schemas.openxmlformats.org/officeDocument/2006/relationships" ref="F99" display="https://www.royaltypharma.com/wp-content/uploads/2025/02/royalty-pharma-q4-2024-10k.pdf" r:id="rId98"/>
    <hyperlink xmlns:r="http://schemas.openxmlformats.org/officeDocument/2006/relationships" ref="F100" display="https://www.airleasecorp.com/storage/annual_reports/46f604e4-2540-4230-b246-b84049e42a1f.pdf" r:id="rId99"/>
    <hyperlink xmlns:r="http://schemas.openxmlformats.org/officeDocument/2006/relationships" ref="F101" display="https://www.sec.gov/Archives/edgar/data/40211/000004021117000012/gatx20161231-10k.htm" r:id="rId100"/>
    <hyperlink xmlns:r="http://schemas.openxmlformats.org/officeDocument/2006/relationships" ref="F102" display="https://s2.q4cdn.com/951507448/files/doc_downloads/Proxy_Materials/2025/2024-Annual-Report.pdf" r:id="rId101"/>
    <hyperlink xmlns:r="http://schemas.openxmlformats.org/officeDocument/2006/relationships" ref="F103" display="https://cdm.unfccc.int/methodologies/PAmethodologies/tools/am-tool-01-v6.1.0.pdf" r:id="rId102"/>
    <hyperlink xmlns:r="http://schemas.openxmlformats.org/officeDocument/2006/relationships" ref="F104" display="https://verra.org/methodologies/vm0047-afforestation-reforestation-and-revegetation-v1-1/" r:id="rId103"/>
    <hyperlink xmlns:r="http://schemas.openxmlformats.org/officeDocument/2006/relationships" ref="F105" display="https://tpcases.com/category/oecd-transfer-pricing-guidelines-2022/tpg2022-annex-i-to-chapter-vi-examples-on-intangibles/" r:id="rId104"/>
    <hyperlink xmlns:r="http://schemas.openxmlformats.org/officeDocument/2006/relationships" ref="F106" display="https://www.sec.gov/Archives/edgar/data/1522690/000121390020007722/f10k2019_gwgholdings.htm" r:id="rId105"/>
    <hyperlink xmlns:r="http://schemas.openxmlformats.org/officeDocument/2006/relationships" ref="F107" display="https://s206.q4cdn.com/737820215/files/doc_financials/2023/ar/2024-03-28-Burford-Capital-2023-Annual-Report-FINAL-1449672-1.pdf" r:id="rId10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4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7" min="1" max="1"/>
    <col width="30" customWidth="1" style="17" min="2" max="2"/>
    <col width="40" customWidth="1" style="17" min="3" max="3"/>
    <col width="26" customWidth="1" style="17" min="4" max="4"/>
    <col width="44" customWidth="1" style="17" min="5" max="5"/>
    <col width="46" customWidth="1" style="17" min="6" max="6"/>
    <col width="56" customWidth="1" style="17" min="7" max="7"/>
    <col width="66" customWidth="1" style="17" min="8" max="9"/>
    <col width="46" customWidth="1" style="17" min="10" max="11"/>
    <col width="44" customWidth="1" style="17" min="12" max="13"/>
  </cols>
  <sheetData>
    <row r="1" ht="30" customHeight="1" s="18">
      <c r="A1" s="23" t="inlineStr">
        <is>
          <t>ID</t>
        </is>
      </c>
      <c r="B1" s="23" t="inlineStr">
        <is>
          <t>Domain</t>
        </is>
      </c>
      <c r="C1" s="23" t="inlineStr">
        <is>
          <t>Candidate asset class</t>
        </is>
      </c>
      <c r="D1" s="23" t="inlineStr">
        <is>
          <t>Tier</t>
        </is>
      </c>
      <c r="E1" s="23" t="inlineStr">
        <is>
          <t>Gating engine capability</t>
        </is>
      </c>
      <c r="F1" s="23" t="inlineStr">
        <is>
          <t>What it is</t>
        </is>
      </c>
      <c r="G1" s="23" t="inlineStr">
        <is>
          <t>How practitioners value it</t>
        </is>
      </c>
      <c r="H1" s="23" t="inlineStr">
        <is>
          <t>Distinctive cash flow mechanics</t>
        </is>
      </c>
      <c r="I1" s="23" t="inlineStr">
        <is>
          <t>Required capabilities</t>
        </is>
      </c>
      <c r="J1" s="23" t="inlineStr">
        <is>
          <t>Reuse from existing packs</t>
        </is>
      </c>
      <c r="K1" s="23" t="inlineStr">
        <is>
          <t>Market size (as cited)</t>
        </is>
      </c>
      <c r="L1" s="23" t="inlineStr">
        <is>
          <t>Who would use the pack</t>
        </is>
      </c>
      <c r="M1" s="23" t="inlineStr">
        <is>
          <t>Evidence</t>
        </is>
      </c>
    </row>
    <row r="2" ht="150" customHeight="1" s="18">
      <c r="A2" s="24" t="n">
        <v>1</v>
      </c>
      <c r="B2" s="24" t="inlineStr">
        <is>
          <t>Real assets, infrastructure &amp; natural resources</t>
        </is>
      </c>
      <c r="C2" s="24" t="inlineStr">
        <is>
          <t>Hospitality / Hotels</t>
        </is>
      </c>
      <c r="D2" s="30" t="inlineStr">
        <is>
          <t>Tier 1 — near term</t>
        </is>
      </c>
      <c r="E2" s="24" t="inlineStr">
        <is>
          <t>Per-period state: one accumulating FF&amp;E reserve balance</t>
        </is>
      </c>
      <c r="F2" s="24" t="inlineStr">
        <is>
          <t>Operating real estate where the 'lease' is a one-night contract, so the asset is really a branded operating business sitting on a building.</t>
        </is>
      </c>
      <c r="G2" s="24" t="inlineStr">
        <is>
          <t>Ten-year unlevered DCF of a USALI Summary Operating Statement (department-by-department revenue and expense build from occupancy x ADR), down to EBITDA less an FF&amp;E replacement reserve, with a terminal value set by capping stabilized year-11 NOI; cross-checked against price-per-key and EBITDA multiples. Levered returns run off a hotel CMBS/bridge loan with cash-trap and PIP-reserve triggers.</t>
        </is>
      </c>
      <c r="H2" s="24" t="inlineStr">
        <is>
          <t>• Revenue is built as rooms available x occupancy x ADR, with seasonality at monthly (often daily-of-week) granularity, plus F&amp;B, banquet, spa, parking and resort-fee 'other operated departments' each with their own flow-through margin.
• USALI cost structure is three-tier: departmental expenses (variable, tied to each department's revenue), undistributed operating expenses (A&amp;G, sales &amp; marketing, property ops, energy — semi-fixed with a fixed/variable split), then fixed charges (taxes, insurance, ground rent).
• Manager compensation is a base fee (% of total revenue) plus an incentive fee that is a % of the amount by which GOP or NOI exceeds an owner's-priority threshold — i.e. a threshold-and-participation formula, not a flat rate.
• An FF&amp;E reserve accrues as a % of revenue into a balance that is drawn down by lumpy renovations/PIPs; the brand's Property Improvement Plan is a scheduled capital event tied to franchise-agreement renewal dates.
• Ramp/stabilization: a new or repositioned hotel has a 2-4 year occupancy and rate ramp with displacement during renovation (rooms out of service reducing available room-nights).</t>
        </is>
      </c>
      <c r="I2" s="24" t="inlineStr">
        <is>
          <t>• Requires per-period persistent state to carry an FF&amp;E reserve balance: accrue as a % of revenue, draw against it for renovation capex, and let the balance go to zero (not negative) with the shortfall funded by the owner.
• Requires piecewise/threshold expressions for incentive management fees: fee = pct * max(0, GOP - owner_priority), where owner_priority is itself a function of invested capital.
• Requires a fixed/variable expense decomposition primitive: expense = fixed_base * inflation_index + variable_rate * driver, applied per department.
• Requires monthly seasonality indices applied multiplicatively to occupancy and ADR, with the ability to hold ADR growth and occupancy growth as separate driver curves.
• Requires room-nights-out-of-service as a capacity reduction driver tied to a dated renovation schedule.
• Requires debt with performance-triggered cash traps (DSCR/debt-yield tests that divert cash from distributions into a reserve) — i.e. conditional routing of cash between accounts based on a computed ratio.</t>
        </is>
      </c>
      <c r="J2" s="24" t="inlineStr">
        <is>
          <t>~45% reuse. CRE pack supplies the property-level NOI stack, terminal cap rate exit, property taxes/insurance and the property-debt module; OPCO pack supplies revenue/opex lines, an inflation-indexed cost base and cash taxes. New: occupancy x ADR revenue engine, USALI department hierarchy, FF&amp;E reserve state, incentive-fee thresholds, PIP schedule. There is no lease-by-lease reuse at all — hotels have no rent roll.</t>
        </is>
      </c>
      <c r="K2" s="24" t="inlineStr">
        <is>
          <t>US hotel transaction volume reached $24 billion in 2025, up 17.5% year over year (JLL). New York alone traded $3.7bn across 29 deals.</t>
        </is>
      </c>
      <c r="L2" s="24" t="inlineStr">
        <is>
          <t>Hotel-focused private equity (Blackstone RE, Starwood, KSL, Noble), hotel REIT asset-management teams, hotel brokerage/valuation desks (JLL Hotels, HVS), and hotel CMBS/bridge lenders underwriting cash-trap covenants.</t>
        </is>
      </c>
      <c r="M2" s="24" t="inlineStr">
        <is>
          <t>• https://hospitalityfinancenetwork.com/usali-pl-structure-summary-operating-statement-a-practical-guide/
• https://www.jll.com/en-us/newsroom/jll-releases-2025-us-hotel-investment-trends-report</t>
        </is>
      </c>
    </row>
    <row r="3" ht="150" customHeight="1" s="18">
      <c r="A3" s="28" t="n">
        <v>2</v>
      </c>
      <c r="B3" s="28" t="inlineStr">
        <is>
          <t>Real assets, infrastructure &amp; natural resources</t>
        </is>
      </c>
      <c r="C3" s="28" t="inlineStr">
        <is>
          <t>Self-Storage</t>
        </is>
      </c>
      <c r="D3" s="31" t="inlineStr">
        <is>
          <t>Tier 2 — gated on cohort state</t>
        </is>
      </c>
      <c r="E3" s="28" t="inlineStr">
        <is>
          <t>Cohort/vintage stock vector carried across periods</t>
        </is>
      </c>
      <c r="F3" s="28" t="inlineStr">
        <is>
          <t>Month-to-month rented storage units where the whole return comes from repricing a captive in-place customer base faster than they churn.</t>
        </is>
      </c>
      <c r="G3" s="28" t="inlineStr">
        <is>
          <t>Direct capitalization of stabilized NOI plus a 3-10 year DCF for lease-up/expansion stories; underwriting centers on the spread between street rate (what a new customer pays) and in-place rate (what the existing base pays), the ECRI schedule that closes that gap, and the resulting move-out response.</t>
        </is>
      </c>
      <c r="H3" s="28" t="inlineStr">
        <is>
          <t>• Two distinct rate series: a street rate that clears the market and moves with local supply, and an in-place rate that is a weighted average of tenant vintages. New move-ins enter at street rate (often with a $1-first-month or 50%-off concession that amortizes off over 2-3 months).
• ECRI (Existing Customer Rate Increase): tenants receive a step increase (commonly 8-15%) roughly 6-12 months after move-in and annually thereafter, which mechanically raises the in-place rate but induces an elevated move-out hazard in the month following the increase.
• Tenant base is a cohort/vintage stock: each month's move-in cohort ages, decays at a length-of-stay hazard curve, and carries its own rate. Occupancy is a stock updated by move-ins minus move-outs, not an assumption.
• Ancillary revenue is meaningful and rate-independent: tenant insurance/protection plans (high-margin, attach-rate driven), late fees, admin fees, and merchandise.
• Lease-up of a new facility follows a physical-occupancy fill curve over 24-36 months with rate concessions front-loaded, so economic occupancy lags physical occupancy by a modeled spread.
• Expenses are dominated by property tax, payroll (often shared across a 3rd-party-managed cluster), marketing/paid-search cost per rental, and a management fee at ~6% of revenue; capex is very light (no TI, no leasing commissions).</t>
        </is>
      </c>
      <c r="I3" s="28" t="inlineStr">
        <is>
          <t>• Requires per-period persistent state for a cohort/vintage stock: a vector of tenant cohorts each carrying (count, in-place rate, months-since-move-in) that rolls forward with move-in inflow and hazard-driven outflow.
• Requires an event-triggered rate step keyed to cohort age (apply ECRI at month 10, then every 12 months), with a move-out probability that is itself a function of the size of the increase applied.
• Requires occupancy as a derived stock rather than an input: physical_occupancy[t] = physical_occupancy[t-1] + move_ins[t] - move_outs[t], bounded by unit count.
• Requires concession amortization: a discount applied only to the first N months of each cohort's tenure, so economic and physical occupancy diverge in a computable way.
• Requires attach-rate driven ancillary revenue lines keyed to occupied units rather than to rent.</t>
        </is>
      </c>
      <c r="J3" s="28" t="inlineStr">
        <is>
          <t>~35% reuse. CRE pack supplies the NOI stack, expense inflation, exit cap and property debt. CREDIT pack's pool-decay machinery (CPR-style prepayment hazards applied to a pool) is a surprisingly close analogue for length-of-stay decay and is the highest-value cross-pack reuse. New: the cohort/vintage rate engine, ECRI step-and-churn coupling, concession amortization, physical-vs-economic occupancy.</t>
        </is>
      </c>
      <c r="K3" s="28" t="inlineStr">
        <is>
          <t>US self-storage is ~52,301 facilities and ~2.099 billion rentable square feet, generating an estimated $44.3 billion of annual revenue (2024); public REITs and major operators control 59.8% of rentable space, leaving ~40% in fragmented hands.</t>
        </is>
      </c>
      <c r="L3" s="28" t="inlineStr">
        <is>
          <t>Self-storage aggregators and value-add funds, storage REIT (Public Storage, Extra Space, CubeSmart) underwriting and revenue-management teams, and lenders/appraisers who need to sanity-check ECRI-driven NOI growth.</t>
        </is>
      </c>
      <c r="M3" s="28" t="inlineStr">
        <is>
          <t>• https://www.sparefoot.com/blog/self-storage-industry-statistics</t>
        </is>
      </c>
    </row>
    <row r="4" ht="150" customHeight="1" s="18">
      <c r="A4" s="24" t="n">
        <v>3</v>
      </c>
      <c r="B4" s="24" t="inlineStr">
        <is>
          <t>Real assets, infrastructure &amp; natural resources</t>
        </is>
      </c>
      <c r="C4" s="24" t="inlineStr">
        <is>
          <t>Seniors Housing &amp; Care (IL / AL / Memory Care, RIDEA structures)</t>
        </is>
      </c>
      <c r="D4" s="31" t="inlineStr">
        <is>
          <t>Tier 2 — gated on cohort state</t>
        </is>
      </c>
      <c r="E4" s="24" t="inlineStr">
        <is>
          <t>Cohort stock with acuity-state migration</t>
        </is>
      </c>
      <c r="F4" s="24" t="inlineStr">
        <is>
          <t>Needs-based residential real estate bundled with a labor-intensive care operation, where the owner takes operating risk through a RIDEA/TRS structure.</t>
        </is>
      </c>
      <c r="G4" s="24" t="inlineStr">
        <is>
          <t>DCF or direct cap of property-level NOI after a management fee, built from unit-mix x occupancy x monthly rate plus care revenue, less a labor-dominated expense base; per-unit pricing and cap rates are the cross-check. Under RIDEA the REIT/owner consolidates the operating P&amp;L rather than receiving a triple-net rent, so the model must run the operator's income statement.</t>
        </is>
      </c>
      <c r="H4" s="24" t="inlineStr">
        <is>
          <t>• Revenue has two stacked components: base rent per unit by acuity level (IL / AL / memory care) and a care-level charge (levels 1-5, or a points-based assessment) that reprices as a resident's acuity increases over their stay.
• Resident turnover is driven by mortality/morbidity, not lease expiry: average length of stay of ~18-30 months in AL vs 5-7 years in IL, so move-outs are a hazard function of the resident cohort, and each move-out triggers a unit turn cost and re-lease at market rate (a mark-to-market gain).
• Expense base is ~55-70% labor, with agency/contract labor as a premium-priced overflow line when in-house staffing falls short; staffing hours are driven by resident count and acuity mix (hours per resident day), not by square footage.
• Care revenue and staffing cost are both functions of acuity mix, so margin is a nonlinear function of the acuity distribution of the resident cohort.
• New communities have very long fill-up (24-40 months) with an operating-deficit period during which the property burns cash before crossing breakeven occupancy (~70-80%).
• In a RIDEA structure the property owner pays the operator a management fee (typically 4-6% of gross revenue, sometimes with an incentive tier), and the REIT/TRS pays taxes on the operating income.</t>
        </is>
      </c>
      <c r="I4" s="24" t="inlineStr">
        <is>
          <t>• Requires per-period persistent state for a resident cohort stock segmented by acuity level, with transitions between acuity levels over time (a Markov-style migration matrix applied period to period), not just a single occupancy scalar.
• Requires length-of-stay hazard curves driving move-outs, with each move-out generating both a unit-turn cost and a re-lease at prevailing market rate (loss-to-lease burn-off).
• Requires staffing cost derived from a driver chain: resident_days x hours_per_resident_day(acuity) x wage_rate(inflating on a separate wage curve), with an overflow tier priced at an agency premium above a capacity threshold.
• Requires an operating-deficit / cash-burn period during fill-up where negative NOI is funded from an equity reserve that must be carried as a balance.
• Requires the ability to place a taxable operating entity (TRS) inside the structure, so operating income is taxed while rental income is not.</t>
        </is>
      </c>
      <c r="J4" s="24" t="inlineStr">
        <is>
          <t>~40% reuse. CRE pack supplies unit-based rent roll, rollover/downtime and exit cap; OPCO pack supplies the labor/opex line structure, working capital, cash taxes and the management-fee layer. New: acuity-level state machine, LOS hazard cohorts, hours-per-resident-day staffing driver, fill-up deficit funding.</t>
        </is>
      </c>
      <c r="K4" s="24" t="inlineStr">
        <is>
          <t>Rolling four-quarter US seniors housing transaction volume was $21.8 billion as of Q3 2025, up 40% year over year, at $174,000 per unit; NIC estimates more than $1 trillion of required investment by 2041 against an ~$800 billion supply gap. Q3 2025 occupancy was 88.7% with same-store asking rents +4.3% y/y.</t>
        </is>
      </c>
      <c r="L4" s="24" t="inlineStr">
        <is>
          <t>Healthcare REITs (Welltower, Ventas) RIDEA underwriting teams, seniors-housing private equity, HUD/Fannie/Freddie seniors lenders, and operator-owner JVs modeling incentive management fees.</t>
        </is>
      </c>
      <c r="M4" s="24" t="inlineStr">
        <is>
          <t>• https://www.nicmap.com/blog/senior-housing-five-key-trends-to-watch-in-2026/
• https://www.nic.org/industry-faqs/metrics-for-seniors-housing-care-property-market/</t>
        </is>
      </c>
    </row>
    <row r="5" ht="150" customHeight="1" s="18">
      <c r="A5" s="28" t="n">
        <v>4</v>
      </c>
      <c r="B5" s="28" t="inlineStr">
        <is>
          <t>Real assets, infrastructure &amp; natural resources</t>
        </is>
      </c>
      <c r="C5" s="28" t="inlineStr">
        <is>
          <t>Single-Family Rental / Build-to-Rent</t>
        </is>
      </c>
      <c r="D5" s="31" t="inlineStr">
        <is>
          <t>Tier 2 — gated on cohort state</t>
        </is>
      </c>
      <c r="E5" s="28" t="inlineStr">
        <is>
          <t>Home-count stock plus amendable debt balance (release prices)</t>
        </is>
      </c>
      <c r="F5" s="28" t="inlineStr">
        <is>
          <t>Scattered-site or purpose-built detached rental homes operated as a portfolio, where returns come from rent growth plus home-price appreciation on thousands of individually-titled assets.</t>
        </is>
      </c>
      <c r="G5" s="28" t="inlineStr">
        <is>
          <t>Portfolio-level DCF of net rental cash flow plus a terminal value set either as a cap rate on stabilized NOI or as a per-home 'broker price opinion' exit reflecting owner-occupier resale value; institutional SFR is also valued as a levered pool against SFR securitization (single-borrower SFR ABS) with an implied cap rate and a home-price index overlay. BTR communities are underwritten like merchant-built multifamily: yield-on-cost vs exit cap.</t>
        </is>
      </c>
      <c r="H5" s="28" t="inlineStr">
        <is>
          <t>• Dual exit: homes can be sold either into the institutional bulk market at a cap rate or one-by-one into the retail owner-occupier market at BPO value, with a disposition pacing schedule and per-home selling costs (~6-8%). This is an optionality the model has to price.
• Turnover economics dominate: annual turnover of 25-35%, each turn incurring days-vacant (30-60), make-ready cost ($2-4k), and a leasing/marketing cost; renewals get a smaller rent bump than new leases, so blended rent growth is a mix of renewal spread and new-lease spread weighted by turnover.
• Cost line items are scattered-site specific: property tax reassessed per-home on transfer (with state-specific caps like Florida's Save Our Homes / California Prop 13), HOA dues, per-home insurance with wind/hail deductibles, R&amp;M and recurring capex per home, and a property-management fee at ~7-8% of collected rent.
• Acquisition/disposition happens continuously: a buy-box acquisition pace, a renovation period per home during which it produces no rent, and a stabilization lag.
• Bad debt / delinquency and eviction timelines are a material and jurisdiction-specific drag on collected vs billed rent.
• Financing is a hybrid: SFR ABS/agency debt sized on a portfolio DSCR with release prices per home when individual homes are sold out of the collateral pool.</t>
        </is>
      </c>
      <c r="I5" s="28" t="inlineStr">
        <is>
          <t>• Requires per-period persistent state for a home-count stock: homes are acquired, sit in renovation, stabilize, occupy, turn, and are disposed — each transition changing which cash flows the home produces.
• Requires collateral release mechanics: selling an individual home out of a financed pool must reduce the debt balance by a release price (typically 105-115% of allocated loan amount), which requires a debt balance carried as state and amended by non-scheduled paydowns.
• Requires turnover as an explicit driver generating three coupled effects in the same period — vacancy loss, make-ready capex, and a rent mark-to-market — rather than a single 'vacancy %' haircut.
• Requires a home-price index as a separate stochastic driver from the rent index, since the exit value depends on HPI while NOI depends on rent.
• Requires per-jurisdiction tax reassessment rules: property_tax = min(assessed_growth_cap, market_value_growth) applied to a carried assessed-value basis, with a step-up on transfer.
• Requires billed-vs-collected rent separation with a delinquency roll and eviction lag.</t>
        </is>
      </c>
      <c r="J5" s="28" t="inlineStr">
        <is>
          <t>~55% reuse. CRE pack supplies the rent roll, rollover-with-downtime, expense stops (not used) and exit cap; CREDIT pack supplies pool-level decay and the amortizing-debt module, which maps well onto disposition pacing and release prices; OPCO pack supplies the fee/opex layer. New: dual-exit optionality, release prices, HPI vs rent index split, per-home tax reassessment.</t>
        </is>
      </c>
      <c r="K5" s="28" t="inlineStr">
        <is>
          <t>GAO (2026) found institutional investors — defined as owners of 5,000+ single-family homes across 5+ metros — owned less than 1% (Cincinnati, Seattle) to 3% of all single-family homes in the six metros studied, but 4% (Seattle) to 22% (Jacksonville) of single-family *rental* homes as of 2024, with the largest increases in 2021-2023.</t>
        </is>
      </c>
      <c r="L5" s="28" t="inlineStr">
        <is>
          <t>SFR/BTR funds and REITs (Invitation Homes, Progress Residential, Tricon), BTR merchant developers, SFR ABS issuers and rating-agency/investor analysts, and debt funds writing SFR portfolio loans.</t>
        </is>
      </c>
      <c r="M5" s="28" t="inlineStr">
        <is>
          <t>• https://www.gao.gov/products/gao-26-108675</t>
        </is>
      </c>
    </row>
    <row r="6" ht="150" customHeight="1" s="18">
      <c r="A6" s="24" t="n">
        <v>5</v>
      </c>
      <c r="B6" s="24" t="inlineStr">
        <is>
          <t>Real assets, infrastructure &amp; natural resources</t>
        </is>
      </c>
      <c r="C6" s="24" t="inlineStr">
        <is>
          <t>Data Centers</t>
        </is>
      </c>
      <c r="D6" s="30" t="inlineStr">
        <is>
          <t>Tier 1 — near term</t>
        </is>
      </c>
      <c r="E6" s="24" t="inlineStr">
        <is>
          <t>Closed-form, plus a capitalised construction-interest balance</t>
        </is>
      </c>
      <c r="F6" s="24" t="inlineStr">
        <is>
          <t>Power-delivery real estate leased by the megawatt to hyperscalers and colocation tenants, where the scarce good is contracted grid capacity rather than square footage.</t>
        </is>
      </c>
      <c r="G6" s="24" t="inlineStr">
        <is>
          <t>Yield-on-cost development DCF (cost per MW built vs stabilized NOI per MW) plus a stabilized-asset DCF/cap rate; hyperscale build-to-suit is essentially credit-tenant project finance against a 15-year investment-grade lease, while multi-tenant colocation is valued closer to an operating business on EBITDA multiples with churn and utilization risk.</t>
        </is>
      </c>
      <c r="H6" s="24" t="inlineStr">
        <is>
          <t>• The unit of account is critical IT load in MW (and $/kW/month), not $/sq ft. Leases are sized on contracted capacity with a committed-vs-actual draw, and rent is charged on contracted kW whether or not the tenant uses it.
• Power is a pass-through with a PUE multiplier: the tenant reimburses metered IT power times PUE (~1.2-1.5), so the landlord takes basis risk on PUE and on any gap between contracted and metered power. In some structures power is a fixed gross recovery, creating real commodity exposure.
• Delivery is phased in tranches: a campus is built in 20-50MW blocks with distinct energization dates governed by utility interconnection queue positions, so revenue start dates depend on a grid milestone the developer doesn't fully control.
• Leases are long (10-20 years for hyperscale) with fixed 2-3% escalators, tenant-funded or landlord-funded fit-out amortized into rent, and heavy TI at the powered-shell-to-turnkey boundary.
• Capacity charges from the utility and demand charges are a fixed cost that begins at energization regardless of lease commencement, creating a negative-carry window.
• Retail colocation adds cross-connect/interconnection revenue and monthly churn (~0.5-1%/month) against a very different, shorter-duration lease book.</t>
        </is>
      </c>
      <c r="I6" s="24" t="inlineStr">
        <is>
          <t>• Requires a capacity dimension distinct from area: contracts denominated in kW with a contracted-vs-utilized split, so revenue = contracted_kW * rate and cost = utilized_kW * PUE * power_price.
• Requires milestone-gated revenue commencement: a phase's cash flows begin at max(construction_complete, energization_date), where energization is a separate dated driver that can slip and shift everything downstream.
• Requires per-phase construction draw schedules with capitalized interest accruing on a construction loan balance until conversion to permanent debt — i.e. an interest-accrual balance carried across periods.
• Requires an electricity price curve joined to a PUE assumption, and the ability to model both full-pass-through and gross-recovery regimes as a switch.
• Requires stacked-phase aggregation: N phases each with their own lease, escalator, term and TI amortization, rolled up into one asset-level cash flow.
• Requires an ITC/MACRS-style treatment for on-site generation and BESS where present.</t>
        </is>
      </c>
      <c r="J6" s="24" t="inlineStr">
        <is>
          <t>~50% reuse. CRE pack supplies lease-by-lease rent, escalators, TI/LC, recoveries (the PUE pass-through is structurally an expense-stop/recovery variant) and exit cap; ENERGY pack supplies power price curves, interconnection/energization milestones, capacity charges and MACRS/ITC for on-site generation. New: MW-denominated contracts, PUE mechanics, phased-energization gating, capitalized construction interest.</t>
        </is>
      </c>
      <c r="K6" s="24" t="inlineStr">
        <is>
          <t>North American primary-market data center supply hit a record 8,155 MW in H1 2025 with 5,242.5 MW under construction and 74.3% of that already preleased; vacancy fell to a record-low 1.6%. Global pricing averaged $217.30 per kW per month in Q1 2025, +3.3% y/y, with Northern Virginia vacancy at 0.76%.</t>
        </is>
      </c>
      <c r="L6" s="24" t="inlineStr">
        <is>
          <t>Digital-infrastructure funds (DigitalBridge, Blue Owl, KKR, Brookfield), hyperscaler real-estate finance teams, data center developers' capital-markets groups, and lenders underwriting data center CMBS/ABS.</t>
        </is>
      </c>
      <c r="M6" s="24" t="inlineStr">
        <is>
          <t>• https://www.cbre.com/insights/reports/north-america-data-center-trends-h1-2025
• https://www.cbre.com/insights/reports/global-data-center-trends-2025</t>
        </is>
      </c>
    </row>
    <row r="7" ht="150" customHeight="1" s="18">
      <c r="A7" s="28" t="n">
        <v>6</v>
      </c>
      <c r="B7" s="28" t="inlineStr">
        <is>
          <t>Real assets, infrastructure &amp; natural resources</t>
        </is>
      </c>
      <c r="C7" s="28" t="inlineStr">
        <is>
          <t>Telecom Towers &amp; Cell-Site Ground Leases</t>
        </is>
      </c>
      <c r="D7" s="30" t="inlineStr">
        <is>
          <t>Tier 1 — near term</t>
        </is>
      </c>
      <c r="E7" s="28" t="inlineStr">
        <is>
          <t>None new — expressible against today's engine</t>
        </is>
      </c>
      <c r="F7" s="28" t="inlineStr">
        <is>
          <t>Vertical real estate leased to mobile network operators, where a single incremental tenant on an existing structure carries near-100% incremental margin.</t>
        </is>
      </c>
      <c r="G7" s="28" t="inlineStr">
        <is>
          <t>DCF of contracted tower cash flow with explicit lease-up and amendment layers, cross-checked to EV/tower and EV/tower-cash-flow (or EBITDA) transaction multiples; ground-lease aggregators separately value the strip of underlying land rents as a long-duration annuity at a spread to a real yield.</t>
        </is>
      </c>
      <c r="H7" s="28" t="inlineStr">
        <is>
          <t>• Tenancy ratio is the core value driver: revenue is a stack of independent tenant leases on one structure, where tenant 2 and 3 add revenue with essentially zero incremental cost, so margin is a step function of tenancy count.
• Amendments: an existing tenant adding equipment (new radios, a 5G upgrade) triggers a mid-term rent increase without a new lease — a separate revenue layer with its own arrival rate, distinct from new co-location.
• Escalators are contractual and usually fixed (3% US) or CPI-linked (international), applied to each tenant lease independently from its own commencement anniversary.
• Ground lease is the dominant cost and a genuine liability: the towerco pays rent to the landowner, often with its own escalator, and value is created by buying out or extending ground leases (converting an expense stream into an asset). Ground-lease expiry is a real terminal risk.
• Churn is lumpy and consolidation-driven: an MNO merger causes decommissioning of overlapping sites at a specific future date, not a smooth annual churn rate.
• Very long implied duration: DCFs run 20-40 years or into perpetuity with terminal growth, because the structure has no meaningful economic life limit.</t>
        </is>
      </c>
      <c r="I7" s="28" t="inlineStr">
        <is>
          <t>• Requires stacked independent contracts on a shared asset, each with its own commencement date, term, escalator basis and renewal option, aggregated to a site level and then to a portfolio level.
• Requires a lease-up arrival process: new tenants and amendments arriving per site per year as a rate (or a seeded stochastic draw in Monte Carlo), each initiating a new revenue layer at prevailing market rent.
• Requires dated, non-smooth churn events (decommission N sites in year Y from a named counterparty) rather than a percentage churn assumption.
• Requires modeling the ground lease as a contra-revenue stream with its own escalator and expiry, plus the ability to evaluate a ground-lease buyout as a capital event that removes the expense and extends the asset's life.
• Requires a perpetuity/terminal-growth terminal value on an unlevered stream, with a switch to a multiple-based exit for cross-check.</t>
        </is>
      </c>
      <c r="J7" s="28" t="inlineStr">
        <is>
          <t>~60% reuse. CRE pack's lease-by-lease engine is a very close fit (escalators, expiry, renewal options, downtime) and is the single strongest reuse case across this whole list; OPCO pack supplies the corporate overhead and term-debt layer. New: tenancy-ratio step margins, amendment arrival, ground-lease-as-liability and buyout, MNO-consolidation churn events.</t>
        </is>
      </c>
      <c r="K7" s="28" t="inlineStr">
        <is>
          <t>European tower transactions since 2015 have priced across an EV/tower range of $82k to $817k, with the Inwit merger implying a ~24x EBITDA multiple (Grant Thornton). Towers are one of the largest single categories within private infrastructure, which Preqin forecasts growing from $1.27tn AUM in 2023 to $2.35tn by 2029.</t>
        </is>
      </c>
      <c r="L7" s="28" t="inlineStr">
        <is>
          <t>Digital-infrastructure and core-plus infrastructure funds, towerco corporate development (American Tower, Cellnex, Vantage), cell-site ground-lease aggregators (Radius, Landmark), and infra debt/private-placement investors.</t>
        </is>
      </c>
      <c r="M7" s="28" t="inlineStr">
        <is>
          <t>• https://www.grantthornton.co.uk/insights/understanding-value-drivers-in-telco-tower-valuations/
• https://www.preqin.com/insights/research/blogs/preqin-forecasts-global-alternatives-aum-to-rise-to-usd29-22tn-by-2029</t>
        </is>
      </c>
    </row>
    <row r="8" ht="150" customHeight="1" s="18">
      <c r="A8" s="24" t="n">
        <v>7</v>
      </c>
      <c r="B8" s="24" t="inlineStr">
        <is>
          <t>Real assets, infrastructure &amp; natural resources</t>
        </is>
      </c>
      <c r="C8" s="24" t="inlineStr">
        <is>
          <t>Fiber Networks (FTTH / Open-Access / Enterprise Dark Fiber)</t>
        </is>
      </c>
      <c r="D8" s="31" t="inlineStr">
        <is>
          <t>Tier 2 — gated on cohort state</t>
        </is>
      </c>
      <c r="E8" s="24" t="inlineStr">
        <is>
          <t>Subscriber-stock cohorts; endogenous success-based capex</t>
        </is>
      </c>
      <c r="F8" s="24" t="inlineStr">
        <is>
          <t>Buried passive network assets monetized by converting homes-passed into homes-connected at a subscription ARPU.</t>
        </is>
      </c>
      <c r="G8" s="24" t="inlineStr">
        <is>
          <t>Build-out DCF at the market/cohort level: capex per home passed, then success-based capex per home connected, against a penetration ramp toward a terminal take rate, discounted at a 12-15% equity hurdle; secondary trades price on EV/EBITDA or EV/homes-passed. Government-subsidized builds (BEAD) are modeled as grant-offset capex with committed coverage obligations.</t>
        </is>
      </c>
      <c r="H8" s="24" t="inlineStr">
        <is>
          <t>• Two-stage capex: a fixed cost per home passed incurred at build (independent of whether anyone subscribes), then a success-based CPE + drop cost per home connected incurred only on activation. This makes returns extremely sensitive to the penetration S-curve.
• Penetration follows an S-curve toward a terminal take rate (typically 35-50%), with the shape depending on competitive intensity — an overbuild by a second FTTH provider or fixed-wireless entrant permanently lowers the terminal take rate mid-model.
• Subscriber base is a stock with gross adds and churn: net_subs[t] = net_subs[t-1] + gross_adds[t] - churn_rate * net_subs[t-1], with promotional ARPU rolling to rack rate after 12 months.
• Grant funding (BEAD, RDOF, state programs) arrives as milestone-based reimbursement against qualifying capex, with clawback risk if coverage obligations are missed, and changes both the capex basis and the depreciation/tax basis.
• Wholesale/open-access models layer a second revenue stream: ISPs pay a per-subscriber wholesale fee on the same physical plant, so one network has both retail and wholesale monetization with different margins.
• Enterprise/dark-fiber and small-cell backhaul contracts are long-term IRUs recognized as prepaid multi-year contracts, structurally different from residential subscriptions.</t>
        </is>
      </c>
      <c r="I8" s="24" t="inlineStr">
        <is>
          <t>• Requires per-period persistent state for a subscriber stock per build cohort, with cohort-specific gross adds, churn and ARPU roll-off from promo to rack.
• Requires success-based capex: capex[t] = homes_passed_built[t] * cost_per_hp + gross_adds[t] * cost_per_connect, so capital spend is endogenous to the sales forecast.
• Requires an S-curve penetration function (logistic or piecewise ramp) parameterized by terminal take rate, with the ability to reset the terminal take rate at a dated competitive-entry event.
• Requires milestone-triggered grant receipts netted against capex basis, with a separate tax basis from book basis.
• Requires cohort stacking: dozens of build cohorts, each launched in a different month, each on its own penetration clock, aggregated to a network-level P&amp;L.</t>
        </is>
      </c>
      <c r="J8" s="24" t="inlineStr">
        <is>
          <t>~35% reuse. OPCO pack supplies revenue/opex lines, capex, working capital, term debt and cash taxes; ENERGY pack supplies phased construction and the grant/credit-offset patterns (ITC mechanics are structurally similar to grant-offset basis). New: subscriber-stock cohorts, success-based capex, S-curve penetration, homes-passed vs homes-connected duality.</t>
        </is>
      </c>
      <c r="K8" s="24" t="inlineStr">
        <is>
          <t>About 80 million US homes had fiber access by end-2024 (up from ~60m in 2022); ~7% of US homes had access to two or more FTTH providers in 2023 (nearly double 2022's 3.9%); $42bn of BEAD funding was allocated; required FTTH return minimums rose from 8-10% in 2021-22 to 12-15% (EY).</t>
        </is>
      </c>
      <c r="L8" s="24" t="inlineStr">
        <is>
          <t>Digital-infrastructure funds and infra credit funds financing FTTH builds, telco/altnet corporate development, BEAD applicants building state-level business cases, and fiber ABS/private-placement investors.</t>
        </is>
      </c>
      <c r="M8" s="24" t="inlineStr">
        <is>
          <t>• https://www.ey.com/en_us/insights/telecommunications/how-us-ftth-providers-can-navigate-an-evolving-market</t>
        </is>
      </c>
    </row>
    <row r="9" ht="150" customHeight="1" s="18">
      <c r="A9" s="28" t="n">
        <v>8</v>
      </c>
      <c r="B9" s="28" t="inlineStr">
        <is>
          <t>Real assets, infrastructure &amp; natural resources</t>
        </is>
      </c>
      <c r="C9" s="28" t="inlineStr">
        <is>
          <t>EV Charging Networks</t>
        </is>
      </c>
      <c r="D9" s="32" t="inlineStr">
        <is>
          <t>Tier 3 — high new-primitive cost</t>
        </is>
      </c>
      <c r="E9" s="28" t="inlineStr">
        <is>
          <t>Sub-period peak tracking; storage state-of-charge</t>
        </is>
      </c>
      <c r="F9" s="28" t="inlineStr">
        <is>
          <t>A distributed network of DC fast-charging sites whose economics hinge on utilization against a fixed demand charge from the utility.</t>
        </is>
      </c>
      <c r="G9" s="28" t="inlineStr">
        <is>
          <t>Site-level unlevered DCF aggregated to a network: gross margin per kWh (retail price minus wholesale energy and demand charges) times throughput, less site opex and network operating costs, against grant-offset capex; portfolio value is then cross-checked on EV/port or EV/EBITDA. Grant-funded corridor sites (NEVI/CFI) are modeled as 80% capex-reimbursed with binding uptime obligations.</t>
        </is>
      </c>
      <c r="H9" s="28" t="inlineStr">
        <is>
          <t>• Demand charges create a nonlinear cost: the utility bills on the site's peak kW draw in the billing month regardless of energy delivered, so at low utilization the effective cost per kWh explodes and margin can be negative. Cost = energy_rate * kWh + demand_rate * max_kW_in_month.
• Utilization is the whole story: a 4-port 150kW site at 5% utilization vs 15% utilization is the difference between a loss and a 20%+ project IRR, and utilization ramps over 3-5 years with local EV adoption.
• Grant programs (NEVI) reimburse up to 80% of eligible capex but impose ongoing obligations — minimum 150 kW per port, 4 ports per station, stations at most 50 miles apart and within 1 mile of a designated corridor, plus uptime standards that create a claw-back/penalty exposure.
• Revenue models vary structurally: owner-operator (charging network takes all margin, pays site host a rent or revenue share), host-owned (network takes a SaaS/software fee), or a fleet/depot contract with a fixed monthly availability charge — three genuinely different cash flow shapes.
• On-site battery storage is often added specifically to shave the demand charge, which turns the model into a joint charging + storage-dispatch optimization.
• Hardware replacement cycles (7-10 years) and a meaningful vandalism/downtime maintenance reserve, plus network-operating-system fees per port per month.</t>
        </is>
      </c>
      <c r="I9" s="28" t="inlineStr">
        <is>
          <t>• Requires within-period peak tracking: the demand charge depends on the maximum instantaneous draw within a month, which requires either sub-period (hourly) resolution or an explicit peak-coincidence factor carried as a modeled quantity, then a max() applied across it.
• Requires a utilization ramp curve per site cohort driving both revenue and the demand-charge base, with utilization as a separate stochastic driver for Monte Carlo.
• Requires grant reimbursement at 80% of eligible capex with an uptime-conditional claw-back — i.e. a contingent negative cash flow triggered by a modeled performance metric falling below a threshold.
• Requires a switchable revenue-model primitive so the same site can be run under owner-operator, host-owned or fleet-contract economics without rewriting the site.
• Requires co-located storage dispatch against the same meter (charge/discharge with a state-of-charge balance) to model demand-charge shaving.</t>
        </is>
      </c>
      <c r="J9" s="28" t="inlineStr">
        <is>
          <t>~55% reuse. ENERGY pack is the dominant source: power price curves, storage arbitrage/dispatch, ITC (30C alternative-fuel refueling credit is directly analogous to ITC), MACRS, and project debt. OPCO pack supplies network overhead and SaaS fees. New: demand-charge peak mechanics, utilization ramp per site, NEVI grant/uptime obligations, three-way revenue-model switch.</t>
        </is>
      </c>
      <c r="K9" s="28" t="inlineStr">
        <is>
          <t>The federal NEVI Formula Program provides nearly $5 billion over five years at up to an 80% federal cost share, covering ~81,000 miles of designated Alternative Fuel Corridors (94% of the Interstate system); as of July 2024, 719 stations had awards announced across 28 states with 2,500+ additional ports awarded or conditionally awarded.</t>
        </is>
      </c>
      <c r="L9" s="28" t="inlineStr">
        <is>
          <t>Energy-transition and infrastructure funds, charging network developers (EVgo, Electrify America, Ionna) doing site-selection business cases, utilities' unregulated affiliates, and NEVI applicants building state submissions.</t>
        </is>
      </c>
      <c r="M9" s="28" t="inlineStr">
        <is>
          <t>• https://driveelectric.gov/files/nevi-annual-report-2023-2024.pdf</t>
        </is>
      </c>
    </row>
    <row r="10" ht="150" customHeight="1" s="18">
      <c r="A10" s="24" t="n">
        <v>9</v>
      </c>
      <c r="B10" s="24" t="inlineStr">
        <is>
          <t>Real assets, infrastructure &amp; natural resources</t>
        </is>
      </c>
      <c r="C10" s="24" t="inlineStr">
        <is>
          <t>Toll Roads &amp; Availability-Payment P3 Concessions</t>
        </is>
      </c>
      <c r="D10" s="30" t="inlineStr">
        <is>
          <t>Tier 1 — near term</t>
        </is>
      </c>
      <c r="E10" s="24" t="inlineStr">
        <is>
          <t>Handback reserve state; endogenous horizon for LPVR (defer)</t>
        </is>
      </c>
      <c r="F10" s="24" t="inlineStr">
        <is>
          <t>A finite-life right to operate transport infrastructure in exchange for either user tolls (traffic risk) or government availability payments (performance risk), ending in a handback of the asset.</t>
        </is>
      </c>
      <c r="G10" s="24" t="inlineStr">
        <is>
          <t>Unlevered project DCF over the concession term with zero terminal value (the asset reverts to the grantor), levered by long-dated amortizing project debt or TIFIA; availability-payment deals are essentially credit-linked annuities discounted at a spread to the grantor's cost of funds, while revenue-risk toll roads are valued off a traffic-and-revenue study with a multi-year ramp-up and elasticity-based tolling.</t>
        </is>
      </c>
      <c r="H10" s="24" t="inlineStr">
        <is>
          <t>• Availability payments are a maximum entitlement reduced by deductions: the concessionaire earns AP less unavailability adjustments computed as hourly_factor x segment_factor x time_factor (USDOT's model contract shows time factors from 0.05 for 10pm-6am to 0.35 for the 4-7pm peak), plus noncompliance points for maintenance failures. Permitted closures are exempt; unpermitted closures accrue from the moment they occur if not cured within a window.
• Handback: at concession end the asset must be returned in a specified residual condition, secured by a handback reserve account funded over the last 5-10 years (or an LC), with an option to make a payment in lieu of performing the work. This is a cash flow that exists solely because the concession terminates.
• Lifecycle/renewal capex is a schedule of major rehabilitation events (repaving, structures) with dated timing that both consumes cash and resets the asset condition measure that the handback test is applied against.
• Revenue-risk deals need a traffic ramp (typically 3-7 years to mature), toll rate escalation formulas (max(CPI, GDP-linked, fixed floor)), and a diversion/elasticity response so that raising tolls doesn't raise revenue proportionally.
• Risk-sharing bands: revenue bands with a subsidy floor and an upside-sharing ceiling; 'least present value of revenue' concessions where the term itself ends when a specified PV of revenue is reached — a variable-length concession.
• Termination compensation is an exclusive-remedy schedule that differs by cause (developer default vs grantor default vs force majeure), and construction is paid partly by a lump-sum milestone payment at Substantial Completion used to retire construction debt.</t>
        </is>
      </c>
      <c r="I10" s="24" t="inlineStr">
        <is>
          <t>• Requires per-period persistent state for a handback reserve balance that accrues on a schedule and is drawn by terminal renewal works, with a shortfall/top-up test in the final periods.
• Requires a deduction accumulator: unavailability and noncompliance points summed within a payment period, capped, and applied as a reduction to the maximum availability payment — plus a rolling window of points that triggers escalating remedies once a cumulative threshold is breached.
• Requires an endogenous concession end date for LPVR-style deals: terminate when cumulative_discounted_revenue &gt;= target, which means the model's horizon is a function of its own output.
• Requires a revenue-band mechanism: if revenue &lt; floor, receive a subsidy; if revenue &gt; ceiling, share the excess with the grantor — piecewise on a cumulative or annual basis.
• Requires toll revenue = traffic(t) * rate(t) where traffic responds to rate through an elasticity, i.e. a simultaneous dependency between a price driver and a volume driver.
• Requires a hard zero terminal value with a dated, non-negotiable end-of-life, and TIFIA-style debt with deferred/sculpted amortization matched to the ramp.</t>
        </is>
      </c>
      <c r="J10" s="24" t="inlineStr">
        <is>
          <t>~50% reuse. ENERGY pack is the closest existing analogue and reuses well: contracted-revenue PPA structures map onto availability payments, level-pay project debt maps onto senior project debt, and construction/COD milestones map onto Substantial Completion. New: deduction regimes, handback reserve, lifecycle capex schedules, traffic elasticity, revenue bands and variable-term concessions.</t>
        </is>
      </c>
      <c r="K10" s="24" t="inlineStr">
        <is>
          <t>Transport concessions are a core allocation within private infrastructure, which Preqin forecasts rising from $1.27tn AUM (2023) to $2.35tn by 2029. USDOT maintains standardized model contract guides for both availability-payment and toll-concession P3s, indicating a mature, documented US market.</t>
        </is>
      </c>
      <c r="L10" s="24" t="inlineStr">
        <is>
          <t>Core infrastructure funds (Macquarie, Meridiam, Cintra, John Laing), public-sector P3 offices running value-for-money analyses, monoline/infra-debt investors, and rating agencies assessing availability-payment credits.</t>
        </is>
      </c>
      <c r="M10" s="24" t="inlineStr">
        <is>
          <t>• https://www.transportation.gov/sites/dot.gov/files/docs/ap_concession_model_p3_contract_guide_0117.pdf
• https://www.fhwa.dot.gov/ipd/pdfs/fact_sheets/techtools_P3_payment_mechanisms.pdf</t>
        </is>
      </c>
    </row>
    <row r="11" ht="150" customHeight="1" s="18">
      <c r="A11" s="28" t="n">
        <v>10</v>
      </c>
      <c r="B11" s="28" t="inlineStr">
        <is>
          <t>Real assets, infrastructure &amp; natural resources</t>
        </is>
      </c>
      <c r="C11" s="28" t="inlineStr">
        <is>
          <t>Airports &amp; Port/Terminal Concessions</t>
        </is>
      </c>
      <c r="D11" s="32" t="inlineStr">
        <is>
          <t>Tier 3 — high new-primitive cost</t>
        </is>
      </c>
      <c r="E11" s="28" t="inlineStr">
        <is>
          <t>Regulatory asset base carried forward with periodic true-up</t>
        </is>
      </c>
      <c r="F11" s="28" t="inlineStr">
        <is>
          <t>Regulated or concessioned gateway infrastructure earning a regulated aeronautical/tariff return plus an unregulated commercial-property income stream.</t>
        </is>
      </c>
      <c r="G11" s="28" t="inlineStr">
        <is>
          <t>DCF split by till: aeronautical revenue built off a regulated asset base (RAB x allowed WACC + depreciation + opex under a price cap or rate-of-return regime) and non-aeronautical revenue valued as a retail/property business off passenger throughput; concessioned assets add a concession fee to the grantor and a zero-terminal-value handback. Cross-checked on EV/EBITDA and EV per passenger.</t>
        </is>
      </c>
      <c r="H11" s="28" t="inlineStr">
        <is>
          <t>• Till regime is a structural switch, not a parameter: single-till (45% of airports globally) offsets aeronautical charges with commercial profits so users share upside; dual-till (37%) lets the operator keep commercial profit; hybrid (18%) applies each to different cost pools. The same asset produces materially different cash flows under each.
• Regulated revenue is derived from a RAB roll-forward: RAB[t] = RAB[t-1] + capex[t] - regulatory_depreciation[t], with allowed revenue = RAB x WACC + depreciation + opex, reset at 5-year regulatory periods with a true-up for over/under recovery.
• Non-aeronautical revenue is a concession book: retail concessions (28% of non-aero), car parking (20%, and 39% of non-aero in North America), and property rental (18%), each structured as a minimum annual guarantee against a percentage of concessionaire sales — i.e. MAG vs percentage-rent, whichever is greater.
• Everything is driven by a passenger/cargo throughput forecast with airline-route concentration risk; loss of a single anchor carrier or a base closure is a step-change, not a growth-rate change.
• Cost structure is capital-heavy: 38% of total airport cost is capital cost, of which depreciation is ~60%, and terminal expansions are lumpy multi-year programs that step the RAB.
• Port terminal concessions layer on: fixed annual rent per square meter plus a per-TEU variable royalty, a minimum guaranteed throughput with a shortfall payment, mandated investment obligations by date, and asset handback (removal, free transfer, or compensated transfer) at concession end.</t>
        </is>
      </c>
      <c r="I11" s="28" t="inlineStr">
        <is>
          <t>• Requires a regulatory asset base carried as per-period state, rolled forward by capex less regulatory depreciation, with allowed revenue derived from it and a periodic reset that trues up cumulative over/under-recovery — a genuine carryforward balance.
• Requires greater-of contract mechanics: concession_revenue = max(minimum_annual_guarantee, percentage * concessionaire_sales), evaluated per contract per period, with the MAG itself escalating.
• Requires a till-regime switch that reallocates commercial profit into or out of the aeronautical revenue requirement.
• Requires minimum-guaranteed-throughput shortfall payments: if actual TEU &lt; guaranteed TEU, pay the difference times the rate — a conditional payment on a volume test.
• Requires dated mandatory investment obligations with penalty exposure if missed, and a zero-terminal-value handback at concession end.
• Requires throughput forecasts decomposable by carrier/route so a named-carrier exit can be modeled as a dated step-down.</t>
        </is>
      </c>
      <c r="J11" s="28" t="inlineStr">
        <is>
          <t>~40% reuse. CRE pack supplies the concession/percentage-rent machinery (percentage rent over a breakpoint is nearly identical to MAG-vs-percentage) and property leasing; ENERGY pack supplies the long-dated project-debt and construction-milestone patterns; OPCO pack supplies the opex/labor base. New: RAB roll-forward and regulatory reset, till regimes, throughput-driven aeronautical charges, MGT shortfalls.</t>
        </is>
      </c>
      <c r="K11" s="28" t="inlineStr">
        <is>
          <t>Global airport industry income was US$131 billion in 2013, +5.5% on 2012, split Europe 38% / Asia-Pacific 28% / North America 22%, with an industry net profit margin of ~16% (ICAO). Airports and ports sit within the private infrastructure asset class Preqin forecasts at $2.35tn AUM by 2029.</t>
        </is>
      </c>
      <c r="L11" s="28" t="inlineStr">
        <is>
          <t>Core infrastructure funds and sovereign/pension direct-investment teams (GIP, Ferrovial, Vinci, IFM), airport/port privatization advisors, and infrastructure debt investors and rating agencies.</t>
        </is>
      </c>
      <c r="M11" s="28" t="inlineStr">
        <is>
          <t>• https://www.icao.int/sites/default/files/sustainability/Documents/State-of-Airport-Economics.pdf
• https://porteconomicsmanagement.org/pemp/contents/part4/terminal-concessions-and-land-leases/</t>
        </is>
      </c>
    </row>
    <row r="12" ht="150" customHeight="1" s="18">
      <c r="A12" s="24" t="n">
        <v>11</v>
      </c>
      <c r="B12" s="24" t="inlineStr">
        <is>
          <t>Real assets, infrastructure &amp; natural resources</t>
        </is>
      </c>
      <c r="C12" s="24" t="inlineStr">
        <is>
          <t>Aircraft Leasing &amp; Aviation ABS</t>
        </is>
      </c>
      <c r="D12" s="31" t="inlineStr">
        <is>
          <t>Tier 2 — gated on cohort state</t>
        </is>
      </c>
      <c r="E12" s="24" t="inlineStr">
        <is>
          <t>Per-asset maintenance-reserve state; waterfall with DSCR sweep</t>
        </is>
      </c>
      <c r="F12" s="24" t="inlineStr">
        <is>
          <t>Owning commercial aircraft and leasing them to airlines, where the asset's value is inseparable from the maintenance condition of its airframe, engines and life-limited parts.</t>
        </is>
      </c>
      <c r="G12" s="24" t="inlineStr">
        <is>
          <t>Lease-encumbered value = PV of remaining contracted rentals plus a residual, discounted at a rate set by lessee credit and asset quality (AVITAS uses ~6.5% for a strong credit on a modern type, ~180bp over BBB corporates), with the residual haircut ~10% for market risk and then adjusted to the contractual return condition. Portfolios are valued as aviation ABS with sequential-pay tranches, or as a lessor's net book value against a P/B multiple.</t>
        </is>
      </c>
      <c r="H12" s="24" t="inlineStr">
        <is>
          <t>• Maintenance reserves: the lessee pays a supplemental rent per flight hour and per flight cycle into segregated reserve accounts (airframe check, engine performance restoration, LLP, landing gear, APU), and the lessor reimburses out of the accumulated balance when the event occurs, capped at what has been collected. Shortfalls fall on the airline; surpluses are typically kept by the lessor at lease end.
• Half-life vs full-life value: an aircraft's market value is quoted at half-life and then adjusted up or down by the actual maintenance status of each major component. The residual assumption must be reconciled to the lease's return conditions — if the aircraft returns full-life, the appraiser adds the projected cost of the major events escalated at ~2.5%/yr.
• End-of-lease compensation ('upsy-downsy'): a two-way settlement where the lessor pays the lessee if the aircraft is returned better than delivery condition and vice versa — a bidirectional terminal cash flow.
• Utilization drives everything: flight hours and cycles determine both reserve accrual and the timing of the next maintenance event, so the maintenance calendar is endogenous to the operating assumption.
• Between leases there is a transition period (2-6 months) with zero rent, reconfiguration/repaint capex, and remarketing cost; lessee default triggers repossession cost, deregistration delay, and a security-deposit offset.
• Portfolio financing is sequential-pay ABS with a target amortization schedule, a DSCR-linked cash sweep that accelerates principal when coverage falls, and a rapid-amortization trigger.</t>
        </is>
      </c>
      <c r="I12" s="24" t="inlineStr">
        <is>
          <t>• Requires per-period persistent state for multiple independent maintenance reserve balances per aircraft, each accruing at a rate per flight hour or cycle and each drawn down at an event date determined by cumulative hours/cycles crossing a threshold — i.e. a counter that triggers a cash event when it crosses a limit, then resets.
• Requires a component-level condition state (hours/cycles since last event per component) carried across periods and used both to schedule events and to compute the terminal maintenance-adjusted value.
• Requires a sequential-pay waterfall across ABS tranches with a DSCR- or LTV-triggered cash sweep that redirects residual cash from equity to principal, and a rapid-amortization trigger that changes the payment priority permanently once breached.
• Requires bidirectional terminal settlements (positive or negative depending on a condition comparison at lease end).
• Requires a lease-transition state: aircraft cycles between on-lease, off-lease/AOG, and transition, with different cash flows in each.
• Requires escalation of a future maintenance cost estimate at a separate index from lease rentals.</t>
        </is>
      </c>
      <c r="J12" s="24" t="inlineStr">
        <is>
          <t>~35% reuse. CREDIT pack is the strongest source: pool-level default/recovery-with-lag maps onto lessee default and repossession, and the level-pay/bullet debt module underlies ABS notes — but the sequential-pay waterfall and sweep are additions. CRE pack supplies lease expiry/downtime. New: maintenance reserve balances, component condition state, half-life value adjustment, EOL compensation.</t>
        </is>
      </c>
      <c r="K12" s="24" t="inlineStr">
        <is>
          <t>The top ten lessors alone control roughly 5,700 aircraft (AerCap 1,676; SMBC 761; Avolon 583; Air Lease 575; ICBC 504 at a $16.4bn portfolio value; DAE 410 at $10.5bn; Carlyle Aviation 372 at $8.6bn), implying a top-ten owned-fleet value well in excess of $150bn.</t>
        </is>
      </c>
      <c r="L12" s="24" t="inlineStr">
        <is>
          <t>Aircraft lessors' pricing and portfolio teams, aviation ABS issuers and investors, aviation-focused credit funds (Carlyle Aviation, Castlelake), appraisers (AVITAS, IBA, Cirium Ascend), and airline fleet-planning groups comparing lease vs own.</t>
        </is>
      </c>
      <c r="M12" s="24" t="inlineStr">
        <is>
          <t>• https://www.avitas.com/valuing-aircraft-with-a-lease-attached-an-appraisers-perspective/
• https://www.aerotime.aero/articles/biggest-aircraft-lessors-by-fleet</t>
        </is>
      </c>
    </row>
    <row r="13" ht="150" customHeight="1" s="18">
      <c r="A13" s="28" t="n">
        <v>12</v>
      </c>
      <c r="B13" s="28" t="inlineStr">
        <is>
          <t>Real assets, infrastructure &amp; natural resources</t>
        </is>
      </c>
      <c r="C13" s="28" t="inlineStr">
        <is>
          <t>Shipping / Maritime (Bulkers, Tankers, Containerships, LNG)</t>
        </is>
      </c>
      <c r="D13" s="32" t="inlineStr">
        <is>
          <t>Tier 3 — high new-primitive cost</t>
        </is>
      </c>
      <c r="E13" s="28" t="inlineStr">
        <is>
          <t>Per-vessel dated coupled cost/capacity events; commodity residual</t>
        </is>
      </c>
      <c r="F13" s="28" t="inlineStr">
        <is>
          <t>Mobile steel assets earning volatile spot or contracted charter income over a ~20-25 year life ending in a scrap value tied to the price of steel.</t>
        </is>
      </c>
      <c r="G13" s="28" t="inlineStr">
        <is>
          <t>Charter-free NAV (market value per vessel from broker comparables, summed and netted against debt) is the primary metric; the income approach is a DCF of time-charter-equivalent earnings over remaining useful life, with rates interpolated from current spot toward a long-run historical mean, less opex and drydocking, terminating in a demolition value = lightweight tonnes x scrap steel price. VesselsValue sources discount rates quarterly from PwC by ship type and horizon.</t>
        </is>
      </c>
      <c r="H13" s="28" t="inlineStr">
        <is>
          <t>• Rate modeling is an explicit interpolation from a short-term spot rate to a long-run mean over a transition period, adjusted for the specific vessel's size and feature scores and its age — not a single growth rate.
• Drydocking / special survey: a mandatory class survey every ~5 years (2.5-year intermediate) costing a lumpy sum that rises with vessel age, plus 15-30 days off-hire during which the vessel earns nothing. Ballast water treatment and scrubber retrofits are additional dated regulatory capex events.
• Terminal value is a scrap/demolition value derived from lightweight displacement times a scrap steel price (Indian subcontinent vs China markets quoted separately), which is a commodity-linked residual rather than a cap rate.
• Employment mode is a switch with completely different cash flow shapes: spot/voyage charter (revenue net of voyage costs — bunkers, port fees, canal dues — i.e. TCE), time charter (fixed daily hire, charterer pays voyage costs), bareboat charter (fixed hire, charterer pays opex too), or a pool arrangement with revenue sharing.
• Off-hire and utilization: a vessel earns only when on-hire; commercial and technical off-hire, plus positioning/ballast legs, reduce revenue days below calendar days.
• Regulatory cliff-edges: IMO CII/EEXI ratings and EU ETS/FuelEU costs create dated, escalating compliance costs and can force speed reduction (reducing revenue days) or premature scrapping.</t>
        </is>
      </c>
      <c r="I13" s="28" t="inlineStr">
        <is>
          <t>• Requires a rate curve constructed by interpolation between an anchor spot rate and a long-run mean over a specified transition horizon, with an age-adjustment function applied on top.
• Requires a periodic dated event (every N years from a vessel-specific anchor date) that simultaneously imposes a capex outflow and removes M revenue days from that period — a coupled cost-and-capacity event.
• Requires a commodity-linked terminal value: residual = lightweight_tonnes * scrap_price_curve(t_end), so the exit is driven by a separate price curve rather than a multiple or cap rate.
• Requires an employment-mode switch that changes which cost lines the owner bears (voyage costs in/out, opex in/out) without restating the vessel.
• Requires revenue-days accounting: revenue = daily_rate * (calendar_days - offhire_days - drydock_days) * utilization.
• Requires per-vessel modeling aggregated to a fleet with vessel-level debt and cross-collateralized covenants (loan-to-value maintenance tests that trigger a cash sweep or prepayment).</t>
        </is>
      </c>
      <c r="J13" s="28" t="inlineStr">
        <is>
          <t>~40% reuse. ENERGY pack supplies commodity price curves and Monte Carlo on those curves — directly reusable for charter rates and scrap steel; CREDIT pack supplies the amortizing/balloon debt module for ship mortgages. New: TCE construction, drydock coupled events, revenue-days utilization, employment-mode switch, scrap-value terminal.</t>
        </is>
      </c>
      <c r="K13" s="28" t="inlineStr">
        <is>
          <t>VesselsValue/Veson maintains an industry-standard DCF valuation product covering the world fleet, with discount rates sourced quarterly from PwC by ship type across 5-25 year horizons — an indicator of a mature institutional valuation market. Shipping sits alongside aviation as the largest transport-equipment category in private real assets.</t>
        </is>
      </c>
      <c r="L13" s="28" t="inlineStr">
        <is>
          <t>Shipping private equity and credit funds (Oaktree, Apollo, Northern Shipping), shipowner CFO/chartering desks, ship-finance banks and leasing houses (Chinese leasing, Japanese KG/KS), and marine appraisers.</t>
        </is>
      </c>
      <c r="M13" s="28" t="inlineStr">
        <is>
          <t>• https://help.veson.com/vesselsvalue/discounted-cash-flow-dcf</t>
        </is>
      </c>
    </row>
    <row r="14" ht="150" customHeight="1" s="18">
      <c r="A14" s="24" t="n">
        <v>13</v>
      </c>
      <c r="B14" s="24" t="inlineStr">
        <is>
          <t>Real assets, infrastructure &amp; natural resources</t>
        </is>
      </c>
      <c r="C14" s="24" t="inlineStr">
        <is>
          <t>Transport Equipment Lease Pools (Marine Containers, Railcars, Chassis)</t>
        </is>
      </c>
      <c r="D14" s="31" t="inlineStr">
        <is>
          <t>Tier 2 — gated on cohort state</t>
        </is>
      </c>
      <c r="E14" s="24" t="inlineStr">
        <is>
          <t>Vintage fleet stock; dual-schedule ABS amortisation</t>
        </is>
      </c>
      <c r="F14" s="24" t="inlineStr">
        <is>
          <t>Large fungible fleets of identical revenue-earning units leased out at a per-diem rate, where value is utilization times per-diem plus disposal proceeds.</t>
        </is>
      </c>
      <c r="G14" s="24" t="inlineStr">
        <is>
          <t>Fleet DCF: units x utilization x per-diem, less direct operating expenses (storage, repositioning, repair, insurance) and maintenance, plus disposal proceeds as units retire; financed as ABS master trusts sized on a borrowing base with minimum and targeted amortization schedules. Public lessors (GATX, Triton, Textainer) are cross-checked on P/B and EV/EBITDA.</t>
        </is>
      </c>
      <c r="H14" s="24" t="inlineStr">
        <is>
          <t>• Utilization is the primary lever: leased units / total fleet units. Idle units not only earn nothing, they cost money — direct operating expenses (storage, repositioning) are inversely related to utilization and run ~7-10% of gross leasing revenue for containers.
• Per-diem rates on new leases correlate with new-equipment prices and move with a cycle; the existing book is a stack of leases at historical per-diems, so the portfolio's average rate is a vintage-weighted quantity. GATX's Lease Price Index measures exactly this: Q4 2025 renewal lease rate change of +21.9% on an average 58-month renewal term with a 91.4% renewal success rate.
• Retirement and disposal are a real revenue line: containers assume ~15-year economic life with end-of-life recovery of 35-40% of original equipment cost, driven by steel prices, unit condition and location. Railcars are remarketed rather than scrapped (GATX booked $117.0m of asset remarketing income in 2025).
• Direct finance leases and operating leases coexist in the same fleet with completely different cash flow and accounting treatment (DFL is principal + interest; operating lease is rental income against depreciation).
• Fleet composition matters: dry containers (~90% of global fleet), reefers, tanks; for railcars, tank cars vs freight cars with different regulatory compliance capex (e.g. DOT-117 retrofits) and different maintenance intensity.
• ABS structures use master trusts with minimum (15-year) and targeted (10-year) amortization schedules that outpace collateral depreciation, plus a servicer whose remarketing capability is credit-critical over 20-25 year legal finals.</t>
        </is>
      </c>
      <c r="I14" s="24" t="inlineStr">
        <is>
          <t>• Requires per-period persistent state for a fleet stock segmented by vintage: units_by_vintage rolls forward with new-unit purchases, retirements at end of economic life, and interim disposals, with each vintage carrying its own per-diem and net book value.
• Requires utilization as a driver that simultaneously scales revenue up and direct operating expense down, i.e. a shared driver with opposite-signed elasticities on two lines.
• Requires lease-renewal mechanics at the fleet level: at each lease expiry, a renewal_success_rate fraction renews at the prevailing market per-diem for a modeled term and the remainder returns to idle, so the average per-diem is a computed vintage-weighted mix.
• Requires disposal proceeds as a function of a residual curve (% of original cost by age) times a commodity/market index, recognized as a cash inflow with a book gain/loss.
• Requires sequential-pay ABS notes with both a minimum and a targeted amortization schedule and a borrowing-base test that steps up amortization when the base falls short — requiring a carried debt balance with conditional principal acceleration.
• Requires parallel treatment of DFL and operating-lease sub-portfolios within one fleet.</t>
        </is>
      </c>
      <c r="J14" s="24" t="inlineStr">
        <is>
          <t>~50% reuse. CREDIT pack is a strong fit: the pool abstraction with per-unit decay, the amortizing-debt module and servicing-strip machinery all map onto lease pools and ABS notes. ENERGY pack supplies the commodity curve for steel/residuals. New: utilization-linked opex inversion, vintage-weighted per-diem book, renewal success rate, remarketing/disposal income, dual-schedule ABS amortization.</t>
        </is>
      </c>
      <c r="K14" s="24" t="inlineStr">
        <is>
          <t>GATX alone owned ~107,600 railcars in North America at 99.0% utilization at year-end 2025, with full-year investment volume above $1.3 billion and $117.0m of asset remarketing income. Container securitizations assume ~15-year container life with 35-40% end-of-life recovery and DOE of 7-10% of gross leasing revenue — a well-established ABS sector.</t>
        </is>
      </c>
      <c r="L14" s="24" t="inlineStr">
        <is>
          <t>Transport-equipment lessors' portfolio teams (GATX, Trinity, Triton, Textainer), ABS issuers and investors, transport-focused credit funds, and Japanese/Chinese leasing houses.</t>
        </is>
      </c>
      <c r="M14" s="24" t="inlineStr">
        <is>
          <t>• https://www.sec.gov/Archives/edgar/data/40211/000004021126000014/a4q25earningsreleaseex991.htm
• https://portfolio-strategy.apsec.com/2023/01/03/quick-notes-on-container-securitizations-2/</t>
        </is>
      </c>
    </row>
    <row r="15" ht="150" customHeight="1" s="18">
      <c r="A15" s="28" t="n">
        <v>14</v>
      </c>
      <c r="B15" s="28" t="inlineStr">
        <is>
          <t>Real assets, infrastructure &amp; natural resources</t>
        </is>
      </c>
      <c r="C15" s="28" t="inlineStr">
        <is>
          <t>Mining: Life-of-Mine Assets and Mineral Royalties / Streams</t>
        </is>
      </c>
      <c r="D15" s="32" t="inlineStr">
        <is>
          <t>Tier 3 — high new-primitive cost</t>
        </is>
      </c>
      <c r="E15" s="28" t="inlineStr">
        <is>
          <t>Depleting reserve stock; endogenous horizon; cost-recovery carryforward</t>
        </is>
      </c>
      <c r="F15" s="28" t="inlineStr">
        <is>
          <t>Depleting orebodies valued over a finite mine plan, and the asset-light royalty/stream interests carved out of them.</t>
        </is>
      </c>
      <c r="G15" s="28" t="inlineStr">
        <is>
          <t>P/NAV: build a life-of-mine DCF from an engineered mine plan (annual tonnes, ore grade, metallurgical recovery, strip ratio) at a commodity price deck, less AISC and sustaining capex, less closure/reclamation, discounted at commodity-specific rates (gold ~5%, base metals 8-10%, development projects 10-15%); senior gold producers trade at 0.8-1.3x P/NAV. Royalties and streams are valued as the same LOM model with only the royalty slice taken, at lower discount rates because they carry no cost inflation.</t>
        </is>
      </c>
      <c r="H15" s="28" t="inlineStr">
        <is>
          <t>• Reserves are a depleting stock: cumulative production is capped by proven-and-probable reserves, so the model horizon is endogenous — the mine ends when the orebody is exhausted, and reserve additions/conversions extend it.
• Grade and recovery decline over the mine plan (higher-grade ore is mined first), so revenue per tonne milled falls even at a flat metal price; strip ratio rises as the pit deepens, so unit cost rises.
• Royalty types have structurally different formulas: an NSR takes a % of revenue after smelting/refining deductions; a GRR takes a % of gross; an NPI pays nothing until the operator has recovered its capital costs (a payback carryforward), and Franco-Nevada notes a 4% NSR is ~2.3x more valuable than an equivalent NPI and ~1.3x more valuable than a stream.
• Streams are a two-legged contract: an upfront deposit is paid, then the streamer buys a fixed % of production at a fixed low transfer price (or a % of spot), with the deposit amortized against deliveries and often a completion/top-up test.
• Closure and reclamation is a large terminal outflow, pre-funded via a reclamation bond or trust that accretes during the mine life and is released at closure.
• Royalty and mining taxes are jurisdiction-specific and stack on top of income tax; many jurisdictions apply sliding-scale royalties keyed to the metal price.</t>
        </is>
      </c>
      <c r="I15" s="28" t="inlineStr">
        <is>
          <t>• Requires a depleting reserve balance as per-period state, with production drawn from it and the model horizon determined by exhaustion rather than fixed at model start.
• Requires cost-recovery carryforward for NPIs and for tax regimes with accelerated deduction pools: an unrecovered-capital balance that must be extinguished before any payment flows, carried and decremented period by period.
• Requires an amortizing upfront deposit balance for streams, drawn down per ounce delivered, with the residual affecting the effective transfer price.
• Requires sliding-scale royalty formulas: rate = f(metal_price), evaluated per period against a price curve, which is a piecewise/tiered lookup on a stochastic driver.
• Requires a reclamation reserve balance that accretes at a discount rate over the mine life and is drawn at closure.
• Requires production = min(mill_capacity, reserve_remaining) * grade(t) * recovery(t), with grade and recovery as declining schedules rather than constants.</t>
        </is>
      </c>
      <c r="J15" s="28" t="inlineStr">
        <is>
          <t>~45% reuse. ENERGY pack supplies commodity price curves, Monte Carlo, tax-credit/depreciation machinery and project debt — a mine plan is structurally close to a merchant generation asset with a depleting fuel source. CREDIT pack's servicing-strip primitive maps neatly onto a royalty slice. New: reserve depletion, grade/recovery decline, NPI payback carryforward, stream deposit amortization, sliding-scale royalties, reclamation accretion.</t>
        </is>
      </c>
      <c r="K15" s="28" t="inlineStr">
        <is>
          <t>Mining streaming-and-royalty deal volume grew from $2.1 billion in 2010 to more than $15 billion in 2019, with Wheaton, Franco-Nevada and Royal Gold representing ~80% of total contract value by gold-equivalent ounces; streams still cover only ~14% of gold by-product and &lt;6% of silver by-product production, implying substantial headroom (McKinsey).</t>
        </is>
      </c>
      <c r="L15" s="28" t="inlineStr">
        <is>
          <t>Mining royalty and streaming companies (Franco-Nevada, Wheaton, Royal Gold, Triple Flag), natural-resources private equity (Orion, Appian, Resource Capital), mining-focused equity research and technical advisors preparing NI 43-101/JORC-compliant economic assessments.</t>
        </is>
      </c>
      <c r="M15" s="28" t="inlineStr">
        <is>
          <t>• https://www.mckinsey.com/industries/metals-and-mining/our-insights/streaming-and-royalties-in-mining-let-the-music-play-on
• https://www.franco-nevada.com/our-assets/terms-explained/default.aspx
• https://ibinterviewquestions.com/guides/valuation-investment-banking/mining-natural-resources-valuation-nav-reserve-life</t>
        </is>
      </c>
    </row>
    <row r="16" ht="150" customHeight="1" s="18">
      <c r="A16" s="24" t="n">
        <v>15</v>
      </c>
      <c r="B16" s="24" t="inlineStr">
        <is>
          <t>Real assets, infrastructure &amp; natural resources</t>
        </is>
      </c>
      <c r="C16" s="24" t="inlineStr">
        <is>
          <t>Timberland</t>
        </is>
      </c>
      <c r="D16" s="32" t="inlineStr">
        <is>
          <t>Tier 3 — high new-primitive cost</t>
        </is>
      </c>
      <c r="E16" s="24" t="inlineStr">
        <is>
          <t>Biological inventory state machine; perpetuity-of-rotations terminal</t>
        </is>
      </c>
      <c r="F16" s="24" t="inlineStr">
        <is>
          <t>Forest land where the crop grows on the stump, so the owner can defer harvest and let biological growth compound until prices improve.</t>
        </is>
      </c>
      <c r="G16" s="24" t="inlineStr">
        <is>
          <t>DCF of an optimized harvest schedule off a stand-level inventory: trees per acre by diameter class grown forward by a growth-and-yield model, converted to product classes at merchantability thresholds, valued at stumpage prices, less silviculture and management cost, plus a terminal Land Expectation Value (bare land value = PV of infinite future rotations) and HBU (higher-and-better-use) land sales. NCREIF's Timberland Property Index is the institutional benchmark.</t>
        </is>
      </c>
      <c r="H16" s="24" t="inlineStr">
        <is>
          <t>• Standing timber is a growing inventory, not a fixed asset: volume per acre compounds with age driven by site index (a site-index-50 stand yields 60.5 tons/acre at age 20 vs 216.4 tons at site index 80 — a &gt;3x difference) and stocking, which alone can change sawtimber yield ~5x.
• Product-class migration is where the value is: as trees cross diameter thresholds they migrate from pulpwood (6-10" DBH, ~$8/ton) to chip-n-saw (10-12", ~$20/ton) to sawtimber (14"+, ~$30-45/ton). Deferring harvest one year moves tonnage into a higher-priced class — an in-growth option with no analogue in other real assets.
• Cash flows are extremely lumpy and rotation-scheduled: site prep and planting (~$200/acre) at year 0, a commercial thin around year 18 (~$300/acre revenue), final harvest at year 25 (~$2,205/acre). A single-rotation NPV at 4% might be ~$625/acre against an LEV of ~$1,000/acre.
• Terminal value is a Land Expectation Value — the PV of all future rotations in perpetuity — not a cap rate or multiple, and it depends on the age-class distribution left standing at exit.
• Age-class distribution across the estate governs sustainable annual harvest; a portfolio skewed young produces little near-term cash regardless of acreage.
• Non-timber income is increasingly material: hunting leases, mitigation banking, wind/solar options, carbon offsets and HBU parcel sales at a premium to timber value.</t>
        </is>
      </c>
      <c r="I16" s="24" t="inlineStr">
        <is>
          <t>• Requires per-period persistent state for a stand inventory: an age-class x diameter-class distribution per stand, grown forward each period by a growth-and-yield function, decremented by harvest, and reset to age zero at replanting.
• Requires threshold-based product classification applied to the evolving inventory: volume in each product class = f(diameter distribution, merchantability thresholds), so revenue mix changes endogenously with age.
• Requires a perpetuity-of-rotations terminal value (LEV) computed from the state of the inventory at the horizon, rather than a cap-rate or multiple exit.
• Requires a harvest-scheduling decision layer: at minimum, rule-based harvest triggers (harvest when a stand reaches age N or when stumpage price exceeds a threshold), and ideally the ability to optimize the schedule subject to sustained-yield constraints.
• Requires separate stumpage price curves per product class, with Monte Carlo on each and correlation between them.
• Requires parcel-level HBU sales as dated capital events that remove acreage (and its future timber cash flows) from the estate.</t>
        </is>
      </c>
      <c r="J16" s="24" t="inlineStr">
        <is>
          <t>~30% reuse. ENERGY pack supplies commodity price curves and Monte Carlo (stumpage behaves like a commodity); CRE pack supplies land-basis and exit machinery for HBU. New and substantial: the biological inventory state machine, product-class migration, rotation scheduling, and LEV terminal value. This is the most 'new' entry on the list but also the one whose core primitive (a growing stock that migrates between value tiers) is reusable for agriculture and carbon.</t>
        </is>
      </c>
      <c r="K16" s="24" t="inlineStr">
        <is>
          <t>NCREIF maintains a dedicated Timberland Property Index as a quarterly value-weighted composite of institutionally-held US timber properties. NCREIF's own products guide cites 399 properties at over $2.3bn market value, though that figure is dated Q3 2012 and understates the current index; TIMO-managed institutional timberland is widely held by pensions and endowments alongside farmland.</t>
        </is>
      </c>
      <c r="L16" s="24" t="inlineStr">
        <is>
          <t>TIMOs (Hancock Natural Resource Group, Campbell Global, BTG Pactual Timberland), timber REIT (Weyerhaeuser, Rayonier, PotlatchDeltic) planning teams, pension/endowment real-assets allocators, and forestry consultants preparing appraisals.</t>
        </is>
      </c>
      <c r="M16" s="24" t="inlineStr">
        <is>
          <t>• https://sref.info/resources/publications/timberland-value-from-inventory-to-cash-flows/at_download/file
• https://user.ncreif.org/data-products/timberland/
• https://ncreif.org/__static/jdj5jdewjenkzertexy1sktwwwu4mzvx/NCREIF-Data-and-Products-Guide-2026.pdf</t>
        </is>
      </c>
    </row>
    <row r="17" ht="150" customHeight="1" s="18">
      <c r="A17" s="28" t="n">
        <v>16</v>
      </c>
      <c r="B17" s="28" t="inlineStr">
        <is>
          <t>Real assets, infrastructure &amp; natural resources</t>
        </is>
      </c>
      <c r="C17" s="28" t="inlineStr">
        <is>
          <t>Farmland &amp; Permanent Crops</t>
        </is>
      </c>
      <c r="D17" s="32" t="inlineStr">
        <is>
          <t>Tier 3 — high new-primitive cost</t>
        </is>
      </c>
      <c r="E17" s="28" t="inlineStr">
        <is>
          <t>Age-dependent yield cohorts; correlated stochastic drivers</t>
        </is>
      </c>
      <c r="F17" s="28" t="inlineStr">
        <is>
          <t>Productive agricultural land held either as a leased annuity (row crop cash rent) or as an operated orchard/vineyard business with a multi-year establishment period.</t>
        </is>
      </c>
      <c r="G17" s="28" t="inlineStr">
        <is>
          <t>Row-crop farmland: direct capitalization of NOI at very low cap rates (top cropland trades at 1.5-3%; CRP tracts 3-5%), with return dominated by land appreciation rather than income. Permanent crops (almonds, pistachios, citrus, wine grapes): DCF over the productive life of the planting with an explicit non-bearing establishment period, plus a residual land-and-water value. NCREIF's Farmland Property Index benchmarks both.</t>
        </is>
      </c>
      <c r="H17" s="28" t="inlineStr">
        <is>
          <t>• Two structurally different income modes on the same asset: cash rent (fixed per acre, paid in advance, near-zero operating risk to the landlord), crop share (landlord takes a % of the harvest and bears price and yield risk), or direct operation (full operating P&amp;L). These are not variants of one another.
• Permanent crops have a multi-year establishment period: 3-4 years for almonds, 5-7 for pistachios, during which the planting consumes capex and produces no revenue, then ramps to full bearing, plateaus, and declines with tree age before a replant decision — so the asset has an age-dependent yield curve baked in.
• Revenue = acres x yield/acre x price, with yield subject to weather, alternate bearing (pistachios bear heavily in alternate years), chill-hour requirements, and water availability — three separate stochastic drivers that are correlated with price (a bad regional yield year raises price).
• Water is a binding constraint and a separate asset: allocation from a district (which can be curtailed in drought), groundwater pumping cost and SGMA-style extraction limits, or purchased water at a spot price. In a dry year the cost line explodes and the yield line collapses simultaneously.
• Government programs matter: crop insurance indemnities (revenue protection triggers when actual revenue &lt; guarantee), ARC/PLC payments, and CRP rental payments are conditional cash flows keyed to price and yield outcomes.
• Land appreciation is a large share of total return, so the terminal value driver (a land price index or per-acre comparable) is largely independent of the income model.</t>
        </is>
      </c>
      <c r="I17" s="28" t="inlineStr">
        <is>
          <t>• Requires an age-dependent yield curve per planting cohort: yield_per_acre = f(years_since_planting), with distinct non-bearing, ramp, plateau and decline phases, and a replant event that resets the cohort to age zero with capex.
• Requires per-cohort state so an orchard portfolio is a stack of blocks planted in different years, each on its own maturity clock.
• Requires correlated stochastic drivers (yield, commodity price, water availability) with a specified correlation structure, since the whole risk story is the joint distribution, not the marginals.
• Requires conditional government/insurance payments: indemnity = max(0, guarantee - actual_revenue), evaluated per crop year against realized price and yield.
• Requires alternate-bearing cycles: a yield multiplier that alternates by parity of the year index for certain crops.
• Requires income-mode switching (cash rent / crop share / owner-operated) applied per parcel within one portfolio.
• Requires a land-value index as a terminal driver decoupled from the operating cash flow.</t>
        </is>
      </c>
      <c r="J17" s="28" t="inlineStr">
        <is>
          <t>~40% reuse. ENERGY pack supplies commodity price curves, correlated Monte Carlo and the contracted-vs-merchant duality (cash rent is 'contracted', crop share is 'merchant'); OPCO pack supplies the operating P&amp;L, working capital (crop inputs paid before harvest revenue) and capex; CRE pack supplies land cap-rate exit. New: age-dependent yield cohorts, water constraints, insurance/program triggers, alternate bearing.</t>
        </is>
      </c>
      <c r="K17" s="28" t="inlineStr">
        <is>
          <t>NCREIF maintains a dedicated quarterly Farmland Property Index covering permanent, row and vegetable cropland held by tax-exempt institutional investors, running since Q4 1990. Institutional farmland cap rates run 1.5-3% for top cropland and 3-5% for CRP tracts, indicating that valuations are appreciation-driven and highly sensitive to the terminal land assumption.</t>
        </is>
      </c>
      <c r="L17" s="28" t="inlineStr">
        <is>
          <t>Farmland asset managers (Nuveen Natural Capital/Westchester, Hancock Agricultural, UBS Farmland), permanent-crop operator-owners, farm credit lenders sizing orchard development loans, and pension real-assets teams.</t>
        </is>
      </c>
      <c r="M17" s="28" t="inlineStr">
        <is>
          <t>• https://user.ncreif.org/data-products/farmland/
• https://peoplescompany.com/blog/the-income-approach-what-earnings-tell-us-about-land-value</t>
        </is>
      </c>
    </row>
    <row r="18" ht="150" customHeight="1" s="18">
      <c r="A18" s="24" t="n">
        <v>17</v>
      </c>
      <c r="B18" s="24" t="inlineStr">
        <is>
          <t>Real assets, infrastructure &amp; natural resources</t>
        </is>
      </c>
      <c r="C18" s="24" t="inlineStr">
        <is>
          <t>Water Rights &amp; Water Supply Concessions (incl. Desalination)</t>
        </is>
      </c>
      <c r="D18" s="30" t="inlineStr">
        <is>
          <t>Split: concession half Tier 1, rights half Tier 3</t>
        </is>
      </c>
      <c r="E18" s="24" t="inlineStr">
        <is>
          <t>Concession half is Energy-pack reuse; rights half needs priority allocation over a physical quantity</t>
        </is>
      </c>
      <c r="F18" s="24" t="inlineStr">
        <is>
          <t>Legal entitlements to divert or extract water, and the take-or-pay contracted infrastructure built to deliver it.</t>
        </is>
      </c>
      <c r="G18" s="24" t="inlineStr">
        <is>
          <t>Water rights are valued per acre-foot against comparable transfers, adjusted for priority date, reliability, transferability and proximity to demand; leased water is valued as an annuity of annual lease rates. Water supply concessions (desalination, reuse, bulk supply) are valued as unlevered project DCFs against a take-or-pay water purchase agreement with a two-part tariff, structurally identical to a contracted power project.</t>
        </is>
      </c>
      <c r="H18" s="24" t="inlineStr">
        <is>
          <t>• Seniority/priority date governs reliability: under prior appropriation, a senior right is served fully before a junior right receives anything, so in a shortage year the delivered volume is a step function of the right's position in the queue, not a proportional haircut. Reliability can be augmented by reservoir storage, which partly offsets junior status.
• Transferability is a discrete, permission-gated event: rights that can be severed from land trade at a premium; change-of-use or point-of-diversion changes require judicial or administrative approval with multi-year timelines and 'no injury to other users' tests, so a transfer has both a cost and a probability of denial.
• Right types trade at persistent structural discounts: ditch company shares (most marketable) &gt; surface rights &gt; irrigation district allotments (tied to land) &gt; tributary groundwater (junior, needs costly augmentation) &gt; nontributary groundwater (significant discount) &gt; exempt wells (no separable value).
• Desal/bulk supply contracts use a two-part tariff: a fixed capacity/availability charge covering debt service and fixed opex payable regardless of offtake, plus a variable charge per cubic meter covering energy and chemicals — with energy typically indexed to a power price so the variable charge is a pass-through.
• Deficiency/take-or-pay: the offtaker pays for a minimum contracted volume whether or not it takes delivery, with any excess delivered at the variable rate only.
• Concession-end handback and asset transfer, plus performance guarantees on availability and water quality with liquidated damages.</t>
        </is>
      </c>
      <c r="I18" s="24" t="inlineStr">
        <is>
          <t>• Requires priority-ordered allocation: given a total available supply and an ordered list of rights with volumes, allocate to seniors first until supply is exhausted — a sequential-priority waterfall applied to a physical quantity rather than to cash.
• Requires stochastic hydrology as a driver (annual inflow / snowpack) feeding that allocation, with multi-year persistence (drought clustering) rather than i.i.d. draws.
• Requires probabilistic, dated regulatory approval events with a cost and a success probability that gate a valuation uplift.
• Requires two-part tariff contracts: revenue = fixed_capacity_charge(indexed) + variable_rate * max(delivered_volume, minimum_take), with the variable rate itself indexed to an energy price curve.
• Requires availability-based liquidated damages against a performance metric.
• Requires a per-acre-foot valuation crosswalk so a rights portfolio can be marked both on a comparable-sales basis and on a DCF-of-lease-income basis in the same model.</t>
        </is>
      </c>
      <c r="J18" s="24" t="inlineStr">
        <is>
          <t>~50% reuse for the concession/desal half — ENERGY pack's take-or-pay PPA, capacity payments, energy-price indexation, availability guarantees and project debt map almost one-for-one. The rights half is ~25% reuse and needs the priority-allocation primitive. Farmland pack (above) is the natural companion since water and farmland are jointly valued.</t>
        </is>
      </c>
      <c r="K18" s="24" t="inlineStr">
        <is>
          <t>Water rights in the western US trade on a per-acre-foot basis with wide dispersion driven by seniority, transferability and municipal proximity; WestWater Research notes some rights are worth five or more times the value of the underlying land, and that nontributary groundwater transacts at a significant discount to surface rights. Municipal utilities drive Colorado's largest water market.</t>
        </is>
      </c>
      <c r="L18" s="24" t="inlineStr">
        <is>
          <t>Water-focused funds (Water Asset Management, Vidler/PICO successors), farmland managers pricing embedded water value, municipal utilities and water districts, and infrastructure funds bidding desalination/reuse concessions.</t>
        </is>
      </c>
      <c r="M18" s="24" t="inlineStr">
        <is>
          <t>• https://westwaterresearch.com/valuing-water-rights-transactions-not-all-water-is-equal/</t>
        </is>
      </c>
    </row>
    <row r="19" ht="150" customHeight="1" s="18">
      <c r="A19" s="28" t="n">
        <v>18</v>
      </c>
      <c r="B19" s="28" t="inlineStr">
        <is>
          <t>Real assets, infrastructure &amp; natural resources</t>
        </is>
      </c>
      <c r="C19" s="28" t="inlineStr">
        <is>
          <t>Carbon Credits &amp; Nature-Based / Engineered Removal Projects</t>
        </is>
      </c>
      <c r="D19" s="32" t="inlineStr">
        <is>
          <t>Tier 3 — high new-primitive cost</t>
        </is>
      </c>
      <c r="E19" s="28" t="inlineStr">
        <is>
          <t>Vintage-tagged credit inventory; buffer pool; reversal hazards</t>
        </is>
      </c>
      <c r="F19" s="28" t="inlineStr">
        <is>
          <t>Projects that generate verified tonnes of avoided or removed CO2e, sold spot or under long-dated forward offtakes.</t>
        </is>
      </c>
      <c r="G19" s="28" t="inlineStr">
        <is>
          <t>Project DCF of issued-and-sold credits: modeled abatement/removal volume by vintage, less a buffer-pool contribution, less registry/verification/monitoring cost, times a price that differs sharply by rating and project type, discounted at a rate reflecting delivery and integrity risk. Forward offtakes are valued as contracted revenue at the strike; spot exposure is valued against a rated price curve.</t>
        </is>
      </c>
      <c r="H19" s="28" t="inlineStr">
        <is>
          <t>• Issuance lags abatement: carbon is sequestered continuously but credits are issued only after a verification event (annual or multi-year), so there is a structural timing gap between the physical event and the sellable asset, plus a monitoring/reporting/verification (MRV) cost per issuance cycle.
• Buffer pool: a percentage of issued credits (typically 10-20%, set by a project-specific risk assessment) is withheld into a non-revenue-generating pool to insure against reversal (fire, disease, illegal logging). Reversals draw from the buffer and can force cancellation of already-sold credits.
• Price is a function of quality rating, not just project type: Sylvera reports BBB+-rated ARR projects at ~$26/tonne vs ~$14/tonne for lower-rated equivalents, with the overall ARR range from $2 to over $50 — so a rating downgrade is a direct revenue event.
• Two totally different price regimes coexist: the spot VCM traded at a weighted-average $6.10/tonne across 168m retirements in 2025 (a $1.04bn market), while announced forward offtake deals totalled $12.3bn at a weighted-average forward price of $180/tonne for ~12m credits/year through 2035 — a 30x spread reflecting durable removals vs legacy avoidance.
• Additionality/permanence rules and eligibility labels (CORSIA, CCP) change the addressable buyer set and price mid-life: 46% of 2025 issuances used CORSIA-eligible methodologies and compliance credits were nearly 25% of retirements.
• Crediting periods are finite and renewable, with baselines that must be re-set at renewal, mechanically reducing creditable volume over time.</t>
        </is>
      </c>
      <c r="I19" s="28" t="inlineStr">
        <is>
          <t>• Requires per-period persistent state for a credit inventory: sequestered tonnes accumulate, are converted to issued credits at verification dates, net of a buffer contribution, then held in inventory until sold — so unsold credits carry forward as an asset.
• Requires a buffer-pool balance that receives contributions, is drawn on reversal events, and must be topped up if it falls below a required level.
• Requires stochastic reversal events (fire/pest with a hazard rate) that destroy sequestered stock and trigger buffer draws — a genuine tail-risk driver for Monte Carlo.
• Requires vintage-tagged inventory: credits carry a vintage year and a rating, and price is a lookup on (vintage, project type, rating), so revenue depends on which vintage is sold when.
• Requires contracted-vs-merchant splitting on the same volume stream: a forward offtake for X credits/year at a strike, with the residual sold at spot.
• Requires a crediting-period boundary that resets the baseline and steps down creditable volume at a dated event.</t>
        </is>
      </c>
      <c r="J19" s="28" t="inlineStr">
        <is>
          <t>~55% reuse. ENERGY pack is a strong base: PTC/ITC per-unit-of-output credits are structurally identical to per-tonne credits, contracted-vs-merchant revenue splitting already exists for PPAs, and price curves plus Monte Carlo are in place. Timberland pack (if built) supplies the biological growth stock that ARR/IFM projects need. New: verification-lag inventory, buffer pool, reversal hazards, rating-linked pricing.</t>
        </is>
      </c>
      <c r="K19" s="28" t="inlineStr">
        <is>
          <t>The voluntary carbon market was US$1.04 billion in 2025 (up 6% from $980m in 2024) on 168 million credits retired at a $6.10/tonne weighted average; announced forward offtake deals reached US$12.3 billion (from $3.95bn in 2024) at a weighted-average forward price of US$180/tonne for ~12m credits/year through 2035 (Sylvera).</t>
        </is>
      </c>
      <c r="L19" s="28" t="inlineStr">
        <is>
          <t>Carbon project developers and their financiers, natural-capital funds, corporate offtakers structuring long-dated CDR purchase agreements, and timberland/farmland managers layering carbon onto existing estates.</t>
        </is>
      </c>
      <c r="M19" s="28" t="inlineStr">
        <is>
          <t>• https://www.sylvera.com/blog/sylvera-state-of-carbon-credits-2025-market-shifts-from-volume-to-value</t>
        </is>
      </c>
    </row>
    <row r="20" ht="150" customHeight="1" s="18">
      <c r="A20" s="24" t="n">
        <v>19</v>
      </c>
      <c r="B20" s="24" t="inlineStr">
        <is>
          <t>Real assets, infrastructure &amp; natural resources</t>
        </is>
      </c>
      <c r="C20" s="24" t="inlineStr">
        <is>
          <t>District Energy &amp; Waste-to-Energy</t>
        </is>
      </c>
      <c r="D20" s="30" t="inlineStr">
        <is>
          <t>Tier 1 — near term</t>
        </is>
      </c>
      <c r="E20" s="24" t="inlineStr">
        <is>
          <t>None new — Energy pack extension (~65% reuse)</t>
        </is>
      </c>
      <c r="F20" s="24" t="inlineStr">
        <is>
          <t>Central plants selling thermal energy (steam, hot and chilled water) or waste disposal capacity to a captive set of connected buildings or municipalities.</t>
        </is>
      </c>
      <c r="G20" s="24" t="inlineStr">
        <is>
          <t>Contracted-infrastructure DCF: a two-part tariff (capacity/demand charge plus a consumption charge) against long-term energy services agreements with connected buildings, plus for WtE a tipping-fee stream under a municipal put-or-pay waste supply agreement, plus merchant power and recovered-metals revenue; valued unlevered at an infra discount rate with a terminal EBITDA multiple or a perpetuity, and levered with long-dated project or municipal debt.</t>
        </is>
      </c>
      <c r="H20" s="24" t="inlineStr">
        <is>
          <t>• Two-part tariff: each connected building pays a capacity charge based on its contracted peak thermal demand (tons of cooling / lbs of steam per hour) regardless of consumption, plus a consumption charge per MMBtu or ton-hour with a fuel-cost pass-through. The capacity charge is the credit-quality anchor; the consumption charge is largely pass-through.
• Connection growth is the value driver: a district system's economics improve as new buildings connect to already-sunk distribution piping, so incremental connections carry very high margin and the model is a stack of ESA contracts with staggered connection dates and 20-30 year terms.
• Diversity factor: the plant is sized to the coincident peak of all customers, which is well below the sum of individual peaks, so capacity revenue exceeds the capacity actually built — a genuine modeling asymmetry.
• WtE has three revenue legs that move independently: tipping fees (contracted put-or-pay tonnage plus spot waste), electricity (merchant or PPA), and recovered ferrous/non-ferrous metals at commodity prices. Waste volume shortfalls trigger a put-or-pay deficiency payment from the municipality.
• CHP economics: a cogeneration plant's value depends on the spark spread between fuel cost and the combined value of power plus thermal output, with efficiency above 80% versus ~33% for conventional generation, so a fuel-price move hits revenue and cost simultaneously.
• Very long-lived, capital-heavy assets with major overhaul cycles (boiler/turbine) and environmental compliance retrofits at dated intervals.</t>
        </is>
      </c>
      <c r="I20" s="24" t="inlineStr">
        <is>
          <t>• Requires stacked long-term customer contracts with per-contract connection dates, contracted capacity, tariff formulas and escalators, aggregated to a plant level — with new connections arriving over time onto existing distribution capacity.
• Requires a two-part tariff primitive: revenue = capacity_charge * contracted_peak * escalator + consumption_rate * volume, with a fuel-cost pass-through formula in the consumption leg.
• Requires a diversity factor applied between the sum of contracted peaks and the plant's required installed capacity, so capacity revenue and capex are decoupled.
• Requires put-or-pay deficiency payments: if delivered tonnage &lt; contracted tonnage, the counterparty pays the shortfall times the tip fee — a conditional receivable on a volume test.
• Requires simultaneous fuel-cost and revenue exposure to the same commodity curve (spark/dark spread), with the ability to model a plant that is long thermal and short fuel.
• Requires dated major-overhaul capex events with associated outage days that remove capacity in that period.</t>
        </is>
      </c>
      <c r="J20" s="24" t="inlineStr">
        <is>
          <t>~65% reuse — the highest on this list. ENERGY pack already covers merchant power, PPAs, capacity payments, O&amp;M, fuel curves, ITC/MACRS and project debt; CRE pack supplies the customer-contract stack (an ESA book is structurally a lease book with escalators and expiries). New: two-part thermal tariffs, diversity factor, put-or-pay waste tonnage, connection-growth pipeline.</t>
        </is>
      </c>
      <c r="K20" s="24" t="inlineStr">
        <is>
          <t>The International District Energy Association counts more than 700 district energy systems operating in the United States, with at least one in every state; individual systems are large (the Texas Medical Center system is projected to save ~$200 million in energy costs over 15 years and cut ~305,455 tonnes of CO2 per year).</t>
        </is>
      </c>
      <c r="L20" s="24" t="inlineStr">
        <is>
          <t>Energy-transition and core infrastructure funds (Vicinity/Antin, Enwave/Brookfield, Cordia), university and hospital campus energy-concession bidders, WtE operators (Covanta/Reworld, Wheelabrator), and municipal advisors.</t>
        </is>
      </c>
      <c r="M20" s="24" t="inlineStr">
        <is>
          <t>• https://www.eesi.org/files/district_energy_factsheet_092311.pdf</t>
        </is>
      </c>
    </row>
    <row r="21" ht="150" customHeight="1" s="18">
      <c r="A21" s="28" t="n">
        <v>20</v>
      </c>
      <c r="B21" s="28" t="inlineStr">
        <is>
          <t>Real assets, infrastructure &amp; natural resources</t>
        </is>
      </c>
      <c r="C21" s="28" t="inlineStr">
        <is>
          <t>Parking (Garages, Surface Lots, and Municipal Meter Concessions)</t>
        </is>
      </c>
      <c r="D21" s="32" t="inlineStr">
        <is>
          <t>Tier 3 — high new-primitive cost</t>
        </is>
      </c>
      <c r="E21" s="28" t="inlineStr">
        <is>
          <t>Follows the P3 concession skeleton; rate/demand elasticity coupling</t>
        </is>
      </c>
      <c r="F21" s="28" t="inlineStr">
        <is>
          <t>Monetized curb and structured parking, sold either as a fee-owned garage or as a decades-long municipal concession over an entire metered system.</t>
        </is>
      </c>
      <c r="G21" s="28" t="inlineStr">
        <is>
          <t>Fee garages: DCF/direct cap of NOI split between transient (hourly/daily) and contract (monthly) revenue, less management fee, taxes and reserves. Municipal concessions: multi-variable, probability-weighted DCF over the concession term at a high infrastructure discount rate — Chicago's advisor used 10.0%-14.0% (a 4.59% risk-free rate plus a 5.5%-9.5% risk premium) over a 75-year term, producing a $1.156 billion upfront payment.</t>
        </is>
      </c>
      <c r="H21" s="28" t="inlineStr">
        <is>
          <t>• Concession value is created by a contractually-permitted rate schedule: Chicago's concessionaire was permitted to move rates from $0.25/hour to $2.00/hour over the first five years, then escalate with inflation from year six — a step schedule followed by an indexation regime, with demand elasticity determining whether revenue actually rises. Scenario year-five revenue ranged $85m to $130m depending on the elasticity assumption.
• Reserved-power / true-up compensation: the city must compensate the concessionaire when it removes metered spaces from service (street festivals, construction, permanent closures), creating an offsetting receivable that is a function of city behaviour, not the asset. This has become a large recurring line in the Chicago deal.
• Meter/equipment replacement is a recurring capital cycle: ~4,000 meters at ~$11,250 each on a 10-year replacement cycle, roughly $4.5m/year, plus enforcement and collection opex of at least $5m/year.
• Garages have a two-sided revenue book: transient revenue (highly seasonal, event-driven, elastic) and contract/monthly parkers (stable, commuter-driven, structurally impaired by remote work), which behave completely differently and should not be modeled as one line.
• Demand is derivative of adjacent land use: an office garage's NOI is a function of office occupancy nearby; a stadium lot's is a function of the event calendar. This makes parking an unusually explicit case of a driver that lives outside the asset.
• Long concession terms (75 years in Chicago) with a zero terminal value and handback of the meter system in a specified condition.</t>
        </is>
      </c>
      <c r="I21" s="28" t="inlineStr">
        <is>
          <t>• Requires a dated rate schedule with a step phase followed by an index-linked phase, and a demand elasticity linking rate to volume so revenue = rate * f(rate) rather than rate * fixed_volume.
• Requires conditional compensation receivables triggered by grantor actions (spaces removed from service x rate x hours), which is a counterparty-behaviour-driven cash flow requiring an explicit exogenous driver series.
• Requires a recurring replacement-capex cycle keyed to equipment age with a carried installed-base count, so the cycle repeats correctly over a 75-year horizon.
• Requires separate transient and contract revenue streams with independent seasonality, elasticity and growth drivers.
• Requires very long horizons (75+ years) with a zero terminal value and stable numerics — a 75-year monthly model is 900 periods.
• Requires probability-weighted scenario aggregation across a small number of named demand scenarios, which is how the Chicago valuation was actually presented.</t>
        </is>
      </c>
      <c r="J21" s="28" t="inlineStr">
        <is>
          <t>~55% reuse. CRE pack supplies the NOI stack, seasonality, expense inflation and property debt; the toll-road/P3 pack (above) shares the concession skeleton — long term, indexed tariffs, grantor compensation, handback, zero terminal value — so building P3 first makes parking nearly free. New: rate-elasticity coupling, reserved-power compensation, meter replacement cycles.</t>
        </is>
      </c>
      <c r="K21" s="28" t="inlineStr">
        <is>
          <t>The Chicago metered parking system alone was concessioned for a $1.156 billion upfront payment over 75 years, valued by William Blair with a multi-variable DCF at a 10.0%-14.0% discount rate; the city deposited $400 million into a revenue replacement fund. Municipal parking concessions of this type have since been replicated across US and European cities.</t>
        </is>
      </c>
      <c r="L21" s="28" t="inlineStr">
        <is>
          <t>Infrastructure funds running municipal monetizations (Morgan Stanley Infrastructure, Macquarie), parking operators/aggregators (SP Plus, LAZ), municipal finance advisors, and CRE funds underwriting garage acquisitions.</t>
        </is>
      </c>
      <c r="M21" s="28" t="inlineStr">
        <is>
          <t>• https://www.chicago.gov/dam/city/depts/rev/supp_info/ParkingMeter/ValueAnalysisByWilliamBlair.pdf</t>
        </is>
      </c>
    </row>
    <row r="22" ht="150" customHeight="1" s="18">
      <c r="A22" s="24" t="n">
        <v>21</v>
      </c>
      <c r="B22" s="24" t="inlineStr">
        <is>
          <t>Specialty finance, structured credit &amp; royalty/IP</t>
        </is>
      </c>
      <c r="C22" s="24" t="inlineStr">
        <is>
          <t>Securitization Tranche Waterfalls (CLO / ABS / CDO)</t>
        </is>
      </c>
      <c r="D22" s="30" t="inlineStr">
        <is>
          <t>Tier 1 — near term</t>
        </is>
      </c>
      <c r="E22" s="24" t="inlineStr">
        <is>
          <t>Ordered waterfall + trigger-gated branching + per-tranche state</t>
        </is>
      </c>
      <c r="F22" s="24" t="inlineStr">
        <is>
          <t>A pool of loans or receivables financed by a rated capital stack whose cash is allocated each period through a strict priority-of-payments waterfall governed by coverage tests.</t>
        </is>
      </c>
      <c r="G22" s="24" t="inlineStr">
        <is>
          <t>Practitioners build a collateral cash flow engine (CPR/CDR/severity/lag on the pool, often loan-by-loan) and run it through the deal's indenture waterfall to produce tranche-level cash flows; debt tranches are quoted at a discount margin / spread to the reference curve, and CLO equity is valued on projected IRR and yield-to-3-year-call across scenario grids (default/recovery/reinvestment spread/call date), with OC/IC test outcomes explicitly path-dependent.</t>
        </is>
      </c>
      <c r="H22" s="24" t="inlineStr">
        <is>
          <t>• Sequential (and sometimes pro-rata-until-trigger) principal allocation across 5-8 rated tranches plus equity, with a separate interest waterfall and principal waterfall that interact.
• Overcollateralization and interest coverage tests computed each payment date at multiple attachment points (e.g. AAA OC trigger ~127-132%, BBB ~108-112%, BB ~103-107%); failure diverts interest away from mezz/equity to redeem senior notes until the test cures.
• CCC excess haircut and discount-obligation carrying-value rules that change the OC numerator based on the composition of the pool, not just its balance.
• A reinvestment period (typically ~5 years) during which principal proceeds buy new collateral at a modeled reinvestment spread/price rather than amortizing the notes; after it ends the structure turbos down.
• Senior/subordinated manager fees and incentive fee subject to an equity IRR hurdle, paid at different points in the same waterfall.
• Equity residual is whatever survives all of the above, so its value is a nonlinear function of trigger state, not a linear claim.</t>
        </is>
      </c>
      <c r="I22" s="24" t="inlineStr">
        <is>
          <t>• Requires per-period persistent state: outstanding balance per tranche, deferred/PIK interest balances on junior notes, and cumulative default/recovery accumulators.
• Requires a first-class ordered waterfall construct: an ordered list of payment steps where each step consumes from a running 'available funds' accumulator and the remainder passes down.
• Requires conditional branching in the waterfall on a test evaluated from the current period's state (if OC_ratio &lt; trigger then divert available interest to senior principal until ratio &gt;= trigger) — i.e. a solve-to-target within a period.
• Requires two coupled waterfalls (interest and principal) with cross-links (interest diverted into principal redemption).
• Requires a reinvestment mode where collected principal is recycled into a synthetic new asset with its own par, spread, and default curve.
• Requires fee tiers gated on a cumulative IRR hurdle computed from the deal's own historical distributions.</t>
        </is>
      </c>
      <c r="J22" s="24" t="inlineStr">
        <is>
          <t>credit (~55%): loan pool amortization, CPR/CDR/severity/recovery-lag, floating coupon off a curve, servicing strip are all directly reusable as the collateral engine. New (~45%): the waterfall/trigger/state machinery, which is the hardest and most valuable piece and would be shared infrastructure for CMBS, RMBS, WBS, ABS.</t>
        </is>
      </c>
      <c r="K22" s="24" t="inlineStr">
        <is>
          <t>Guggenheim puts the CLO market at $1.4 trillion as of April 2025, within a $13.3 trillion structured credit fixed-income market (up from $263bn post-GFC).</t>
        </is>
      </c>
      <c r="L22" s="24" t="inlineStr">
        <is>
          <t>CLO managers and structurers, credit hedge funds trading CLO mezz/equity, insurance company ALM desks, rating agency analysts, and ABS/structured credit research desks at asset managers.</t>
        </is>
      </c>
      <c r="M22" s="24" t="inlineStr">
        <is>
          <t>• https://www.guggenheiminvestments.com/perspectives/portfolio-strategy/understanding-collateralized-loan-obligations-clo/
• https://collateralizedloanobligations.com/mechanics/coverage-tests</t>
        </is>
      </c>
    </row>
    <row r="23" ht="150" customHeight="1" s="18">
      <c r="A23" s="28" t="n">
        <v>22</v>
      </c>
      <c r="B23" s="28" t="inlineStr">
        <is>
          <t>Specialty finance, structured credit &amp; royalty/IP</t>
        </is>
      </c>
      <c r="C23" s="28" t="inlineStr">
        <is>
          <t>Residential Mortgage Pools &amp; RMBS (agency and non-agency)</t>
        </is>
      </c>
      <c r="D23" s="31" t="inlineStr">
        <is>
          <t>Tier 2 — follows the waterfall engine</t>
        </is>
      </c>
      <c r="E23" s="28" t="inlineStr">
        <is>
          <t>Rate-path Monte Carlo; endogenous prepayment; OAS root-find</t>
        </is>
      </c>
      <c r="F23" s="28" t="inlineStr">
        <is>
          <t>Pools of first-lien residential mortgages whose value is dominated by the borrower's prepayment option and, for non-agency, by loss allocation through a senior/subordinate structure.</t>
        </is>
      </c>
      <c r="G23" s="28" t="inlineStr">
        <is>
          <t>Agency paper is valued on option-adjusted spread — the constant spread over the risk-free curve that equates price to expected cash flows across simulated interest-rate paths, with a prepayment model responding to rate incentive, seasoning, burnout, and seasonality. Non-agency adds loan-level default, severity, and prepay projections under base and stress cases, discounted at credit- and liquidity-adjusted spreads.</t>
        </is>
      </c>
      <c r="H23" s="28" t="inlineStr">
        <is>
          <t>• Prepayment speed is an endogenous function of the simulated rate path (refi incentive = note rate minus prevailing mortgage rate), producing negative convexity — not an exogenous CPR input.
• Burnout: the pool's refi responsiveness decays as rate-sensitive borrowers exit, so the S-curve must be conditioned on the pool's own prepayment history.
• Shifting-interest structures lock prepayments to the senior classes for a fixed period, then step down to pro-rata only if delinquency and cumulative-loss triggers are passed — otherwise the step-down stays locked for years.
• Structural credit enhancement stack: subordination, excess spread, overcollateralization, with losses written up from the bottom class.
• PAC/TAC/support tranching: a PAC band absorbs prepayment variability within a collar and the support class takes the residual, so allocation depends on realized speed vs schedule.</t>
        </is>
      </c>
      <c r="I23" s="28" t="inlineStr">
        <is>
          <t>• Requires rate-path simulation (not just seeded scenario draws) with cash flows computed per path and averaged — i.e. a Monte Carlo where the discount curve and the prepay function are jointly driven by the same simulated short rate.
• Requires per-period state to carry a pool factor, cumulative prepayment history (for burnout), and cumulative realized loss for trigger evaluation.
• Requires a PAC schedule primitive: a precomputed principal schedule with min/max collar logic and overflow routing to a support class.
• Requires trigger-gated allocation switching between 100%-senior and pro-rata, with the trigger evaluated on delinquency and cumulative-loss state.
• Requires an OAS solver: root-find the constant spread that reprices the security to a given market price across the path set.</t>
        </is>
      </c>
      <c r="J23" s="28" t="inlineStr">
        <is>
          <t>credit (~40%): pool amortization, CPR/CDR, severity/recovery lag. Shares the waterfall engine with the ABS/CLO pack. New (~60%): rate-path Monte Carlo, endogenous prepayment S-curve with burnout, PAC schedules, OAS solve.</t>
        </is>
      </c>
      <c r="K23" s="28" t="inlineStr">
        <is>
          <t>Agency MBS outstanding of roughly $5.3 trillion; the legacy non-agency universe spans 22,000+ CUSIPs with $800bn+ of peak-vintage balance, and new-issue non-agency ran ~$18bn in 2024 with far larger forecasts thereafter.</t>
        </is>
      </c>
      <c r="L23" s="28" t="inlineStr">
        <is>
          <t>Mortgage REITs, agency MBS relative-value desks, insurance ALM teams, non-QM/whole-loan aggregators, and bank treasury portfolios.</t>
        </is>
      </c>
      <c r="M23" s="28" t="inlineStr">
        <is>
          <t>• https://www.corvidpartners.com/field-guide/mortgage-backed-securities/rmbs-residential-mortgage-backed-securities</t>
        </is>
      </c>
    </row>
    <row r="24" ht="150" customHeight="1" s="18">
      <c r="A24" s="24" t="n">
        <v>23</v>
      </c>
      <c r="B24" s="24" t="inlineStr">
        <is>
          <t>Specialty finance, structured credit &amp; royalty/IP</t>
        </is>
      </c>
      <c r="C24" s="24" t="inlineStr">
        <is>
          <t>Mortgage Servicing Rights (MSR)</t>
        </is>
      </c>
      <c r="D24" s="30" t="inlineStr">
        <is>
          <t>Tier 1 — near term</t>
        </is>
      </c>
      <c r="E24" s="24" t="inlineStr">
        <is>
          <t>Advance-balance state; rate-driven prepayment (no waterfall needed)</t>
        </is>
      </c>
      <c r="F24" s="24" t="inlineStr">
        <is>
          <t>The contractual right to service a pool of mortgages in exchange for a strip of the interest coupon, plus escrow float and ancillary fees, less the cost to service — a negative-duration asset that dies when the loan prepays.</t>
        </is>
      </c>
      <c r="G24" s="24" t="inlineStr">
        <is>
          <t>DCF of the net servicing cash flow strip over a prepayment- and default-decremented balance, discounted at a required yield; quoted in the market as a multiple of the annual servicing fee (moderately seasoned sub-5% coupon portfolios traded around 5.00x-5.50x in 2025). Values are stress-tested against parallel rate shocks because the asset gains value as rates rise.</t>
        </is>
      </c>
      <c r="H24" s="24" t="inlineStr">
        <is>
          <t>• Revenue is a fixed basis-point strip (typically 25bp) on a declining balance, so value is a pure survival-weighted annuity on the pool factor.
• Escrow and custodial float income is earned on average escrow balances at a short-rate index — a second, positively rate-sensitive revenue line with completely different drivers than the fee strip.
• Cost to service is a per-loan fixed dollar amount, not a percentage, and it steps up sharply for delinquent loans, so unit economics deteriorate nonlinearly with the delinquency rate.
• Delinquency forces principal, interest, tax and insurance advances that the servicer funds and recovers later — a negative-carry receivable with its own financing cost.
• Ancillary income (late fees, recording fees) is event-driven off delinquency and payoff counts rather than balance.
• Recapture: the servicer's own refi capture rate partially offsets prepayment, so effective runoff is gross CPR net of a recapture assumption.</t>
        </is>
      </c>
      <c r="I24" s="24" t="inlineStr">
        <is>
          <t>• Requires modeling a per-loan (or per-strata) count alongside balance, because cost to service and ancillary fees are per-unit and fees are per-basis-point.
• Requires a rate-driven prepayment function so the asset's negative duration emerges from the model rather than being asserted.
• Requires per-period state for an advance balance: advances accrue when a loan is delinquent, carry a financing cost, and are recovered on cure or liquidation.
• Requires a float-income line computed on average escrow balance times a short-rate curve, with escrow balance itself a function of the tax/insurance payment calendar.
• Requires stratification: the pool must be decomposable into buckets by note rate and vintage, each with its own refi incentive, then aggregated.</t>
        </is>
      </c>
      <c r="J24" s="24" t="inlineStr">
        <is>
          <t>credit (~35%): loan pool amortization with CPR/CDR and the servicing-strip primitive already exists. energy (~5%) for curve handling. New (~60%): per-unit cost economics, escrow float, advance state, recapture, and the rate-sensitivity framing.</t>
        </is>
      </c>
      <c r="K24" s="24" t="inlineStr">
        <is>
          <t>Bulk MSR trading ran ~$700bn UPB per year at the 2022-23 peak and about 35% of that pace in 2025 (~$245bn); September 2025 alone saw over $50bn of bulk offerings, with multiples around 5.00x-5.50x.</t>
        </is>
      </c>
      <c r="L24" s="24" t="inlineStr">
        <is>
          <t>Mortgage REITs (Rithm, Two Harbors-style), independent mortgage bankers hedging their servicing book, MSR funds, and bank mortgage-banking desks.</t>
        </is>
      </c>
      <c r="M24" s="24" t="inlineStr">
        <is>
          <t>• https://www.housingwire.com/articles/msr-trades-strategic-shift-2025/
• https://mct-trading.com/whitepaper/mortgage-servicing-rights/</t>
        </is>
      </c>
    </row>
    <row r="25" ht="150" customHeight="1" s="18">
      <c r="A25" s="28" t="n">
        <v>24</v>
      </c>
      <c r="B25" s="28" t="inlineStr">
        <is>
          <t>Specialty finance, structured credit &amp; royalty/IP</t>
        </is>
      </c>
      <c r="C25" s="28" t="inlineStr">
        <is>
          <t>CMBS / Commercial Mortgage Loan Securitization</t>
        </is>
      </c>
      <c r="D25" s="31" t="inlineStr">
        <is>
          <t>Tier 2 — follows the waterfall engine</t>
        </is>
      </c>
      <c r="E25" s="28" t="inlineStr">
        <is>
          <t>Per-loan status state; balloon refinance test; interest-shortfall reallocation</t>
        </is>
      </c>
      <c r="F25" s="28" t="inlineStr">
        <is>
          <t>Conduit or single-asset-single-borrower bonds backed by commercial mortgages, where property-level NOI drives loan performance and the trust waterfall allocates interest, principal, and losses across a rated stack.</t>
        </is>
      </c>
      <c r="G25" s="28" t="inlineStr">
        <is>
          <t>Loan-by-loan underwriting of the underlying properties (NOI, DSCR, LTV, refinance takeout at maturity), then a trust-level cash flow run producing tranche yields and loss-adjusted spreads; distressed classes are valued on modified/extended cash flows net of appraisal reductions, special servicing fees, and advance recoveries.</t>
        </is>
      </c>
      <c r="H25" s="28" t="inlineStr">
        <is>
          <t>• Prepayment is contractually suppressed rather than modeled: lockout periods, defeasance with a Treasury portfolio substituted as collateral, and yield-maintenance penalties that are themselves allocated to specific bondholders.
• Balloon/maturity default is the dominant credit event — the loan performs for its whole term and then fails to refinance, so the loss distribution is concentrated at a single date.
• Master servicer advances of P&amp;I and property protection, which are senior-most in recovery and reduce trust cash flow; advances are curtailed once declared non-recoverable ($10.4bn of non-recoverable advances outstanding, up more than tenfold in three years).
• Appraisal Reduction Amounts reduce the advance obligation and reallocate interest shortfalls upward through the stack, changing which classes get paid ($24.4bn of ARAs across 469 loans).
• Special servicing transfer with workout fees, liquidation fees, and modification/extension options that reshape the loan's cash flow mid-life.
• Controlling-class / directing-holder rights and A/B note or mezzanine splits outside the trust.</t>
        </is>
      </c>
      <c r="I25" s="28" t="inlineStr">
        <is>
          <t>• Requires per-loan state carrying delinquency status, cumulative advances, appraisal-reduction amount, and special-servicing flag, with transitions between statuses each period.
• Requires a balloon/refinance test at loan maturity: compare refinance proceeds at an exit debt yield to the balloon balance and route the shortfall to either extension or liquidation.
• Requires prepayment-penalty computation (yield maintenance as a PV of foregone spread over a Treasury curve) and its allocation to designated classes.
• Requires the shared ordered-waterfall engine plus interest-shortfall reallocation logic that writes shortfalls up from the bottom class.
• Requires property-level NOI to feed loan-level DSCR, i.e. composition of a CRE cash flow model into a credit model.</t>
        </is>
      </c>
      <c r="J25" s="28" t="inlineStr">
        <is>
          <t>cre (~40%) for the property-level NOI, lease rollover, and exit-cap machinery; credit (~20%) for loan amortization; shares the ABS waterfall engine. New (~40%): advances, appraisal reductions, special servicing, defeasance/yield maintenance, balloon refinance test.</t>
        </is>
      </c>
      <c r="K25" s="28" t="inlineStr">
        <is>
          <t>Loans requiring servicer advances reached $55bn, or 8.3% of outstanding CMBS balances, as of KBRA's 2025 study — implying an outstanding CMBS universe on the order of $660bn tracked in that dataset.</t>
        </is>
      </c>
      <c r="L25" s="28" t="inlineStr">
        <is>
          <t>CMBS B-piece buyers and special servicers, CRE debt funds, insurance company CRE lending desks, and CMBS trading/research desks.</t>
        </is>
      </c>
      <c r="M25" s="28" t="inlineStr">
        <is>
          <t>• https://www.kbra.com/publications/SWzHSzDL/kbra-releases-research-cmbs-servicer-advances-curtailments-accelerate</t>
        </is>
      </c>
    </row>
    <row r="26" ht="150" customHeight="1" s="18">
      <c r="A26" s="24" t="n">
        <v>25</v>
      </c>
      <c r="B26" s="24" t="inlineStr">
        <is>
          <t>Specialty finance, structured credit &amp; royalty/IP</t>
        </is>
      </c>
      <c r="C26" s="24" t="inlineStr">
        <is>
          <t>Whole Business Securitization / Franchise Royalty ABS</t>
        </is>
      </c>
      <c r="D26" s="32" t="inlineStr">
        <is>
          <t>Tier 3 — recombination of Tier 1 primitives</t>
        </is>
      </c>
      <c r="E26" s="24" t="inlineStr">
        <is>
          <t>Cash-trap reserve state; covenant ladder with hysteresis; TTM window</t>
        </is>
      </c>
      <c r="F26" s="24" t="inlineStr">
        <is>
          <t>A franchisor's brand IP, franchise royalty streams, and supply-chain profits are contributed to a bankruptcy-remote issuer that borrows against them with DSCR-triggered cash trapping.</t>
        </is>
      </c>
      <c r="G26" s="24" t="inlineStr">
        <is>
          <t>Project a system-wide-sales-driven royalty stream (unit count x average unit volume x royalty rate, plus franchise fees, supplier rebates, and company-store EBITDA), subtract a capped management fee, and test the resulting cash against the DSCR covenant ladder; bonds are then priced off a hybrid of corporate credit analysis on the franchise system and structural analysis of the waterfall, with heavy weight on the Anticipated Repayment Date refinance rather than legal final.</t>
        </is>
      </c>
      <c r="H26" s="24" t="inlineStr">
        <is>
          <t>• A DSCR covenant ladder (typically 1.75x cash trap / 1.20x rapid amortization against a ~1.6x+ minimum) where each rung changes the destination of excess cash rather than causing default.
• Cash trapping: excess cash is swept into a reserve account instead of distributed to the parent, and released only after a cure period of passing tests.
• Anticipated Repayment Date structure — a 25-30 year legal final with an expected 5-7 year refinance, after which the coupon steps up punitively and 100% of cash flow turbos to principal.
• A capped, senior-ranking management fee paid to the operating parent, creating a structural conflict when the parent is stressed.
• Interest reserve accounts sized to 3-6 months of debt service that absorb shortfalls without triggering acceleration.
• Revenue is unit-count-driven: net new unit openings, closures, and same-store-sales growth compound into system-wide sales, which is what the royalty percentage attaches to.</t>
        </is>
      </c>
      <c r="I26" s="24" t="inlineStr">
        <is>
          <t>• Requires per-period persistent state for a cash-trap reserve balance and a liquidity reserve balance, with deposit rules and release conditions.
• Requires a covenant-ladder construct: evaluate a ratio computed on a trailing-twelve-month basis and select among distribution modes (normal / trapped / rapid amortization) with hysteresis (a cure requires N consecutive passing periods).
• Requires a trailing-window aggregation operator (TTM DSCR) over prior periods' computed values.
• Requires a coupon that steps up at a date and an amortization mode that flips from interest-only to full turbo at the same event.
• Requires a unit-cohort revenue build: openings and closures per period feeding a unit count, each vintage carrying its own ramp to mature AUV.</t>
        </is>
      </c>
      <c r="J26" s="24" t="inlineStr">
        <is>
          <t>opco (~35%): revenue/opex lines, capex, term debt, EBITDA-multiple exit. Shares the trigger/reserve engine with ABS and project finance. New (~65%): unit cohort build, DSCR ladder with hysteresis, cash trap reserves, ARD step-up/turbo.</t>
        </is>
      </c>
      <c r="K26" s="24" t="inlineStr">
        <is>
          <t>An established esoteric ABS sector spanning franchised QSR (Dunkin', Domino's), fitness (Planet Fitness), and services (Servpro, Primrose, Neighborly); Subway's program alone totals $5.7bn across three bond sales, and individual deals routinely price at $400m-$2.3bn.</t>
        </is>
      </c>
      <c r="L26" s="24" t="inlineStr">
        <is>
          <t>Esoteric ABS investors at insurance companies and asset managers, franchise-focused private equity sponsors sizing WBS capacity, and structured finance bankers.</t>
        </is>
      </c>
      <c r="M26" s="24" t="inlineStr">
        <is>
          <t>• https://www.corvidpartners.com/field-guide/securitization/whole-business-securitization
• https://www.troweprice.com/en/us/insights/bonds-backed-by-franchise-fees-or-internet-bills-the-rise-of-esoteric-abs</t>
        </is>
      </c>
    </row>
    <row r="27" ht="150" customHeight="1" s="18">
      <c r="A27" s="28" t="n">
        <v>26</v>
      </c>
      <c r="B27" s="28" t="inlineStr">
        <is>
          <t>Specialty finance, structured credit &amp; royalty/IP</t>
        </is>
      </c>
      <c r="C27" s="28" t="inlineStr">
        <is>
          <t>Music Catalog Royalties</t>
        </is>
      </c>
      <c r="D27" s="32" t="inlineStr">
        <is>
          <t>Tier 3 — recombination of Tier 1 primitives</t>
        </is>
      </c>
      <c r="E27" s="28" t="inlineStr">
        <is>
          <t>Vintage decay cohorts; collection-lag operator; recoupment balance</t>
        </is>
      </c>
      <c r="F27" s="28" t="inlineStr">
        <is>
          <t>Ownership of publishing (composition) and/or master recording copyrights that generate mechanical, performance, synchronization, and digital royalties from third-party collection societies.</t>
        </is>
      </c>
      <c r="G27" s="28" t="inlineStr">
        <is>
          <t>Apply a multiple to Net Publisher's Share (or Net Label's Share) — roughly 10x-18x LTM NPS for evergreen catalogs with high 'Dollar Age', 5x-10x for modern catalogs, 3x-5x for catalogs under three years — cross-checked against a DCF using an explicit decay curve to a terminal stabilized annuity. Blackstone's Hipgnosis acquisition implied roughly 15x revenue.</t>
        </is>
      </c>
      <c r="H27" s="28" t="inlineStr">
        <is>
          <t>• Song-level (or vintage-level) decay: earnings peak within 3-12 months of release, decline steeply for ~3 years, then stabilize into a long flat tail from years 4-10, so the catalog is a superposition of cohorts at different points on the same curve.
• Five structurally different royalty lines (mechanical, performance, sync, master/neighbouring, digital performance) with different payors, different growth rates, and different collection lags.
• 6-12 month collection lag through PROs, publishers, and societies, with administration fees skimmed at each hop — cash received in period t reflects consumption in t-2 or t-3.
• Writer/artist splits: the investor owns NPS or NLS, which is gross royalty net of a contractual pass-through to the songwriter or performer, sometimes with unrecouped advance balances that must be earned back first.
• Copyright term expiry and US reversion/termination rights (35-year recapture) impose a hard or probabilistic end date on specific vintages.
• Sync is lumpy and event-driven, not a rate times a base.</t>
        </is>
      </c>
      <c r="I27" s="28" t="inlineStr">
        <is>
          <t>• Requires a cohort/vintage construct: N assets each with a release date, each mapped onto a shared parametric decay curve evaluated at (t - release_date), then summed.
• Requires a collection-lag operator that shifts a computed revenue series forward by a configurable number of months with a different lag per royalty line.
• Requires per-period state to track an unrecouped advance balance that absorbs royalties until zero, after which pass-throughs begin.
• Requires a term/expiry mask per vintage so a cohort's contribution goes to zero at copyright expiry or an assumed reversion date.
• Requires a distinct 'event' revenue type (sync placements) modeled as a Poisson-like frequency times a severity distribution under Monte Carlo, layered on the deterministic annuity.</t>
        </is>
      </c>
      <c r="J27" s="28" t="inlineStr">
        <is>
          <t>cre (~20%) — the lease-by-lease + rollover + expiry pattern is structurally analogous to per-song cohorts with term expiry; opco (~15%) for the cost side. New (~65%): decay curves by vintage, multi-line royalty splits, collection lags, recoupment state.</t>
        </is>
      </c>
      <c r="K27" s="28" t="inlineStr">
        <is>
          <t>Global recorded music reached $105bn in 2024 with projections near $200bn by 2035; the Hipgnosis Songs Fund catalog alone was independently valued at $2.36bn ahead of the Blackstone/Concord contest.</t>
        </is>
      </c>
      <c r="L27" s="28" t="inlineStr">
        <is>
          <t>Music royalty funds (Hipgnosis/Blackstone, Litmus, Duetti-style), private credit funds lending against catalogs, major publisher corp-dev teams, and family offices in the royalty aggregation space.</t>
        </is>
      </c>
      <c r="M27" s="28" t="inlineStr">
        <is>
          <t>• https://www.longangle.com/alts-education/music-royalties</t>
        </is>
      </c>
    </row>
    <row r="28" ht="150" customHeight="1" s="18">
      <c r="A28" s="24" t="n">
        <v>27</v>
      </c>
      <c r="B28" s="24" t="inlineStr">
        <is>
          <t>Specialty finance, structured credit &amp; royalty/IP</t>
        </is>
      </c>
      <c r="C28" s="24" t="inlineStr">
        <is>
          <t>Film &amp; TV Content Libraries ('Ultimates')</t>
        </is>
      </c>
      <c r="D28" s="32" t="inlineStr">
        <is>
          <t>Tier 3 — recombination of Tier 1 primitives</t>
        </is>
      </c>
      <c r="E28" s="24" t="inlineStr">
        <is>
          <t>Per-title window offsets; per-asset recoupment waterfall; revision semantics</t>
        </is>
      </c>
      <c r="F28" s="24" t="inlineStr">
        <is>
          <t>A slate or library of film and television titles whose economics are governed by an 'ultimate' revenue forecast across sequential distribution windows, net of participations and residuals.</t>
        </is>
      </c>
      <c r="G28" s="24" t="inlineStr">
        <is>
          <t>Build a per-title 'ultimate' — the total revenue expected over the first cycle, roughly 7-10 years from theatrical release — then recognize costs on the individual-film-forecast method (period revenue divided by remaining ultimate), and value the library as the PV of remaining ultimates net of participations, residuals, and distribution fees, with impairment testing when actuals diverge.</t>
        </is>
      </c>
      <c r="H28" s="24" t="inlineStr">
        <is>
          <t>• Sequential release windows (theatrical domestic/international, PVOD, home entertainment, SVOD license, pay TV, free TV) each opening at a fixed offset from the release date with its own revenue share and its own decay.
• Individual-film-forecast amortization: cost recognized is a ratio of current-period revenue to total remaining ultimate, so revising the ultimate retroactively reshapes the entire remaining expense schedule.
• Participations: contingent talent compensation triggered when a title crosses a defined cash breakeven, computed on gross or net receipts depending on the deal — a step function, not a linear share.
• Residuals: guild payments (SAG-AFTRA, DGA, WGA) accrued as a percentage of distributor revenue from ancillary markets only.
• Distributor fee and P&amp;A recoupment waterfall: the distributor recoups prints-and-advertising and its fee off the top before the producer sees anything.
• SVOD licensing renewals are lumpy, multi-year, fixed-fee, and recognized on availability date rather than smoothly.</t>
        </is>
      </c>
      <c r="I28" s="24" t="inlineStr">
        <is>
          <t>• Requires a per-title timeline offset construct: window k opens at release + offset_k and carries its own duration and decay shape.
• Requires a cumulative-receipts state variable per title to evaluate cash-breakeven step triggers for participations.
• Requires the ability to express a recoupment waterfall at the individual asset level (P&amp;A, distribution fee, negative cost, then participations) — the same ordered-waterfall primitive as ABS, applied per title.
• Requires revision semantics: if the ultimate is updated, the remaining amortization schedule must be recomputed from cumulative-to-date, which needs cumulative state.
• Requires event-timed fixed-fee licenses (an SVOD renewal every N years at a negotiated rate) as a distinct cash flow type.</t>
        </is>
      </c>
      <c r="J28" s="24" t="inlineStr">
        <is>
          <t>opco (~20%) and the music royalty pack's cohort/decay machinery (~30% shared). New (~50%): window offsets, IFF amortization, participation breakeven steps, residuals accrual.</t>
        </is>
      </c>
      <c r="K28" s="24" t="inlineStr">
        <is>
          <t>A recognized institutional asset class in specialty finance; the accounting and forecasting framework is codified under ASC 926-20 with studios building ultimates 18-24 months pre-release across a 7-10 year first cycle.</t>
        </is>
      </c>
      <c r="L28" s="24" t="inlineStr">
        <is>
          <t>Content library funds and media specialty lenders, studio corp-dev and FP&amp;A teams, film slate financiers, and private credit funds doing library-backed loans.</t>
        </is>
      </c>
      <c r="M28" s="24" t="inlineStr">
        <is>
          <t>• https://8020consulting.com/blog/entertainment-finance-perfecting-film-ultimates</t>
        </is>
      </c>
    </row>
    <row r="29" ht="150" customHeight="1" s="18">
      <c r="A29" s="28" t="n">
        <v>28</v>
      </c>
      <c r="B29" s="28" t="inlineStr">
        <is>
          <t>Specialty finance, structured credit &amp; royalty/IP</t>
        </is>
      </c>
      <c r="C29" s="28" t="inlineStr">
        <is>
          <t>Pharmaceutical &amp; Biotech Royalty Monetization</t>
        </is>
      </c>
      <c r="D29" s="32" t="inlineStr">
        <is>
          <t>Tier 3 — recombination of Tier 1 primitives</t>
        </is>
      </c>
      <c r="E29" s="28" t="inlineStr">
        <is>
          <t>Probability trees; within-year tier accumulator; cumulative-cap termination</t>
        </is>
      </c>
      <c r="F29" s="28" t="inlineStr">
        <is>
          <t>Purchase of a royalty entitlement on an approved or development-stage drug's net sales, or creation of a synthetic royalty in exchange for development funding.</t>
        </is>
      </c>
      <c r="G29" s="28" t="inlineStr">
        <is>
          <t>Risk-adjusted NPV: forecast drug net sales, apply the contractual royalty tier structure, then weight each period's cash flow by the cumulative probability of technical and regulatory success (product of stage-by-stage success rates), and discount at 10-13% for large-cap acquirers (higher for single-asset or development-stage royalties). Milestones are modeled as probability-weighted lump sums at their trigger events.</t>
        </is>
      </c>
      <c r="H29" s="28" t="inlineStr">
        <is>
          <t>• Tiered royalty rates: the rate steps up as annual net sales cross thresholds, and the tiers reset every calendar year, so the effective rate is a piecewise function of within-year cumulative sales.
• Cumulative probability of success cascading through phases — the Phase 3 cost and every downstream cash flow is weighted by POS(Ph1) x POS(Ph2), producing a decision-tree-shaped cash flow rather than a scenario.
• Loss-of-exclusivity cliff: on patent expiry, net sales fall by 60-90% within 12-24 months on a modeled erosion curve; the LOE date itself may be uncertain (litigation, pediatric extension).
• Royalty stacking and anti-stacking offsets: the royalty payable is reduced by third-party licence payments, subject to a floor.
• Development or regulatory milestones paid on discrete events (first patient dosed, approval, first commercial sale, sales thresholds).
• Caps and step-downs: many synthetic royalties terminate at a hard multiple of invested capital (e.g. 1.75x-2.0x MOIC), converting the tail into a capped annuity.</t>
        </is>
      </c>
      <c r="I29" s="28" t="inlineStr">
        <is>
          <t>• Requires probability-tree semantics: nodes with success/failure branches whose downstream cash flows are weighted by cumulative path probability, distinct from Monte Carlo draws.
• Requires a within-year cumulative accumulator so tiered royalty rates can be applied to marginal sales bands and reset annually.
• Requires a hard-stop rule on cumulative cash received (terminate the stream once cumulative receipts reach X times invested capital) — cumulative-state-dependent termination.
• Requires event-timed milestone payments conditioned on the probability tree node being reached.
• Requires a parametric erosion curve triggered at a (possibly stochastic) LOE date.</t>
        </is>
      </c>
      <c r="J29" s="28" t="inlineStr">
        <is>
          <t>credit (~15%) for the cash-cap/MOIC framing; energy (~10%) for curve-driven volume x price revenue. New (~75%): probability trees, tiered rates, LOE erosion, milestone events.</t>
        </is>
      </c>
      <c r="K29" s="28" t="inlineStr">
        <is>
          <t>Royalty Pharma alone collected $3,254m of portfolio receipts in 2025 (+16% y/y) and deployed $2.6bn on royalty transactions including its largest-ever year of announced synthetic royalties; annual biopharma royalty funding is now a multi-billion-dollar market with numerous dedicated funds.</t>
        </is>
      </c>
      <c r="L29" s="28" t="inlineStr">
        <is>
          <t>Dedicated royalty funds (Royalty Pharma, HealthCare Royalty, DRI, Blackstone Life Sciences), biotech CFOs evaluating monetization vs equity, and life-sciences private credit desks.</t>
        </is>
      </c>
      <c r="M29" s="28" t="inlineStr">
        <is>
          <t>• https://www.royaltypharma.com/news/royalty-pharma-reports-q4-and-full-year-2025-results/
• https://www.alacrita.com/whitepapers/valuing-pharmaceutical-assets-when-to-use-npv-vs-rnpv</t>
        </is>
      </c>
    </row>
    <row r="30" ht="150" customHeight="1" s="18">
      <c r="A30" s="24" t="n">
        <v>29</v>
      </c>
      <c r="B30" s="24" t="inlineStr">
        <is>
          <t>Specialty finance, structured credit &amp; royalty/IP</t>
        </is>
      </c>
      <c r="C30" s="24" t="inlineStr">
        <is>
          <t>Litigation Finance</t>
        </is>
      </c>
      <c r="D30" s="32" t="inlineStr">
        <is>
          <t>Tier 3 — recombination of Tier 1 primitives</t>
        </is>
      </c>
      <c r="E30" s="24" t="inlineStr">
        <is>
          <t>Stochastic resolution timing; greater-of time-tiered MOIC waterfall</t>
        </is>
      </c>
      <c r="F30" s="24" t="inlineStr">
        <is>
          <t>Non-recourse capital advanced against the proceeds of a legal claim or a cross-collateralized portfolio of claims, repaid out of settlement or judgment proceeds via a contractual return waterfall.</t>
        </is>
      </c>
      <c r="G30" s="24" t="inlineStr">
        <is>
          <t>Probability-weighted expected value: estimate win probability, damages distribution, and appeal risk, then apply the deal's return waterfall (typically the greater of a multiple of deployed capital or a percentage of proceeds, escalating with time to resolution) and discount at a high required return; funders mark positions on milestone events and value portfolios on expected MOIC and duration.</t>
        </is>
      </c>
      <c r="H30" s="24" t="inlineStr">
        <is>
          <t>• Return is 'greater of' a time-escalating multiple of capital deployed and a percentage of gross recovery — a max() over two schedules, one of which steps up by year since deployment.
• Capital is deployed in tranches tied to litigation milestones (complaint filed, discovery, summary judgment, trial), each with its own drawdown probability, so committed capital is not deployed capital.
• Duration is stochastic and the single biggest value driver: resolution can arrive at any point along a hazard curve, with the multiple owed depending on when.
• Fully non-recourse binary outcomes: loss means total write-off of deployed capital, so the distribution is bimodal rather than continuous.
• Portfolio deals cross-collateralize a bundle of cases with a single waterfall at the portfolio level, changing the loss distribution materially versus single-case (portfolio deals averaged $16.5m vs $6.6m single-matter in 2024).
• Appeal and enforcement/collection risk apply an additional haircut and delay after a nominal 'win'.</t>
        </is>
      </c>
      <c r="I30" s="24" t="inlineStr">
        <is>
          <t>• Requires stochastic event timing: a resolution date drawn from a hazard/duration distribution per case, with cash flows and the owed multiple evaluated at the drawn date.
• Requires per-case state for cumulative capital deployed, since the return owed is a function of deployment amount and deployment-to-resolution elapsed time.
• Requires a max()/greater-of return construct combining a time-tiered MOIC schedule and a percentage-of-proceeds schedule.
• Requires milestone-conditioned drawdowns: subsequent tranches funded only if the case survives to the milestone.
• Requires portfolio-level cross-collateralization: aggregate proceeds across correlated cases before applying a single waterfall, with a correlation structure across case outcomes.</t>
        </is>
      </c>
      <c r="J30" s="24" t="inlineStr">
        <is>
          <t>credit (~20%) for non-accrual/recovery-lag framing; Monte Carlo infrastructure reused. New (~80%): binary outcome trees, stochastic duration, time-tiered MOIC waterfalls, milestone-gated deployment.</t>
        </is>
      </c>
      <c r="K30" s="24" t="inlineStr">
        <is>
          <t>US commercial litigation finance AUM of $16.1bn (Westfleet, 2024) with $2.3bn of new commitments across 287 deals in 2024; portfolio deals were 67% of new commitments at an average $16.5m.</t>
        </is>
      </c>
      <c r="L30" s="24" t="inlineStr">
        <is>
          <t>Litigation funders (Burford, Fortress legal assets, Parabellum, Longford), law firm CFOs evaluating funding terms, and LPs underwriting litigation finance funds.</t>
        </is>
      </c>
      <c r="M30" s="24" t="inlineStr">
        <is>
          <t>• https://natlawreview.com/article/market-perspective-what-true-size-commercial-litigation-funding-industry
• https://www.westfleetadvisors.com/wp-content/uploads/2025/03/WestfleetInsider-2024-Litigation-Finance-Report.pdf</t>
        </is>
      </c>
    </row>
    <row r="31" ht="150" customHeight="1" s="18">
      <c r="A31" s="28" t="n">
        <v>30</v>
      </c>
      <c r="B31" s="28" t="inlineStr">
        <is>
          <t>Specialty finance, structured credit &amp; royalty/IP</t>
        </is>
      </c>
      <c r="C31" s="28" t="inlineStr">
        <is>
          <t>Life Settlements / Longevity-Contingent Assets</t>
        </is>
      </c>
      <c r="D31" s="31" t="inlineStr">
        <is>
          <t>Tier 2 — longevity pair</t>
        </is>
      </c>
      <c r="E31" s="28" t="inlineStr">
        <is>
          <t>Actuarial decrement subsystem; per-policy account state; premium solve</t>
        </is>
      </c>
      <c r="F31" s="28" t="inlineStr">
        <is>
          <t>Purchased in-force life insurance policies where the investor pays ongoing premiums and collects the death benefit whenever the insured dies.</t>
        </is>
      </c>
      <c r="G31" s="28" t="inlineStr">
        <is>
          <t>Probabilistic DCF over survival curves: each future period's premium outflow is weighted by the probability the insured is alive and each period's death benefit inflow by the probability of death in that period, using a VBT-style mortality table scaled by an insured-specific mortality multiplier from a life expectancy underwriter, discounted at a market-observed rate set periodically by the valuation agent against recent transaction levels.</t>
        </is>
      </c>
      <c r="H31" s="28" t="inlineStr">
        <is>
          <t>• Every cash flow is survival-probability-weighted, not deterministic: value = sum over t of [ q(t) x DB x df(t) - p(t) x Premium(t) x df(t) ], where p and q come from a decrement table.
• Premium optimization: the premium schedule is a decision variable, not an input — the investor solves for the minimum premium that keeps the policy in force (using cash value, shadow account, and no-lapse guarantee mechanics), and this materially changes value.
• Cost-of-insurance rate increases by the carrier are a distinct downside risk that raises the required premium mid-life.
• Longevity risk is inverted relative to annuities: living longer destroys value, so duration is negative in mortality.
• Mortality multipliers apply a scalar to table qx, and the multiplier itself is a re-underwritable estimate that can be revised, repricing the whole portfolio.
• Portfolio-level cash flow is extremely lumpy and requires stochastic simulation of individual deaths, not expected values, to size the premium reserve.</t>
        </is>
      </c>
      <c r="I31" s="28" t="inlineStr">
        <is>
          <t>• Requires actuarial decrement primitives: mortality tables indexed by age/sex/smoker, a mortality multiplier scalar, and derived survival p(t) and death q(t) probability vectors.
• Requires probability-weighted cash flow composition as a first-class operation across a portfolio of independent lives.
• Requires per-policy state to track the policy account value / shadow account so premium optimization can be expressed (pay the minimum that keeps account value above zero).
• Requires Monte Carlo over Bernoulli death events per life per period, aggregated to portfolio cash flow, to produce premium-reserve and liquidity distributions.
• Requires a solve-for-minimum-premium capability (a per-period root-find against a lapse constraint).</t>
        </is>
      </c>
      <c r="J31" s="28" t="inlineStr">
        <is>
          <t>credit (~15%) — the survival/decrement structure is a generalization of CPR/CDR pool decrements; Monte Carlo engine reused. New (~85%): mortality tables, multipliers, account-value/shadow-account state, premium optimization.</t>
        </is>
      </c>
      <c r="K31" s="28" t="inlineStr">
        <is>
          <t>Conning estimates average annual gross market potential of $224bn of face value with annual settled volumes projected around $4.6bn (2025 Life Settlements Strategic Study).</t>
        </is>
      </c>
      <c r="L31" s="28" t="inlineStr">
        <is>
          <t>Life settlement funds and longevity funds, insurance-linked multi-strategy managers, and secondary-market policy providers/valuation agents.</t>
        </is>
      </c>
      <c r="M31" s="28" t="inlineStr">
        <is>
          <t>• https://www.conning.com/about-us/news/ir-pr---life-settlements-2025
• https://www.colvaservices.com/life-settlement-valuation/</t>
        </is>
      </c>
    </row>
    <row r="32" ht="150" customHeight="1" s="18">
      <c r="A32" s="24" t="n">
        <v>31</v>
      </c>
      <c r="B32" s="24" t="inlineStr">
        <is>
          <t>Specialty finance, structured credit &amp; royalty/IP</t>
        </is>
      </c>
      <c r="C32" s="24" t="inlineStr">
        <is>
          <t>Pension Risk Transfer &amp; Annuity Liability Blocks</t>
        </is>
      </c>
      <c r="D32" s="31" t="inlineStr">
        <is>
          <t>Tier 2 — longevity pair</t>
        </is>
      </c>
      <c r="E32" s="24" t="inlineStr">
        <is>
          <t>Generational mortality tables; seriatim modelling; spot-curve discounting</t>
        </is>
      </c>
      <c r="F32" s="24" t="inlineStr">
        <is>
          <t>A block of defined-benefit pension or annuity obligations transferred to an insurer, priced as the PV of survival-weighted benefit payments plus expenses and capital charges.</t>
        </is>
      </c>
      <c r="G32" s="24" t="inlineStr">
        <is>
          <t>Actuarial present value of projected benefit cash flows discounted on an insurer-specific asset-earned or spot curve, using base mortality tables with generational improvement scales; pricing is quoted as a percentage of the plan's accounting liability (PBO/ABO) and the insurer solves for the asset portfolio that cash-flow-matches or duration-matches the liability, plus a spread for capital and expenses.</t>
        </is>
      </c>
      <c r="H32" s="24" t="inlineStr">
        <is>
          <t>• Benefit cash flows are survival-weighted annuities per participant with participant-specific commencement ages, joint-and-survivor forms, and period-certain guarantees.
• Mortality improvement scales project qx forward year by year, so the survival curve for a 2026 65-year-old differs from a 2040 65-year-old at the same age.
• Discounting is on a full spot curve (not a single rate), so the liability's sensitivity is a key-rate duration vector, and the price is highly sensitive to curve shape.
• Buy-in vs buy-out: a buy-in leaves the liability on the plan and the annuity contract sits as a plan asset (perfect hedge, reversible), while a buy-out extinguishes it — different accounting and different cash flow ownership.
• COLA / indexation clauses link benefits to an inflation index with caps and floors.
• Lump-sum election windows let participants commute their annuity, creating an anti-selective decrement alongside mortality.</t>
        </is>
      </c>
      <c r="I32" s="24" t="inlineStr">
        <is>
          <t>• Requires actuarial decrement tables with generational improvement projection (a two-dimensional qx by age and calendar year).
• Requires seriatim participant-level modeling with per-participant commencement dates, benefit forms, and joint-life survival (a two-life survival function).
• Requires full spot-curve discounting with key-rate bucketing, not a scalar discount rate.
• Requires inflation-indexed cash flows with caps and floors applied to a cumulative index level.
• Requires an election/decrement branch (lump sum vs annuity) applied as a probability-weighted split at a specific date.</t>
        </is>
      </c>
      <c r="J32" s="24" t="inlineStr">
        <is>
          <t>credit (~10%) for the level-pay/annuity math and curve handling; heavy overlap with the life settlements pack's decrement engine (~40% shared). New (~50%): generational improvement, joint-life, seriatim participant data, key-rate curve.</t>
        </is>
      </c>
      <c r="K32" s="24" t="inlineStr">
        <is>
          <t>The US PRT market transferred nearly $49bn of premium across roughly 750 transactions in 2025 — the fourth consecutive year above $45bn — with buy-ins alone over $17bn across 20 transactions.</t>
        </is>
      </c>
      <c r="L32" s="24" t="inlineStr">
        <is>
          <t>Life insurers' PRT pricing desks, pension consultants (Mercer, WTW, Aon), corporate treasury teams evaluating termination economics, and insurance-focused private equity (the Athene/Apollo-style annuity buyers).</t>
        </is>
      </c>
      <c r="M32" s="24" t="inlineStr">
        <is>
          <t>• https://www.mercer.com/en-us/insights/retirement/defined-benefit-plans/pension-risk-transfer-market-update-2025-review/</t>
        </is>
      </c>
    </row>
    <row r="33" ht="150" customHeight="1" s="18">
      <c r="A33" s="28" t="n">
        <v>32</v>
      </c>
      <c r="B33" s="28" t="inlineStr">
        <is>
          <t>Specialty finance, structured credit &amp; royalty/IP</t>
        </is>
      </c>
      <c r="C33" s="28" t="inlineStr">
        <is>
          <t>Insurance-Linked Securities: Cat Bonds, Sidecars, Collateralized Re</t>
        </is>
      </c>
      <c r="D33" s="30" t="inlineStr">
        <is>
          <t>Tier 1 — near term</t>
        </is>
      </c>
      <c r="E33" s="28" t="inlineStr">
        <is>
          <t>Event-set Monte Carlo; piecewise layer payoffs; aggregate accumulators</t>
        </is>
      </c>
      <c r="F33" s="28" t="inlineStr">
        <is>
          <t>Fully collateralized reinsurance risk sold to capital markets, where investors earn a spread over collateral yield and lose principal only if modeled catastrophe losses breach an attachment point.</t>
        </is>
      </c>
      <c r="G33" s="28" t="inlineStr">
        <is>
          <t>Expected loss from vendor catastrophe models (Moody's RMS, Verisk) is the pricing anchor; spread is quoted as a multiple of expected loss (roughly 2.0x-2.5x in competitive markets, 2.5x-3.5x normalized, above 3.5x post-event), with practitioner overlays for model bias, climate non-stationarity, exposure data quality and tail correlation. Total return = collateral yield + risk spread - realized losses, marked seasonally against hurricane season.</t>
        </is>
      </c>
      <c r="H33" s="28" t="inlineStr">
        <is>
          <t>• Loss to the investor is a layer function of a modeled event loss: zero below attachment, pro-rata between attachment and exhaustion, 100% above — a payoff that must be applied to a simulated event set, not to an average.
• Aggregate vs occurrence triggers: aggregate deals accumulate qualifying events across an annual period against a franchise deductible, requiring a within-year running loss accumulator.
• Trigger basis choice (indemnity, industry index / PCS, parametric) determines whether the modeled loss driving payout is the cedant's own loss or an external index, introducing basis risk.
• Reinstatement premiums: after a loss, coverage may be reinstated for an additional premium, changing both the premium income and the remaining exposure mid-term.
• Trapped collateral: after an event, collateral is withheld pending loss development and cannot be redeployed — an explicit liquidity drag ($18-25bn trapped or impaired at end-2018, ~20-25% of ILS capital).
• Sidecars are quota-share participations in a cedant's book with a ceding commission and an earned-premium pattern, not a layer — different math from a cat bond in the same portfolio.</t>
        </is>
      </c>
      <c r="I33" s="28" t="inlineStr">
        <is>
          <t>• Requires an event-set Monte Carlo: draw a frequency (events per year) and a severity per event from a modeled catalogue, then apply per-event layer functions — not a continuous shock on a single variable.
• Requires per-period/within-period state for an aggregate loss accumulator and a franchise-deductible threshold.
• Requires a piecewise-linear layer payoff primitive (attachment, exhaustion, participation %) applied per event and per contract.
• Requires collateral-account state that can be trapped (blocked from release) for a modeled loss-development period after an event.
• Requires premium earning patterns and reinstatement logic: a conditional additional premium inflow contingent on a prior loss event.
• Requires correlation structure across contracts sharing a peril region so portfolio tail risk aggregates correctly.</t>
        </is>
      </c>
      <c r="J33" s="28" t="inlineStr">
        <is>
          <t>energy (~10%) for seeded Monte Carlo scaffolding and curve handling; credit (~10%) for loss/severity concepts. New (~80%): event sets, layer payoffs, aggregate accumulators, reinstatement, trapped collateral.</t>
        </is>
      </c>
      <c r="K33" s="28" t="inlineStr">
        <is>
          <t>The catastrophe bond market reached $61.3bn outstanding at year-end 2025 on record $25.6bn of annual issuance (+24% growth); total alternative reinsurance capital was ~$124bn at Q3 2025, including $19.6bn of sidecars.</t>
        </is>
      </c>
      <c r="L33" s="28" t="inlineStr">
        <is>
          <t>ILS fund managers (Fermat, Nephila, Twelve, Elementum), reinsurer capital-partners units (RenRe, Hiscox Re ILS), pension and sovereign wealth allocators, and cedant treasury teams comparing traditional vs collateralized capacity.</t>
        </is>
      </c>
      <c r="M33" s="28" t="inlineStr">
        <is>
          <t>• https://www.artemis.bm/news/catastrophe-bond-issuance-breaks-q4-and-full-year-records-market-grows-24-report/
• https://www.corvidpartners.com/field-guide/insurance/ils-insurance-linked-securities</t>
        </is>
      </c>
    </row>
    <row r="34" ht="150" customHeight="1" s="18">
      <c r="A34" s="24" t="n">
        <v>33</v>
      </c>
      <c r="B34" s="24" t="inlineStr">
        <is>
          <t>Specialty finance, structured credit &amp; royalty/IP</t>
        </is>
      </c>
      <c r="C34" s="24" t="inlineStr">
        <is>
          <t>Equipment &amp; Transportation Lease Portfolios (incl. Aircraft/Container/Rail ABS)</t>
        </is>
      </c>
      <c r="D34" s="32" t="inlineStr">
        <is>
          <t>Tier 3 — recombination of Tier 1 primitives</t>
        </is>
      </c>
      <c r="E34" s="24" t="inlineStr">
        <is>
          <t>Expiry branching to re-lease/sale/part-out; parallel book/tax/market depreciation</t>
        </is>
      </c>
      <c r="F34" s="24" t="inlineStr">
        <is>
          <t>Portfolios of operating and finance leases on hard assets where returns come from contracted lease rentals plus an uncertain residual realized at lease end.</t>
        </is>
      </c>
      <c r="G34" s="24" t="inlineStr">
        <is>
          <t>DCF of contracted rentals over the lease term plus a probability-weighted residual realization (re-lease at a market lease rate, sell at appraised market value, or part-out), discounted at a required lease yield; lessors track book residual vs appraiser base value and run re-marketing scenarios. Aircraft ABS additionally runs the portfolio through a note waterfall with DSCR-based cash sweeps.</t>
        </is>
      </c>
      <c r="H34" s="24" t="inlineStr">
        <is>
          <t>• The residual is the majority of the risk: at lease expiry the asset either re-leases at a market lease rate factor (monthly rent as a % of asset value), sells at market value, or goes to part-out, each with its own probability and timing.
• Asset value itself depreciates on an age curve that is separate from tax and book depreciation and separate from the lease rate factor curve.
• Maintenance reserves and end-of-lease return conditions: lessees pay supplemental rent into maintenance reserves that the lessor holds and disburses against qualifying events, and return-condition compensation is a lump sum at expiry.
• Re-lease downtime and transition costs between lessees, analogous to CRE rollover but with asset relocation and reconfiguration costs.
• Lessee credit events cause repossession with a recovery timeline and remarketing cost, not a simple charge-off.
• Lease classification (operating vs finance/direct-finance) changes the income recognition pattern and the tax treatment, which matters for after-tax returns.</t>
        </is>
      </c>
      <c r="I34" s="24" t="inlineStr">
        <is>
          <t>• Requires per-asset state for the depreciated asset value and a maintenance reserve balance with deposit and disbursement rules.
• Requires an expiry-branch construct: at each lease end, split into re-lease / sale / part-out branches with probabilities, and for the re-lease branch generate a new lease at a lease-rate-factor applied to the then-current asset value.
• Requires downtime modeling between leases (the CRE rollover primitive generalized to hard assets).
• Requires depreciation schedules that differ across book, tax (MACRS), and market-value curves simultaneously, with tax depreciation feeding cash taxes.
• Requires portfolio-level aggregation with a shared waterfall and DSCR-triggered cash sweep for the ABS wrapper.</t>
        </is>
      </c>
      <c r="J34" s="24" t="inlineStr">
        <is>
          <t>cre (~35%): lease-by-lease rent rolls, rollover with downtime, and exit-value logic map almost directly. energy (~15%) for MACRS. credit (~10%) for lessee default. New (~40%): residual branching, lease rate factors, maintenance reserves, asset value curves.</t>
        </is>
      </c>
      <c r="K34" s="24" t="inlineStr">
        <is>
          <t>The US equipment finance industry reached $1.34 trillion in 2023, financing 57.7% of the $2.3 trillion of US equipment and software investment (64.2% for the private sector).</t>
        </is>
      </c>
      <c r="L34" s="24" t="inlineStr">
        <is>
          <t>Bank and independent equipment lessors, aircraft/container lessors and their ABS structurers, equipment ABS investors, and asset-based private credit funds.</t>
        </is>
      </c>
      <c r="M34" s="24" t="inlineStr">
        <is>
          <t>• https://www.leasefoundation.org/news_item/equipment-finance-industry-expands-to-more-than-1-3-trillion-as-sector-supports-u-s-economic-growth-and-innovation-foundation-horizon-report-finds/
• https://www.kkr.com/insights/asset-based-finance-fast-growing-frontier-private-credit</t>
        </is>
      </c>
    </row>
    <row r="35" ht="150" customHeight="1" s="18">
      <c r="A35" s="28" t="n">
        <v>34</v>
      </c>
      <c r="B35" s="28" t="inlineStr">
        <is>
          <t>Specialty finance, structured credit &amp; royalty/IP</t>
        </is>
      </c>
      <c r="C35" s="28" t="inlineStr">
        <is>
          <t>Trade Receivables, Factoring &amp; Revolving Borrowing-Base Facilities</t>
        </is>
      </c>
      <c r="D35" s="32" t="inlineStr">
        <is>
          <t>Tier 3 — recombination of Tier 1 primitives</t>
        </is>
      </c>
      <c r="E35" s="28" t="inlineStr">
        <is>
          <t>Revolving-balance state; aging roll-rates; dynamic borrowing base</t>
        </is>
      </c>
      <c r="F35" s="28" t="inlineStr">
        <is>
          <t>Short-duration, self-liquidating advances against invoices or inventory, where the exposure revolves continuously and is sized by a dynamic borrowing base with eligibility haircuts.</t>
        </is>
      </c>
      <c r="G35" s="28" t="inlineStr">
        <is>
          <t>Yield-based: model advance rate, discount/factoring fee, turn frequency (annualized yield = fee x turns per year), dilution and default reserves, and servicing cost; portfolio value is the PV of net spread on a revolving balance with an assumed utilization and a wind-down/amortization tail. Securitized facilities are sized off a dynamic borrowing base with dilution, concentration, and delinquency reserves.</t>
        </is>
      </c>
      <c r="H35" s="28" t="inlineStr">
        <is>
          <t>• The balance revolves: collections on old receivables immediately fund new purchases during a revolving period, so the outstanding is a utilization percentage of a limit, not an amortizing schedule.
• Borrowing base = eligible receivables x advance rate, less dynamically computed reserves (dilution reserve, concentration excess, cross-age/taint reserve) — the availability recalculates every period from portfolio composition.
• Dilution (credit notes, returns, disputes, offsets) is a distinct loss channel from credit default and is reserved for separately with its own volatility-based formula.
• Very short duration (30-90 day turns) means annualized yield is fee x turns, and the model must handle sub-monthly aging buckets.
• Amortization/early-amortization triggers: on breach of a delinquency, dilution, or DSO trigger the facility stops revolving and all collections repay the notes.
• Recourse vs non-recourse factoring changes who bears obligor default, and credit insurance can be wrapped over the obligor risk.</t>
        </is>
      </c>
      <c r="I35" s="28" t="inlineStr">
        <is>
          <t>• Requires per-period revolving-balance state: outstanding = prior outstanding - collections + new draws, with draws capped by a computed availability.
• Requires an aging-bucket construct (current, 1-30, 31-60, 61-90, 90+) with roll-rate transitions between buckets each period.
• Requires a borrowing-base calculation that is a function of the current period's portfolio composition, including concentration caps applied per obligor.
• Requires early-amortization trigger evaluation that flips the facility from revolving mode to sequential amortization mode permanently.
• Requires sub-monthly or day-count-aware calendars so 30-90 day turns can be expressed without forcing a monthly grid.</t>
        </is>
      </c>
      <c r="J35" s="28" t="inlineStr">
        <is>
          <t>credit (~30%): pool default/recovery, floating coupon off a curve, servicing strip. Shares the trigger/mode-switch engine with ABS. New (~70%): revolving balance state, aging roll-rates, dynamic borrowing base, dilution reserves.</t>
        </is>
      </c>
      <c r="K35" s="28" t="inlineStr">
        <is>
          <t>The Asian Development Bank puts the global trade finance gap at $2.5 trillion in 2025, roughly 10% of global trade, with 80% of surveyed banks expecting demand to rise; trade and receivables finance is one of the four core pillars of the private ABF market KKR sizes at $5.2 trillion growing to $7.7 trillion by 2027.</t>
        </is>
      </c>
      <c r="L35" s="28" t="inlineStr">
        <is>
          <t>Trade finance and working-capital funds, ABL lenders, receivables securitization desks at banks, and specialty finance private credit managers.</t>
        </is>
      </c>
      <c r="M35" s="28" t="inlineStr">
        <is>
          <t>• https://www.adb.org/news/demand-trade-finance-rise-amid-supply-chain-realignment-adb-report
• https://www.kkr.com/insights/asset-based-finance-fast-growing-frontier-private-credit</t>
        </is>
      </c>
    </row>
    <row r="36" ht="150" customHeight="1" s="18">
      <c r="A36" s="24" t="n">
        <v>35</v>
      </c>
      <c r="B36" s="24" t="inlineStr">
        <is>
          <t>Specialty finance, structured credit &amp; royalty/IP</t>
        </is>
      </c>
      <c r="C36" s="24" t="inlineStr">
        <is>
          <t>Tax Equity Partnership Flips &amp; Transferable Tax Credits</t>
        </is>
      </c>
      <c r="D36" s="30" t="inlineStr">
        <is>
          <t>Tier 1 — near term</t>
        </is>
      </c>
      <c r="E36" s="24" t="inlineStr">
        <is>
          <t>Dual tax/cash ledgers; capital-account state; endogenous yield-flip solve</t>
        </is>
      </c>
      <c r="F36" s="24" t="inlineStr">
        <is>
          <t>The financing structure that monetizes US renewable energy tax attributes — either by allocating 99% of tax items to an investor until a target yield flips the sharing ratio, or by selling the credit outright at a discount.</t>
        </is>
      </c>
      <c r="G36" s="24" t="inlineStr">
        <is>
          <t>Solve for the tax equity investment size such that the investor achieves a target after-tax IRR by the flip date, given a 99%/1% pre-flip allocation of income, loss and credits and a different cash-sharing ratio; sponsors evaluate on post-flip cash and the buyout option value. Transferable credits are valued simply as a discount to face, priced off the buyer's cost of capital and recapture/indemnity risk.</t>
        </is>
      </c>
      <c r="H36" s="24" t="inlineStr">
        <is>
          <t>• Two simultaneous, different allocations: tax items split 99/1 pre-flip and 5/95 post-flip, while cash is shared in an entirely separate ratio — the model must track both books at once.
• The flip date is endogenous: it is the period in which the investor's cumulative after-tax IRR first reaches the target, which requires solving the model against its own output (yield-based flip); some structures use a fixed-date flip instead.
• Capital accounts must be tracked per partner; when the investor's capital account hits zero, further loss allocations shift to the sponsor unless a deficit restoration obligation (commonly 50-70% of the tax equity investment, dollar-capped) permits them to continue.
• Outside basis is tracked separately from capital account; when outside basis hits zero, losses are suspended and carried forward until future allocations free them.
• ITC recapture: a 5-year vesting schedule where a disposition or casualty in year N claws back a percentage of the credit.
• For transferability, the credit is severed from the partnership and sold for cash at a discount, with indemnity and insurance costs layered on.</t>
        </is>
      </c>
      <c r="I36" s="24" t="inlineStr">
        <is>
          <t>• Requires per-partner persistent state: capital account balance, outside basis, and a suspended-loss carryforward that accumulates and releases.
• Requires an endogenous regime switch determined by a cumulative IRR computed from the model's own prior-period distributions — i.e. a fixed-point/iterative solve across periods.
• Requires a sizing solver: find the investment amount that hits a target IRR at a target date (a two-dimensional root find).
• Requires dual ledgers (tax and cash/GAAP) computed in the same model with different allocation rules.
• Requires stop-loss logic: reallocate a loss to a different partner once a state variable (capital account) crosses zero, subject to a DRO cap.
• Requires a recapture schedule keyed to elapsed vesting periods with an event trigger.</t>
        </is>
      </c>
      <c r="J36" s="24" t="inlineStr">
        <is>
          <t>energy (~50%): the entire project cash flow, ITC/PTC/MACRS, and level-pay project debt already exist and are the input to this pack. New (~50%): the partnership allocation and capital-account state machine plus the yield-flip solve.</t>
        </is>
      </c>
      <c r="K36" s="24" t="inlineStr">
        <is>
          <t>Crux estimated IRA transferable tax credit transactions at $20-25bn in 2024, up from up to $9bn in 2023, with $9-11bn transacted in H1 2024 alone.</t>
        </is>
      </c>
      <c r="L36" s="24" t="inlineStr">
        <is>
          <t>Renewable developers and their structured finance teams, tax equity investors (bank and insurance), tax credit transfer platforms and buyers' tax departments, and renewables-focused infrastructure funds. This is the natural upsell to CFDL's existing ENERGY users.</t>
        </is>
      </c>
      <c r="M36" s="24" t="inlineStr">
        <is>
          <t>• https://www.projectfinance.law/publications/2021/february/partnership-flips
• https://www.utilitydive.com/news/tax-credit-transfer-market-inflation-reduction-clean-energy/723002/</t>
        </is>
      </c>
    </row>
    <row r="37" ht="150" customHeight="1" s="18">
      <c r="A37" s="28" t="n">
        <v>36</v>
      </c>
      <c r="B37" s="28" t="inlineStr">
        <is>
          <t>Specialty finance, structured credit &amp; royalty/IP</t>
        </is>
      </c>
      <c r="C37" s="28" t="inlineStr">
        <is>
          <t>Private Fund Cash Flows: Capital Calls, Distributions &amp; Carry Waterfalls</t>
        </is>
      </c>
      <c r="D37" s="30" t="inlineStr">
        <is>
          <t>Tier 1 — near term</t>
        </is>
      </c>
      <c r="E37" s="28" t="inlineStr">
        <is>
          <t>Solve-to-target waterfall tier; compounding pref accrual; live cumulative IRR</t>
        </is>
      </c>
      <c r="F37" s="28" t="inlineStr">
        <is>
          <t>The LP/GP-level cash flow model of a closed-end fund — commitment pacing, drawdowns, NAV build, and the distribution waterfall that splits proceeds between LPs and the GP.</t>
        </is>
      </c>
      <c r="G37" s="28" t="inlineStr">
        <is>
          <t>LPs value fund interests via a J-curve model (pacing of calls and distributions against a NAV path) and secondary buyers price as a discount to NAV net of projected future calls; the carry itself is valued by projecting exits and running the waterfall. Standard tiers: return of capital, preferred return typically 7-9%, GP catch-up to ~20% of cumulative profits, then an 80/20 split.</t>
        </is>
      </c>
      <c r="H37" s="28" t="inlineStr">
        <is>
          <t>• Four-tier sequential waterfall where each tier is a solve-to-target: distribute until LPs have received 100% of contributed capital, then until they have received an 8% IRR/compounded preferred, then to the GP until the GP has received 20% of cumulative profit, then 80/20.
• The preferred return compounds on unreturned capital, so tier 2's target is itself a path-dependent accrual balance.
• European (whole-fund) vs American (deal-by-deal) determines whether tiers are evaluated on aggregate fund cash flows or per-investment, producing materially different GP payment timing.
• Clawback: under a deal-by-deal waterfall, a running escrow/clawback liability must be tracked and settled at fund end if the GP has over-received.
• Management fees step from committed capital during the investment period to invested/NAV basis afterwards, and are often offset by transaction/monitoring fee credits.
• Recallable distributions and subscription-line facilities shift the timing of calls relative to deployment, which materially changes reported IRR without changing MOIC.</t>
        </is>
      </c>
      <c r="I37" s="28" t="inlineStr">
        <is>
          <t>• Requires per-period state for unreturned capital, an accruing preferred-return balance that compounds on the unreturned balance, and cumulative distributions to each party.
• Requires a solve-to-target waterfall tier: pay into a tier until a stated cumulative condition (capital returned, IRR achieved, GP share of cumulative profit reached) is satisfied within the period, then spill the remainder to the next tier.
• Requires cumulative-IRR computation over the model's own generated cash flow vector as a live state variable, not a post-hoc report.
• Requires a clawback accumulator with an end-of-life settlement.
• Requires two-level composition: a portfolio of underlying deal models whose exits feed the fund-level waterfall.
• Requires a fee basis that switches at a date (committed → invested/NAV) with fee offsets.</t>
        </is>
      </c>
      <c r="J37" s="28" t="inlineStr">
        <is>
          <t>opco (~25%): the underlying portfolio company models (EBITDA build, term debt, exit multiple) are exactly CFDL's existing LBO primitive. New (~75%): the fund layer — pacing, accruals, the tiered waterfall, clawback.</t>
        </is>
      </c>
      <c r="K37" s="28" t="inlineStr">
        <is>
          <t>The market's scale is visible in the secondaries clearing price for these interests: $240bn of secondary volume in 2025 (+48% y/y), with LP-led portfolios pricing at 87% of NAV on average (buyout 92%, venture/growth 78%, credit 91%, real estate 70%).</t>
        </is>
      </c>
      <c r="L37" s="28" t="inlineStr">
        <is>
          <t>LP allocators and fund-of-funds building pacing models, secondaries buyers pricing LP stakes, fund CFOs and administrators computing waterfalls, and GPs modeling carry.</t>
        </is>
      </c>
      <c r="M37" s="28" t="inlineStr">
        <is>
          <t>• https://www.allvuesystems.com/resources/american-vs-european-waterfall/
• https://www.jefferies.com/insights/the-big-picture/2025-global-secondary-market-review-another-record-breaking-year/</t>
        </is>
      </c>
    </row>
    <row r="38" ht="150" customHeight="1" s="18">
      <c r="A38" s="24" t="n">
        <v>37</v>
      </c>
      <c r="B38" s="24" t="inlineStr">
        <is>
          <t>Specialty finance, structured credit &amp; royalty/IP</t>
        </is>
      </c>
      <c r="C38" s="24" t="inlineStr">
        <is>
          <t>GP Stakes / Management Fee Earnings Streams</t>
        </is>
      </c>
      <c r="D38" s="32" t="inlineStr">
        <is>
          <t>Tier 3 — recombination of Tier 1 primitives</t>
        </is>
      </c>
      <c r="E38" s="24" t="inlineStr">
        <is>
          <t>Fund-vintage cohort generator; nested fund-to-firm composition</t>
        </is>
      </c>
      <c r="F38" s="24" t="inlineStr">
        <is>
          <t>A minority equity interest in an alternative asset manager, entitling the holder to a share of management fee profits, carried interest, and balance-sheet investment returns.</t>
        </is>
      </c>
      <c r="G38" s="24" t="inlineStr">
        <is>
          <t>Sum-of-the-parts: capitalize fee-related earnings (management fees less operating costs) at a multiple reflecting the durability and growth of the fee base, add a risk-discounted PV of net carried interest across existing and projected future funds, and add the balance-sheet co-investment NAV. Structuring uses earnouts and staged investments to bridge valuation gaps.</t>
        </is>
      </c>
      <c r="H38" s="24" t="inlineStr">
        <is>
          <t>• Revenue is driven by a fund-raising schedule: Fund N is raised in year Y at size S, earns fees on committed capital for the investment period, then steps down to invested capital and runs off — so total FRE is the superposition of overlapping fund vintages.
• The perpetuity assumption is explicit and structural: unlike a secondaries position, the value depends on modeled *future, not-yet-raised* funds, typically at escalating size and a modeled probability of successful raise.
• Carried interest received by the manager is itself the output of a fund-level waterfall (see the fund pack), so this pack must compose on top of that one.
• Compensation is a percentage of both FRE and carry, with a carry pool allocated to the deal team that reduces the stake holder's share.
• Stakes are typically 10-30% non-controlling with contractual distribution rights rather than pro-rata equity, and often have preferential distribution treatment.
• Cash yield arrives early (from FRE) and appreciation arrives late (from carry), producing a distinctive front-loaded distribution profile.</t>
        </is>
      </c>
      <c r="I38" s="24" t="inlineStr">
        <is>
          <t>• Requires a fund-vintage cohort generator: N funds launched on a schedule, each with a size, fee rate, investment period, and step-down, summed into a firm-level fee line.
• Requires nesting/composition: fund-level waterfalls (with their own preferred-return accruals) rolled up to a firm-level carry line, then to a stakeholder's share.
• Requires probability weighting of future fund raises (a raise-success probability per future vintage) applied to that vintage's entire cash flow contribution.
• Requires per-period state for the accrued-but-unrealized carry balance and its reversal risk.
• Requires a multi-tier ownership/allocation structure (firm → carry pool → stakeholder) expressible as a nested split.</t>
        </is>
      </c>
      <c r="J38" s="24" t="inlineStr">
        <is>
          <t>opco (~30%): revenue/opex lines, cash taxes, and an EBITDA-multiple terminal value are directly applicable to FRE. Depends on the fund cash flow pack (~30% shared). New (~40%): vintage cohort generator, future-fund probability, accrued carry.</t>
        </is>
      </c>
      <c r="K38" s="24" t="inlineStr">
        <is>
          <t>GP stakes reached approximately $20bn of deal value in 2025, having moved from a niche to a mainstream private markets strategy.</t>
        </is>
      </c>
      <c r="L38" s="24" t="inlineStr">
        <is>
          <t>GP stakes funds (Blue Owl GP Strategic Capital, Petershill, Bonaccord, Hunter Point), asset manager corp-dev teams, and LPs underwriting GP stakes vehicles.</t>
        </is>
      </c>
      <c r="M38" s="24" t="inlineStr">
        <is>
          <t>• https://www.whitecase.com/insight-our-thinking/structuring-gp-stakes-investments-practical-considerations-stakeholders</t>
        </is>
      </c>
    </row>
    <row r="39" ht="150" customHeight="1" s="18">
      <c r="A39" s="28" t="n">
        <v>38</v>
      </c>
      <c r="B39" s="28" t="inlineStr">
        <is>
          <t>Specialty finance, structured credit &amp; royalty/IP</t>
        </is>
      </c>
      <c r="C39" s="28" t="inlineStr">
        <is>
          <t>GP-Led Continuation Vehicles</t>
        </is>
      </c>
      <c r="D39" s="32" t="inlineStr">
        <is>
          <t>Tier 3 — recombination of Tier 1 primitives</t>
        </is>
      </c>
      <c r="E39" s="28" t="inlineStr">
        <is>
          <t>Carry ratchet step function; multi-class interests; NAV-facility LTV sweep</t>
        </is>
      </c>
      <c r="F39" s="28" t="inlineStr">
        <is>
          <t>A single- or multi-asset vehicle into which a GP moves portfolio companies out of an ending fund, funded by new secondary investors, with a reset economic structure and often deferred consideration.</t>
        </is>
      </c>
      <c r="G39" s="28" t="inlineStr">
        <is>
          <t>Underwrite the underlying assets bottoms-up to a target gross MOIC/IRR over a 3-5 year hold, then price the entry as a percentage of the transferring fund's NAV (buyout CVs cleared around 92% of NAV in 2025), net of a new fee and carry structure; value the deferred purchase price and any GP rollover/ratchet separately.</t>
        </is>
      </c>
      <c r="H39" s="28" t="inlineStr">
        <is>
          <t>• Deferred purchase price: a portion of consideration is paid at a later date, sometimes uncosted, which improves headline pricing but changes the buyer's IRR versus MOIC — used in ~29% of GP-led volume in 2025.
• Reset economics: the CV starts a fresh waterfall with a new hurdle, new crystallization, and often a tiered carry ratchet (e.g. 10% carry to 2.0x, 15% to 2.5x, 20% above) — a step function on realized MOIC, not a flat 20%.
• Mandatory GP rollover of crystallized carry from the selling fund into the CV, which sits as a distinct class of interest.
• Status quo / rollover election: existing LPs choose to cash out or roll, so the funding requirement is a probabilistic function of an election rate.
• NAV facilities or acquisition leverage at the CV level, sized against portfolio NAV with LTV-triggered cash sweeps.
• A defined 3-5 year life with a strong incentive to exit, versus an open-ended hold.</t>
        </is>
      </c>
      <c r="I39" s="28" t="inlineStr">
        <is>
          <t>• Requires a carry ratchet primitive: a piecewise carry rate that is a step function of realized cumulative MOIC, applied to the marginal profit band above each threshold.
• Requires deferred/contingent consideration as a scheduled future payment obligation with optional interest accrual, affecting both parties' IRR.
• Requires multiple interest classes (new money, rolling LPs, GP rollover) with different economics feeding the same waterfall.
• Requires the fund-level waterfall primitives (unreturned capital, compounding preferred, catch-up) with a mid-life reset.
• Requires NAV-facility state: a borrowing balance with an LTV test against modeled portfolio NAV and a sweep on breach.</t>
        </is>
      </c>
      <c r="J39" s="28" t="inlineStr">
        <is>
          <t>opco (~25%) for the underlying assets; the fund cash flow pack (~45% shared). New (~30%): ratchets, deferred consideration, multi-class rollover, NAV facility.</t>
        </is>
      </c>
      <c r="K39" s="28" t="inlineStr">
        <is>
          <t>GP-led/continuation vehicle volume reached $115bn in 2025, up 53% y/y and 48% of the record $240bn total secondary market; deferred purchase price mechanisms featured in ~29% of GP-led volume.</t>
        </is>
      </c>
      <c r="L39" s="28" t="inlineStr">
        <is>
          <t>Secondaries funds (Lexington, Coller, Blackstone Strategic Partners), GPs structuring CVs, and LP advisory committees evaluating roll-vs-sell.</t>
        </is>
      </c>
      <c r="M39" s="28" t="inlineStr">
        <is>
          <t>• https://www.jefferies.com/insights/the-big-picture/2025-global-secondary-market-review-another-record-breaking-year/</t>
        </is>
      </c>
    </row>
    <row r="40" ht="150" customHeight="1" s="18">
      <c r="A40" s="24" t="n">
        <v>39</v>
      </c>
      <c r="B40" s="24" t="inlineStr">
        <is>
          <t>Specialty finance, structured credit &amp; royalty/IP</t>
        </is>
      </c>
      <c r="C40" s="24" t="inlineStr">
        <is>
          <t>Non-Performing Loan &amp; Charged-Off Debt Portfolios</t>
        </is>
      </c>
      <c r="D40" s="32" t="inlineStr">
        <is>
          <t>Tier 3 — recombination of Tier 1 primitives</t>
        </is>
      </c>
      <c r="E40" s="24" t="inlineStr">
        <is>
          <t>Cumulative recovery curves; file counts; re-performing state transition</t>
        </is>
      </c>
      <c r="F40" s="24" t="inlineStr">
        <is>
          <t>Defaulted loan portfolios bought at a deep discount to face, monetized through collection, restructuring, or collateral enforcement over a multi-year resolution timeline.</t>
        </is>
      </c>
      <c r="G40" s="24" t="inlineStr">
        <is>
          <t>DCF of projected recovery cash flows discounted at risk-adjusted rates (equity IRR targets in the high teens to 20s), built from statistically calibrated recovery curves — cumulative recovery as a percentage of GBV over months since acquisition — differentiated by secured vs unsecured, jurisdiction, and borrower segment, net of servicing and legal costs; cross-checked against comparable portfolio trades. Acquisition is levered with senior debt at 50-65% of price at 300-500bp spreads.</t>
        </is>
      </c>
      <c r="H40" s="24" t="inlineStr">
        <is>
          <t>• Recovery is a cumulative curve over time-since-acquisition, not a single severity applied at a default date — the entire cash flow shape is the recovery curve's derivative.
• Judicial timeline risk dominates: enforcement in slow jurisdictions can take 5-8 years, so the same nominal recovery rate produces wildly different IRRs.
• Secured positions resolve via collateral liquidation with a property-value haircut and a foreclosure calendar; unsecured resolve via payment plans, settlements-in-full, and litigation, each with its own curve.
• Collection costs are a percentage of collections (servicer success fee) plus fixed legal costs per file, so net recoveries are strongly nonlinear in gross recovery.
• Re-performing conversion: a subset of loans cure and become performing amortizing assets, changing their cash flow model entirely mid-life.
• Portfolio-level leverage with a sweep: senior debt is repaid from collections ahead of equity, often with a target-leverage cash sweep.</t>
        </is>
      </c>
      <c r="I40" s="24" t="inlineStr">
        <is>
          <t>• Requires a cumulative-recovery-curve primitive: a parametric or tabular S-curve in months-since-acquisition, differentiated by segment, whose period increment drives cash flow.
• Requires segment-level modeling with per-segment curves and a mix that shifts over time as fast-resolving files exit.
• Requires a state transition allowing a file to move from 'non-performing' to 're-performing' and then follow an amortizing schedule.
• Requires cost structures that are simultaneously percentage-of-collections and per-file fixed, requiring a live file count alongside balance.
• Requires an acquisition-financing waterfall where collections sweep to senior debt before equity, with a leverage-target release condition.</t>
        </is>
      </c>
      <c r="J40" s="24" t="inlineStr">
        <is>
          <t>credit (~40%): pool balances, default/severity/recovery-lag primitives are a starting point. New (~60%): cumulative recovery curves, file counts, re-performing transitions, jurisdiction timelines, acquisition-level sweep.</t>
        </is>
      </c>
      <c r="K40" s="24" t="inlineStr">
        <is>
          <t>Italy and Spain alone hold NPL portfolios exceeding €200bn, with active markets across Central and Eastern Europe; NPL and specialty consumer credit is a core vertical of the private ABF market KKR sizes at $5.2 trillion growing to $7.7 trillion by 2027.</t>
        </is>
      </c>
      <c r="L40" s="24" t="inlineStr">
        <is>
          <t>Distressed debt funds (Cerberus, Fortress, Bain Credit, Davidson Kempner), NPL servicers/co-investors (doValue, Intrum), and bank NPL disposal teams.</t>
        </is>
      </c>
      <c r="M40" s="24" t="inlineStr">
        <is>
          <t>• https://ddtalks.com/mastering-npl-portfolio-acquisitions-a-tactical-playbook-for-2025/
• https://www.kkr.com/insights/asset-based-finance-fast-growing-frontier-private-credit</t>
        </is>
      </c>
    </row>
    <row r="41" ht="150" customHeight="1" s="18">
      <c r="A41" s="28" t="n">
        <v>40</v>
      </c>
      <c r="B41" s="28" t="inlineStr">
        <is>
          <t>Specialty finance, structured credit &amp; royalty/IP</t>
        </is>
      </c>
      <c r="C41" s="28" t="inlineStr">
        <is>
          <t>Venture Debt &amp; Recurring-Revenue (ARR) Lending</t>
        </is>
      </c>
      <c r="D41" s="32" t="inlineStr">
        <is>
          <t>Tier 3 — recombination of Tier 1 primitives</t>
        </is>
      </c>
      <c r="E41" s="28" t="inlineStr">
        <is>
          <t>Cohort retention ARR; cash-balance covenant state; covenant regime switch</t>
        </is>
      </c>
      <c r="F41" s="28" t="inlineStr">
        <is>
          <t>Loans to unprofitable, high-growth software and technology companies underwritten against annualized recurring revenue and runway rather than EBITDA, with warrants and final payments for upside.</t>
        </is>
      </c>
      <c r="G41" s="28" t="inlineStr">
        <is>
          <t>Model the borrower's ARR build (new bookings, expansion, churn/NRR) and cash burn to determine runway and covenant headroom; size the loan at an ARR multiple / LTV (historically 30-35% LTV at 525-550bp margins) and value the position as loan cash flows plus a probability-weighted warrant value, with loss given default driven by the enterprise value at exit rather than asset liquidation.</t>
        </is>
      </c>
      <c r="H41" s="28" t="inlineStr">
        <is>
          <t>• Cohort-based ARR: revenue is the sum of customer cohorts each carrying a logo retention curve and a net revenue retention multiplier, so ARR growth is not a single growth rate.
• Covenant flip: after 3-5 years the facility converts from ARR-based covenants to conventional EBITDA-based leverage covenants, requiring the model to project the ARR-to-EBITDA transition.
• Interest-only period followed by amortization, plus a 'final payment' / back-end fee expressed as a percentage of the original commitment paid at maturity, and prepayment fees that decline by year.
• Warrant coverage: warrants for 0.5-2% of the company struck at the last round price, valued as options on an uncertain exit — the equity kicker is a material share of expected return.
• Minimum-liquidity and minimum-cash covenants tested against a modeled cash balance, plus a material-adverse-change draw condition on undrawn tranches.
• Tranched availability: subsequent tranches unlock only on hitting ARR or fundraising milestones.</t>
        </is>
      </c>
      <c r="I41" s="28" t="inlineStr">
        <is>
          <t>• Requires cohort-retention revenue modeling: cohorts with acquisition dates, a logo-survival curve, and an expansion multiplier, aggregated to ARR.
• Requires per-period cash-balance state so liquidity covenants and runway can be tested against the model's own accumulated cash, not an input.
• Requires covenant-regime switching at a date or event (ARR covenants → EBITDA covenants) with different tested quantities in each regime.
• Requires a back-end fee and declining prepayment-fee schedule keyed to elapsed periods, plus a stochastic prepayment/refinance event.
• Requires option valuation for warrants against a stochastic exit value, integrated with the loan's own default correlation.
• Requires milestone-gated tranche availability.</t>
        </is>
      </c>
      <c r="J41" s="28" t="inlineStr">
        <is>
          <t>credit (~35%): IO/bullet loan structures, floating coupon off a curve, default/recovery. opco (~25%): revenue/opex lines, working capital, capex. New (~40%): cohort retention, cash-balance covenants, warrants, regime switch.</t>
        </is>
      </c>
      <c r="K41" s="28" t="inlineStr">
        <is>
          <t>ARR lending was projected to compound at 18.7% CAGR from 2025 to 2033 into a ~$37.8bn market; historically ARR loans priced at 525-550bp margins on 30-35% LTV before the post-2022 tightening.</t>
        </is>
      </c>
      <c r="L41" s="28" t="inlineStr">
        <is>
          <t>Venture debt lenders (Hercules, TriplePoint, Runway Growth), software-focused private credit funds, bank innovation-lending groups, and startup CFOs modeling covenant headroom.</t>
        </is>
      </c>
      <c r="M41" s="28" t="inlineStr">
        <is>
          <t>• https://debtexplorer.whitecase.com/leveraged-finance-commentary/what-the-future-holds-for-arr-lending-after-the-saas-pocalypse</t>
        </is>
      </c>
    </row>
  </sheetData>
  <autoFilter ref="A1:M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7" min="1" max="1"/>
    <col width="40" customWidth="1" style="17" min="2" max="2"/>
    <col width="42" customWidth="1" style="17" min="3" max="3"/>
    <col width="26" customWidth="1" style="17" min="4" max="4"/>
    <col width="110" customWidth="1" style="17" min="5" max="5"/>
  </cols>
  <sheetData>
    <row r="1" ht="30" customHeight="1" s="18">
      <c r="A1" s="23" t="inlineStr">
        <is>
          <t>ID</t>
        </is>
      </c>
      <c r="B1" s="23" t="inlineStr">
        <is>
          <t>Primitive family (auto-tagged)</t>
        </is>
      </c>
      <c r="C1" s="23" t="inlineStr">
        <is>
          <t>Candidate asset class</t>
        </is>
      </c>
      <c r="D1" s="23" t="inlineStr">
        <is>
          <t>Tier</t>
        </is>
      </c>
      <c r="E1" s="23" t="inlineStr">
        <is>
          <t>Requirement</t>
        </is>
      </c>
    </row>
    <row r="2" ht="43.5" customHeight="1" s="18">
      <c r="A2" s="24" t="n">
        <v>1</v>
      </c>
      <c r="B2" s="24" t="inlineStr">
        <is>
          <t>Actuarial &amp; tax subsystems</t>
        </is>
      </c>
      <c r="C2" s="24" t="inlineStr">
        <is>
          <t>Data Centers</t>
        </is>
      </c>
      <c r="D2" s="24" t="inlineStr">
        <is>
          <t>Tier 1 — near term</t>
        </is>
      </c>
      <c r="E2" s="24" t="inlineStr">
        <is>
          <t>Requires an ITC/MACRS-style treatment for on-site generation and BESS where present.</t>
        </is>
      </c>
    </row>
    <row r="3" ht="43.5" customHeight="1" s="18">
      <c r="A3" s="28" t="n">
        <v>2</v>
      </c>
      <c r="B3" s="28" t="inlineStr">
        <is>
          <t>Actuarial &amp; tax subsystems</t>
        </is>
      </c>
      <c r="C3" s="28" t="inlineStr">
        <is>
          <t>Equipment &amp; Transportation Lease Portfolios (incl. Aircraft/Container/Rail ABS)</t>
        </is>
      </c>
      <c r="D3" s="28" t="inlineStr">
        <is>
          <t>Tier 3 — recombination of Tier 1 primitives</t>
        </is>
      </c>
      <c r="E3" s="28" t="inlineStr">
        <is>
          <t>Requires depreciation schedules that differ across book, tax (MACRS), and market-value curves simultaneously, with tax depreciation feeding cash taxes.</t>
        </is>
      </c>
    </row>
    <row r="4" ht="43.5" customHeight="1" s="18">
      <c r="A4" s="24" t="n">
        <v>3</v>
      </c>
      <c r="B4" s="24" t="inlineStr">
        <is>
          <t>Actuarial &amp; tax subsystems</t>
        </is>
      </c>
      <c r="C4" s="24" t="inlineStr">
        <is>
          <t>Life Settlements / Longevity-Contingent Assets</t>
        </is>
      </c>
      <c r="D4" s="24" t="inlineStr">
        <is>
          <t>Tier 2 — longevity pair</t>
        </is>
      </c>
      <c r="E4" s="24" t="inlineStr">
        <is>
          <t>Requires actuarial decrement primitives: mortality tables indexed by age/sex/smoker, a mortality multiplier scalar, and derived survival p(t) and death q(t) probability vectors.</t>
        </is>
      </c>
    </row>
    <row r="5" ht="43.5" customHeight="1" s="18">
      <c r="A5" s="28" t="n">
        <v>4</v>
      </c>
      <c r="B5" s="28" t="inlineStr">
        <is>
          <t>Actuarial &amp; tax subsystems</t>
        </is>
      </c>
      <c r="C5" s="28" t="inlineStr">
        <is>
          <t>Pension Risk Transfer &amp; Annuity Liability Blocks</t>
        </is>
      </c>
      <c r="D5" s="28" t="inlineStr">
        <is>
          <t>Tier 2 — longevity pair</t>
        </is>
      </c>
      <c r="E5" s="28" t="inlineStr">
        <is>
          <t>Requires actuarial decrement tables with generational improvement projection (a two-dimensional qx by age and calendar year).</t>
        </is>
      </c>
    </row>
    <row r="6" ht="43.5" customHeight="1" s="18">
      <c r="A6" s="24" t="n">
        <v>5</v>
      </c>
      <c r="B6" s="24" t="inlineStr">
        <is>
          <t>Actuarial &amp; tax subsystems</t>
        </is>
      </c>
      <c r="C6" s="24" t="inlineStr">
        <is>
          <t>Pension Risk Transfer &amp; Annuity Liability Blocks</t>
        </is>
      </c>
      <c r="D6" s="24" t="inlineStr">
        <is>
          <t>Tier 2 — longevity pair</t>
        </is>
      </c>
      <c r="E6" s="24" t="inlineStr">
        <is>
          <t>Requires an election/decrement branch (lump sum vs annuity) applied as a probability-weighted split at a specific date.</t>
        </is>
      </c>
    </row>
    <row r="7" ht="43.5" customHeight="1" s="18">
      <c r="A7" s="28" t="n">
        <v>6</v>
      </c>
      <c r="B7" s="28" t="inlineStr">
        <is>
          <t>Calendar, horizon &amp; event timing</t>
        </is>
      </c>
      <c r="C7" s="28" t="inlineStr">
        <is>
          <t>Airports &amp; Port/Terminal Concessions</t>
        </is>
      </c>
      <c r="D7" s="28" t="inlineStr">
        <is>
          <t>Tier 3 — high new-primitive cost</t>
        </is>
      </c>
      <c r="E7" s="28" t="inlineStr">
        <is>
          <t>Requires dated mandatory investment obligations with penalty exposure if missed, and a zero-terminal-value handback at concession end.</t>
        </is>
      </c>
    </row>
    <row r="8" ht="43.5" customHeight="1" s="18">
      <c r="A8" s="24" t="n">
        <v>7</v>
      </c>
      <c r="B8" s="24" t="inlineStr">
        <is>
          <t>Calendar, horizon &amp; event timing</t>
        </is>
      </c>
      <c r="C8" s="24" t="inlineStr">
        <is>
          <t>Carbon Credits &amp; Nature-Based / Engineered Removal Projects</t>
        </is>
      </c>
      <c r="D8" s="24" t="inlineStr">
        <is>
          <t>Tier 3 — high new-primitive cost</t>
        </is>
      </c>
      <c r="E8" s="24" t="inlineStr">
        <is>
          <t>Requires a crediting-period boundary that resets the baseline and steps down creditable volume at a dated event.</t>
        </is>
      </c>
    </row>
    <row r="9" ht="43.5" customHeight="1" s="18">
      <c r="A9" s="28" t="n">
        <v>8</v>
      </c>
      <c r="B9" s="28" t="inlineStr">
        <is>
          <t>Calendar, horizon &amp; event timing</t>
        </is>
      </c>
      <c r="C9" s="28" t="inlineStr">
        <is>
          <t>District Energy &amp; Waste-to-Energy</t>
        </is>
      </c>
      <c r="D9" s="28" t="inlineStr">
        <is>
          <t>Tier 1 — near term</t>
        </is>
      </c>
      <c r="E9" s="28" t="inlineStr">
        <is>
          <t>Requires dated major-overhaul capex events with associated outage days that remove capacity in that period.</t>
        </is>
      </c>
    </row>
    <row r="10" ht="43.5" customHeight="1" s="18">
      <c r="A10" s="24" t="n">
        <v>9</v>
      </c>
      <c r="B10" s="24" t="inlineStr">
        <is>
          <t>Calendar, horizon &amp; event timing</t>
        </is>
      </c>
      <c r="C10" s="24" t="inlineStr">
        <is>
          <t>Film &amp; TV Content Libraries ('Ultimates')</t>
        </is>
      </c>
      <c r="D10" s="24" t="inlineStr">
        <is>
          <t>Tier 3 — recombination of Tier 1 primitives</t>
        </is>
      </c>
      <c r="E10" s="24" t="inlineStr">
        <is>
          <t>Requires revision semantics: if the ultimate is updated, the remaining amortization schedule must be recomputed from cumulative-to-date, which needs cumulative state.</t>
        </is>
      </c>
    </row>
    <row r="11" ht="43.5" customHeight="1" s="18">
      <c r="A11" s="28" t="n">
        <v>10</v>
      </c>
      <c r="B11" s="28" t="inlineStr">
        <is>
          <t>Calendar, horizon &amp; event timing</t>
        </is>
      </c>
      <c r="C11" s="28" t="inlineStr">
        <is>
          <t>Hospitality / Hotels</t>
        </is>
      </c>
      <c r="D11" s="28" t="inlineStr">
        <is>
          <t>Tier 1 — near term</t>
        </is>
      </c>
      <c r="E11" s="28" t="inlineStr">
        <is>
          <t>Requires room-nights-out-of-service as a capacity reduction driver tied to a dated renovation schedule.</t>
        </is>
      </c>
    </row>
    <row r="12" ht="43.5" customHeight="1" s="18">
      <c r="A12" s="24" t="n">
        <v>11</v>
      </c>
      <c r="B12" s="24" t="inlineStr">
        <is>
          <t>Calendar, horizon &amp; event timing</t>
        </is>
      </c>
      <c r="C12" s="24" t="inlineStr">
        <is>
          <t>Music Catalog Royalties</t>
        </is>
      </c>
      <c r="D12" s="24" t="inlineStr">
        <is>
          <t>Tier 3 — recombination of Tier 1 primitives</t>
        </is>
      </c>
      <c r="E12" s="24" t="inlineStr">
        <is>
          <t>Requires a collection-lag operator that shifts a computed revenue series forward by a configurable number of months with a different lag per royalty line.</t>
        </is>
      </c>
    </row>
    <row r="13" ht="43.5" customHeight="1" s="18">
      <c r="A13" s="28" t="n">
        <v>12</v>
      </c>
      <c r="B13" s="28" t="inlineStr">
        <is>
          <t>Calendar, horizon &amp; event timing</t>
        </is>
      </c>
      <c r="C13" s="28" t="inlineStr">
        <is>
          <t>Parking (Garages, Surface Lots, and Municipal Meter Concessions)</t>
        </is>
      </c>
      <c r="D13" s="28" t="inlineStr">
        <is>
          <t>Tier 3 — high new-primitive cost</t>
        </is>
      </c>
      <c r="E13" s="28" t="inlineStr">
        <is>
          <t>Requires a recurring replacement-capex cycle keyed to equipment age with a carried installed-base count, so the cycle repeats correctly over a 75-year horizon.</t>
        </is>
      </c>
    </row>
    <row r="14" ht="43.5" customHeight="1" s="18">
      <c r="A14" s="24" t="n">
        <v>13</v>
      </c>
      <c r="B14" s="24" t="inlineStr">
        <is>
          <t>Calendar, horizon &amp; event timing</t>
        </is>
      </c>
      <c r="C14" s="24" t="inlineStr">
        <is>
          <t>Parking (Garages, Surface Lots, and Municipal Meter Concessions)</t>
        </is>
      </c>
      <c r="D14" s="24" t="inlineStr">
        <is>
          <t>Tier 3 — high new-primitive cost</t>
        </is>
      </c>
      <c r="E14" s="24" t="inlineStr">
        <is>
          <t>Requires very long horizons (75+ years) with a zero terminal value and stable numerics — a 75-year monthly model is 900 periods.</t>
        </is>
      </c>
    </row>
    <row r="15" ht="43.5" customHeight="1" s="18">
      <c r="A15" s="28" t="n">
        <v>14</v>
      </c>
      <c r="B15" s="28" t="inlineStr">
        <is>
          <t>Calendar, horizon &amp; event timing</t>
        </is>
      </c>
      <c r="C15" s="28" t="inlineStr">
        <is>
          <t>Shipping / Maritime (Bulkers, Tankers, Containerships, LNG)</t>
        </is>
      </c>
      <c r="D15" s="28" t="inlineStr">
        <is>
          <t>Tier 3 — high new-primitive cost</t>
        </is>
      </c>
      <c r="E15" s="28" t="inlineStr">
        <is>
          <t>Requires a periodic dated event (every N years from a vessel-specific anchor date) that simultaneously imposes a capex outflow and removes M revenue days from that period — a coupled cost-and-capacity event.</t>
        </is>
      </c>
    </row>
    <row r="16" ht="43.5" customHeight="1" s="18">
      <c r="A16" s="24" t="n">
        <v>15</v>
      </c>
      <c r="B16" s="24" t="inlineStr">
        <is>
          <t>Calendar, horizon &amp; event timing</t>
        </is>
      </c>
      <c r="C16" s="24" t="inlineStr">
        <is>
          <t>Single-Family Rental / Build-to-Rent</t>
        </is>
      </c>
      <c r="D16" s="24" t="inlineStr">
        <is>
          <t>Tier 2 — gated on cohort state</t>
        </is>
      </c>
      <c r="E16" s="24" t="inlineStr">
        <is>
          <t>Requires billed-vs-collected rent separation with a delinquency roll and eviction lag.</t>
        </is>
      </c>
    </row>
    <row r="17" ht="43.5" customHeight="1" s="18">
      <c r="A17" s="28" t="n">
        <v>16</v>
      </c>
      <c r="B17" s="28" t="inlineStr">
        <is>
          <t>Calendar, horizon &amp; event timing</t>
        </is>
      </c>
      <c r="C17" s="28" t="inlineStr">
        <is>
          <t>Telecom Towers &amp; Cell-Site Ground Leases</t>
        </is>
      </c>
      <c r="D17" s="28" t="inlineStr">
        <is>
          <t>Tier 1 — near term</t>
        </is>
      </c>
      <c r="E17" s="28" t="inlineStr">
        <is>
          <t>Requires dated, non-smooth churn events (decommission N sites in year Y from a named counterparty) rather than a percentage churn assumption.</t>
        </is>
      </c>
    </row>
    <row r="18" ht="43.5" customHeight="1" s="18">
      <c r="A18" s="24" t="n">
        <v>17</v>
      </c>
      <c r="B18" s="24" t="inlineStr">
        <is>
          <t>Calendar, horizon &amp; event timing</t>
        </is>
      </c>
      <c r="C18" s="24" t="inlineStr">
        <is>
          <t>Timberland</t>
        </is>
      </c>
      <c r="D18" s="24" t="inlineStr">
        <is>
          <t>Tier 3 — high new-primitive cost</t>
        </is>
      </c>
      <c r="E18" s="24" t="inlineStr">
        <is>
          <t>Requires a perpetuity-of-rotations terminal value (LEV) computed from the state of the inventory at the horizon, rather than a cap-rate or multiple exit.</t>
        </is>
      </c>
    </row>
    <row r="19" ht="43.5" customHeight="1" s="18">
      <c r="A19" s="28" t="n">
        <v>18</v>
      </c>
      <c r="B19" s="28" t="inlineStr">
        <is>
          <t>Calendar, horizon &amp; event timing</t>
        </is>
      </c>
      <c r="C19" s="28" t="inlineStr">
        <is>
          <t>Timberland</t>
        </is>
      </c>
      <c r="D19" s="28" t="inlineStr">
        <is>
          <t>Tier 3 — high new-primitive cost</t>
        </is>
      </c>
      <c r="E19" s="28" t="inlineStr">
        <is>
          <t>Requires parcel-level HBU sales as dated capital events that remove acreage (and its future timber cash flows) from the estate.</t>
        </is>
      </c>
    </row>
    <row r="20" ht="43.5" customHeight="1" s="18">
      <c r="A20" s="24" t="n">
        <v>19</v>
      </c>
      <c r="B20" s="24" t="inlineStr">
        <is>
          <t>Calendar, horizon &amp; event timing</t>
        </is>
      </c>
      <c r="C20" s="24" t="inlineStr">
        <is>
          <t>Toll Roads &amp; Availability-Payment P3 Concessions</t>
        </is>
      </c>
      <c r="D20" s="24" t="inlineStr">
        <is>
          <t>Tier 1 — near term</t>
        </is>
      </c>
      <c r="E20" s="24" t="inlineStr">
        <is>
          <t>Requires a hard zero terminal value with a dated, non-negotiable end-of-life, and TIFIA-style debt with deferred/sculpted amortization matched to the ramp.</t>
        </is>
      </c>
    </row>
    <row r="21" ht="43.5" customHeight="1" s="18">
      <c r="A21" s="28" t="n">
        <v>20</v>
      </c>
      <c r="B21" s="28" t="inlineStr">
        <is>
          <t>Calendar, horizon &amp; event timing</t>
        </is>
      </c>
      <c r="C21" s="28" t="inlineStr">
        <is>
          <t>Trade Receivables, Factoring &amp; Revolving Borrowing-Base Facilities</t>
        </is>
      </c>
      <c r="D21" s="28" t="inlineStr">
        <is>
          <t>Tier 3 — recombination of Tier 1 primitives</t>
        </is>
      </c>
      <c r="E21" s="28" t="inlineStr">
        <is>
          <t>Requires sub-monthly or day-count-aware calendars so 30-90 day turns can be expressed without forcing a monthly grid.</t>
        </is>
      </c>
    </row>
    <row r="22" ht="43.5" customHeight="1" s="18">
      <c r="A22" s="24" t="n">
        <v>21</v>
      </c>
      <c r="B22" s="24" t="inlineStr">
        <is>
          <t>Calendar, horizon &amp; event timing</t>
        </is>
      </c>
      <c r="C22" s="24" t="inlineStr">
        <is>
          <t>Water Rights &amp; Water Supply Concessions (incl. Desalination)</t>
        </is>
      </c>
      <c r="D22" s="24" t="inlineStr">
        <is>
          <t>Split: concession half Tier 1, rights half Tier 3</t>
        </is>
      </c>
      <c r="E22" s="24" t="inlineStr">
        <is>
          <t>Requires availability-based liquidated damages against a performance metric.</t>
        </is>
      </c>
    </row>
    <row r="23" ht="43.5" customHeight="1" s="18">
      <c r="A23" s="28" t="n">
        <v>22</v>
      </c>
      <c r="B23" s="28" t="inlineStr">
        <is>
          <t>Calendar, horizon &amp; event timing</t>
        </is>
      </c>
      <c r="C23" s="28" t="inlineStr">
        <is>
          <t>Whole Business Securitization / Franchise Royalty ABS</t>
        </is>
      </c>
      <c r="D23" s="28" t="inlineStr">
        <is>
          <t>Tier 3 — recombination of Tier 1 primitives</t>
        </is>
      </c>
      <c r="E23" s="28" t="inlineStr">
        <is>
          <t>Requires a coupon that steps up at a date and an amortization mode that flips from interest-only to full turbo at the same event.</t>
        </is>
      </c>
    </row>
    <row r="24" ht="43.5" customHeight="1" s="18">
      <c r="A24" s="24" t="n">
        <v>23</v>
      </c>
      <c r="B24" s="24" t="inlineStr">
        <is>
          <t>Cohort / vintage stock</t>
        </is>
      </c>
      <c r="C24" s="24" t="inlineStr">
        <is>
          <t>CMBS / Commercial Mortgage Loan Securitization</t>
        </is>
      </c>
      <c r="D24" s="24" t="inlineStr">
        <is>
          <t>Tier 2 — follows the waterfall engine</t>
        </is>
      </c>
      <c r="E24" s="24" t="inlineStr">
        <is>
          <t>Requires per-loan state carrying delinquency status, cumulative advances, appraisal-reduction amount, and special-servicing flag, with transitions between statuses each period.</t>
        </is>
      </c>
    </row>
    <row r="25" ht="43.5" customHeight="1" s="18">
      <c r="A25" s="28" t="n">
        <v>24</v>
      </c>
      <c r="B25" s="28" t="inlineStr">
        <is>
          <t>Cohort / vintage stock</t>
        </is>
      </c>
      <c r="C25" s="28" t="inlineStr">
        <is>
          <t>Carbon Credits &amp; Nature-Based / Engineered Removal Projects</t>
        </is>
      </c>
      <c r="D25" s="28" t="inlineStr">
        <is>
          <t>Tier 3 — high new-primitive cost</t>
        </is>
      </c>
      <c r="E25" s="28" t="inlineStr">
        <is>
          <t>Requires stochastic reversal events (fire/pest with a hazard rate) that destroy sequestered stock and trigger buffer draws — a genuine tail-risk driver for Monte Carlo.</t>
        </is>
      </c>
    </row>
    <row r="26" ht="43.5" customHeight="1" s="18">
      <c r="A26" s="24" t="n">
        <v>25</v>
      </c>
      <c r="B26" s="24" t="inlineStr">
        <is>
          <t>Cohort / vintage stock</t>
        </is>
      </c>
      <c r="C26" s="24" t="inlineStr">
        <is>
          <t>Carbon Credits &amp; Nature-Based / Engineered Removal Projects</t>
        </is>
      </c>
      <c r="D26" s="24" t="inlineStr">
        <is>
          <t>Tier 3 — high new-primitive cost</t>
        </is>
      </c>
      <c r="E26" s="24" t="inlineStr">
        <is>
          <t>Requires vintage-tagged inventory: credits carry a vintage year and a rating, and price is a lookup on (vintage, project type, rating), so revenue depends on which vintage is sold when.</t>
        </is>
      </c>
    </row>
    <row r="27" ht="43.5" customHeight="1" s="18">
      <c r="A27" s="28" t="n">
        <v>26</v>
      </c>
      <c r="B27" s="28" t="inlineStr">
        <is>
          <t>Cohort / vintage stock</t>
        </is>
      </c>
      <c r="C27" s="28" t="inlineStr">
        <is>
          <t>EV Charging Networks</t>
        </is>
      </c>
      <c r="D27" s="28" t="inlineStr">
        <is>
          <t>Tier 3 — high new-primitive cost</t>
        </is>
      </c>
      <c r="E27" s="28" t="inlineStr">
        <is>
          <t>Requires a utilization ramp curve per site cohort driving both revenue and the demand-charge base, with utilization as a separate stochastic driver for Monte Carlo.</t>
        </is>
      </c>
    </row>
    <row r="28" ht="43.5" customHeight="1" s="18">
      <c r="A28" s="24" t="n">
        <v>27</v>
      </c>
      <c r="B28" s="24" t="inlineStr">
        <is>
          <t>Cohort / vintage stock</t>
        </is>
      </c>
      <c r="C28" s="24" t="inlineStr">
        <is>
          <t>EV Charging Networks</t>
        </is>
      </c>
      <c r="D28" s="24" t="inlineStr">
        <is>
          <t>Tier 3 — high new-primitive cost</t>
        </is>
      </c>
      <c r="E28" s="24" t="inlineStr">
        <is>
          <t>Requires a switchable revenue-model primitive so the same site can be run under owner-operator, host-owned or fleet-contract economics without rewriting the site.</t>
        </is>
      </c>
    </row>
    <row r="29" ht="43.5" customHeight="1" s="18">
      <c r="A29" s="28" t="n">
        <v>28</v>
      </c>
      <c r="B29" s="28" t="inlineStr">
        <is>
          <t>Cohort / vintage stock</t>
        </is>
      </c>
      <c r="C29" s="28" t="inlineStr">
        <is>
          <t>Equipment &amp; Transportation Lease Portfolios (incl. Aircraft/Container/Rail ABS)</t>
        </is>
      </c>
      <c r="D29" s="28" t="inlineStr">
        <is>
          <t>Tier 3 — recombination of Tier 1 primitives</t>
        </is>
      </c>
      <c r="E29" s="28" t="inlineStr">
        <is>
          <t>Requires per-asset state for the depreciated asset value and a maintenance reserve balance with deposit and disbursement rules.</t>
        </is>
      </c>
    </row>
    <row r="30" ht="43.5" customHeight="1" s="18">
      <c r="A30" s="24" t="n">
        <v>29</v>
      </c>
      <c r="B30" s="24" t="inlineStr">
        <is>
          <t>Cohort / vintage stock</t>
        </is>
      </c>
      <c r="C30" s="24" t="inlineStr">
        <is>
          <t>Farmland &amp; Permanent Crops</t>
        </is>
      </c>
      <c r="D30" s="24" t="inlineStr">
        <is>
          <t>Tier 3 — high new-primitive cost</t>
        </is>
      </c>
      <c r="E30" s="24" t="inlineStr">
        <is>
          <t>Requires an age-dependent yield curve per planting cohort: yield_per_acre = f(years_since_planting), with distinct non-bearing, ramp, plateau and decline phases, and a replant event that resets the cohort to age zero with capex.</t>
        </is>
      </c>
    </row>
    <row r="31" ht="43.5" customHeight="1" s="18">
      <c r="A31" s="28" t="n">
        <v>30</v>
      </c>
      <c r="B31" s="28" t="inlineStr">
        <is>
          <t>Cohort / vintage stock</t>
        </is>
      </c>
      <c r="C31" s="28" t="inlineStr">
        <is>
          <t>Farmland &amp; Permanent Crops</t>
        </is>
      </c>
      <c r="D31" s="28" t="inlineStr">
        <is>
          <t>Tier 3 — high new-primitive cost</t>
        </is>
      </c>
      <c r="E31" s="28" t="inlineStr">
        <is>
          <t>Requires per-cohort state so an orchard portfolio is a stack of blocks planted in different years, each on its own maturity clock.</t>
        </is>
      </c>
    </row>
    <row r="32" ht="43.5" customHeight="1" s="18">
      <c r="A32" s="24" t="n">
        <v>31</v>
      </c>
      <c r="B32" s="24" t="inlineStr">
        <is>
          <t>Cohort / vintage stock</t>
        </is>
      </c>
      <c r="C32" s="24" t="inlineStr">
        <is>
          <t>Fiber Networks (FTTH / Open-Access / Enterprise Dark Fiber)</t>
        </is>
      </c>
      <c r="D32" s="24" t="inlineStr">
        <is>
          <t>Tier 2 — gated on cohort state</t>
        </is>
      </c>
      <c r="E32" s="24" t="inlineStr">
        <is>
          <t>Requires per-period persistent state for a subscriber stock per build cohort, with cohort-specific gross adds, churn and ARPU roll-off from promo to rack.</t>
        </is>
      </c>
    </row>
    <row r="33" ht="43.5" customHeight="1" s="18">
      <c r="A33" s="28" t="n">
        <v>32</v>
      </c>
      <c r="B33" s="28" t="inlineStr">
        <is>
          <t>Cohort / vintage stock</t>
        </is>
      </c>
      <c r="C33" s="28" t="inlineStr">
        <is>
          <t>Fiber Networks (FTTH / Open-Access / Enterprise Dark Fiber)</t>
        </is>
      </c>
      <c r="D33" s="28" t="inlineStr">
        <is>
          <t>Tier 2 — gated on cohort state</t>
        </is>
      </c>
      <c r="E33" s="28" t="inlineStr">
        <is>
          <t>Requires cohort stacking: dozens of build cohorts, each launched in a different month, each on its own penetration clock, aggregated to a network-level P&amp;L.</t>
        </is>
      </c>
    </row>
    <row r="34" ht="43.5" customHeight="1" s="18">
      <c r="A34" s="24" t="n">
        <v>33</v>
      </c>
      <c r="B34" s="24" t="inlineStr">
        <is>
          <t>Cohort / vintage stock</t>
        </is>
      </c>
      <c r="C34" s="24" t="inlineStr">
        <is>
          <t>Film &amp; TV Content Libraries ('Ultimates')</t>
        </is>
      </c>
      <c r="D34" s="24" t="inlineStr">
        <is>
          <t>Tier 3 — recombination of Tier 1 primitives</t>
        </is>
      </c>
      <c r="E34" s="24" t="inlineStr">
        <is>
          <t>Requires a per-title timeline offset construct: window k opens at release + offset_k and carries its own duration and decay shape.</t>
        </is>
      </c>
    </row>
    <row r="35" ht="43.5" customHeight="1" s="18">
      <c r="A35" s="28" t="n">
        <v>34</v>
      </c>
      <c r="B35" s="28" t="inlineStr">
        <is>
          <t>Cohort / vintage stock</t>
        </is>
      </c>
      <c r="C35" s="28" t="inlineStr">
        <is>
          <t>GP Stakes / Management Fee Earnings Streams</t>
        </is>
      </c>
      <c r="D35" s="28" t="inlineStr">
        <is>
          <t>Tier 3 — recombination of Tier 1 primitives</t>
        </is>
      </c>
      <c r="E35" s="28" t="inlineStr">
        <is>
          <t>Requires a fund-vintage cohort generator: N funds launched on a schedule, each with a size, fee rate, investment period, and step-down, summed into a firm-level fee line.</t>
        </is>
      </c>
    </row>
    <row r="36" ht="43.5" customHeight="1" s="18">
      <c r="A36" s="24" t="n">
        <v>35</v>
      </c>
      <c r="B36" s="24" t="inlineStr">
        <is>
          <t>Cohort / vintage stock</t>
        </is>
      </c>
      <c r="C36" s="24" t="inlineStr">
        <is>
          <t>GP Stakes / Management Fee Earnings Streams</t>
        </is>
      </c>
      <c r="D36" s="24" t="inlineStr">
        <is>
          <t>Tier 3 — recombination of Tier 1 primitives</t>
        </is>
      </c>
      <c r="E36" s="24" t="inlineStr">
        <is>
          <t>Requires probability weighting of future fund raises (a raise-success probability per future vintage) applied to that vintage's entire cash flow contribution.</t>
        </is>
      </c>
    </row>
    <row r="37" ht="43.5" customHeight="1" s="18">
      <c r="A37" s="28" t="n">
        <v>36</v>
      </c>
      <c r="B37" s="28" t="inlineStr">
        <is>
          <t>Cohort / vintage stock</t>
        </is>
      </c>
      <c r="C37" s="28" t="inlineStr">
        <is>
          <t>Life Settlements / Longevity-Contingent Assets</t>
        </is>
      </c>
      <c r="D37" s="28" t="inlineStr">
        <is>
          <t>Tier 2 — longevity pair</t>
        </is>
      </c>
      <c r="E37" s="28" t="inlineStr">
        <is>
          <t>Requires per-policy state to track the policy account value / shadow account so premium optimization can be expressed (pay the minimum that keeps account value above zero).</t>
        </is>
      </c>
    </row>
    <row r="38" ht="43.5" customHeight="1" s="18">
      <c r="A38" s="24" t="n">
        <v>37</v>
      </c>
      <c r="B38" s="24" t="inlineStr">
        <is>
          <t>Cohort / vintage stock</t>
        </is>
      </c>
      <c r="C38" s="24" t="inlineStr">
        <is>
          <t>Mortgage Servicing Rights (MSR)</t>
        </is>
      </c>
      <c r="D38" s="24" t="inlineStr">
        <is>
          <t>Tier 1 — near term</t>
        </is>
      </c>
      <c r="E38" s="24" t="inlineStr">
        <is>
          <t>Requires modeling a per-loan (or per-strata) count alongside balance, because cost to service and ancillary fees are per-unit and fees are per-basis-point.</t>
        </is>
      </c>
    </row>
    <row r="39" ht="43.5" customHeight="1" s="18">
      <c r="A39" s="28" t="n">
        <v>38</v>
      </c>
      <c r="B39" s="28" t="inlineStr">
        <is>
          <t>Cohort / vintage stock</t>
        </is>
      </c>
      <c r="C39" s="28" t="inlineStr">
        <is>
          <t>Mortgage Servicing Rights (MSR)</t>
        </is>
      </c>
      <c r="D39" s="28" t="inlineStr">
        <is>
          <t>Tier 1 — near term</t>
        </is>
      </c>
      <c r="E39" s="28" t="inlineStr">
        <is>
          <t>Requires stratification: the pool must be decomposable into buckets by note rate and vintage, each with its own refi incentive, then aggregated.</t>
        </is>
      </c>
    </row>
    <row r="40" ht="43.5" customHeight="1" s="18">
      <c r="A40" s="24" t="n">
        <v>39</v>
      </c>
      <c r="B40" s="24" t="inlineStr">
        <is>
          <t>Cohort / vintage stock</t>
        </is>
      </c>
      <c r="C40" s="24" t="inlineStr">
        <is>
          <t>Music Catalog Royalties</t>
        </is>
      </c>
      <c r="D40" s="24" t="inlineStr">
        <is>
          <t>Tier 3 — recombination of Tier 1 primitives</t>
        </is>
      </c>
      <c r="E40" s="24" t="inlineStr">
        <is>
          <t>Requires a cohort/vintage construct: N assets each with a release date, each mapped onto a shared parametric decay curve evaluated at (t - release_date), then summed.</t>
        </is>
      </c>
    </row>
    <row r="41" ht="43.5" customHeight="1" s="18">
      <c r="A41" s="28" t="n">
        <v>40</v>
      </c>
      <c r="B41" s="28" t="inlineStr">
        <is>
          <t>Cohort / vintage stock</t>
        </is>
      </c>
      <c r="C41" s="28" t="inlineStr">
        <is>
          <t>Music Catalog Royalties</t>
        </is>
      </c>
      <c r="D41" s="28" t="inlineStr">
        <is>
          <t>Tier 3 — recombination of Tier 1 primitives</t>
        </is>
      </c>
      <c r="E41" s="28" t="inlineStr">
        <is>
          <t>Requires a term/expiry mask per vintage so a cohort's contribution goes to zero at copyright expiry or an assumed reversion date.</t>
        </is>
      </c>
    </row>
    <row r="42" ht="43.5" customHeight="1" s="18">
      <c r="A42" s="24" t="n">
        <v>41</v>
      </c>
      <c r="B42" s="24" t="inlineStr">
        <is>
          <t>Cohort / vintage stock</t>
        </is>
      </c>
      <c r="C42" s="24" t="inlineStr">
        <is>
          <t>Pension Risk Transfer &amp; Annuity Liability Blocks</t>
        </is>
      </c>
      <c r="D42" s="24" t="inlineStr">
        <is>
          <t>Tier 2 — longevity pair</t>
        </is>
      </c>
      <c r="E42" s="24" t="inlineStr">
        <is>
          <t>Requires seriatim participant-level modeling with per-participant commencement dates, benefit forms, and joint-life survival (a two-life survival function).</t>
        </is>
      </c>
    </row>
    <row r="43" ht="43.5" customHeight="1" s="18">
      <c r="A43" s="28" t="n">
        <v>42</v>
      </c>
      <c r="B43" s="28" t="inlineStr">
        <is>
          <t>Cohort / vintage stock</t>
        </is>
      </c>
      <c r="C43" s="28" t="inlineStr">
        <is>
          <t>Self-Storage</t>
        </is>
      </c>
      <c r="D43" s="28" t="inlineStr">
        <is>
          <t>Tier 2 — gated on cohort state</t>
        </is>
      </c>
      <c r="E43" s="28" t="inlineStr">
        <is>
          <t>Requires per-period persistent state for a cohort/vintage stock: a vector of tenant cohorts each carrying (count, in-place rate, months-since-move-in) that rolls forward with move-in inflow and hazard-driven outflow.</t>
        </is>
      </c>
    </row>
    <row r="44" ht="43.5" customHeight="1" s="18">
      <c r="A44" s="24" t="n">
        <v>43</v>
      </c>
      <c r="B44" s="24" t="inlineStr">
        <is>
          <t>Cohort / vintage stock</t>
        </is>
      </c>
      <c r="C44" s="24" t="inlineStr">
        <is>
          <t>Self-Storage</t>
        </is>
      </c>
      <c r="D44" s="24" t="inlineStr">
        <is>
          <t>Tier 2 — gated on cohort state</t>
        </is>
      </c>
      <c r="E44" s="24" t="inlineStr">
        <is>
          <t>Requires an event-triggered rate step keyed to cohort age (apply ECRI at month 10, then every 12 months), with a move-out probability that is itself a function of the size of the increase applied.</t>
        </is>
      </c>
    </row>
    <row r="45" ht="43.5" customHeight="1" s="18">
      <c r="A45" s="28" t="n">
        <v>44</v>
      </c>
      <c r="B45" s="28" t="inlineStr">
        <is>
          <t>Cohort / vintage stock</t>
        </is>
      </c>
      <c r="C45" s="28" t="inlineStr">
        <is>
          <t>Self-Storage</t>
        </is>
      </c>
      <c r="D45" s="28" t="inlineStr">
        <is>
          <t>Tier 2 — gated on cohort state</t>
        </is>
      </c>
      <c r="E45" s="28" t="inlineStr">
        <is>
          <t>Requires occupancy as a derived stock rather than an input: physical_occupancy[t] = physical_occupancy[t-1] + move_ins[t] - move_outs[t], bounded by unit count.</t>
        </is>
      </c>
    </row>
    <row r="46" ht="43.5" customHeight="1" s="18">
      <c r="A46" s="24" t="n">
        <v>45</v>
      </c>
      <c r="B46" s="24" t="inlineStr">
        <is>
          <t>Cohort / vintage stock</t>
        </is>
      </c>
      <c r="C46" s="24" t="inlineStr">
        <is>
          <t>Self-Storage</t>
        </is>
      </c>
      <c r="D46" s="24" t="inlineStr">
        <is>
          <t>Tier 2 — gated on cohort state</t>
        </is>
      </c>
      <c r="E46" s="24" t="inlineStr">
        <is>
          <t>Requires concession amortization: a discount applied only to the first N months of each cohort's tenure, so economic and physical occupancy diverge in a computable way.</t>
        </is>
      </c>
    </row>
    <row r="47" ht="43.5" customHeight="1" s="18">
      <c r="A47" s="28" t="n">
        <v>46</v>
      </c>
      <c r="B47" s="28" t="inlineStr">
        <is>
          <t>Cohort / vintage stock</t>
        </is>
      </c>
      <c r="C47" s="28" t="inlineStr">
        <is>
          <t>Seniors Housing &amp; Care (IL / AL / Memory Care, RIDEA structures)</t>
        </is>
      </c>
      <c r="D47" s="28" t="inlineStr">
        <is>
          <t>Tier 2 — gated on cohort state</t>
        </is>
      </c>
      <c r="E47" s="28" t="inlineStr">
        <is>
          <t>Requires per-period persistent state for a resident cohort stock segmented by acuity level, with transitions between acuity levels over time (a Markov-style migration matrix applied period to period), not just a single occupancy scalar.</t>
        </is>
      </c>
    </row>
    <row r="48" ht="43.5" customHeight="1" s="18">
      <c r="A48" s="24" t="n">
        <v>47</v>
      </c>
      <c r="B48" s="24" t="inlineStr">
        <is>
          <t>Cohort / vintage stock</t>
        </is>
      </c>
      <c r="C48" s="24" t="inlineStr">
        <is>
          <t>Shipping / Maritime (Bulkers, Tankers, Containerships, LNG)</t>
        </is>
      </c>
      <c r="D48" s="24" t="inlineStr">
        <is>
          <t>Tier 3 — high new-primitive cost</t>
        </is>
      </c>
      <c r="E48" s="24" t="inlineStr">
        <is>
          <t>Requires per-vessel modeling aggregated to a fleet with vessel-level debt and cross-collateralized covenants (loan-to-value maintenance tests that trigger a cash sweep or prepayment).</t>
        </is>
      </c>
    </row>
    <row r="49" ht="43.5" customHeight="1" s="18">
      <c r="A49" s="28" t="n">
        <v>48</v>
      </c>
      <c r="B49" s="28" t="inlineStr">
        <is>
          <t>Cohort / vintage stock</t>
        </is>
      </c>
      <c r="C49" s="28" t="inlineStr">
        <is>
          <t>Single-Family Rental / Build-to-Rent</t>
        </is>
      </c>
      <c r="D49" s="28" t="inlineStr">
        <is>
          <t>Tier 2 — gated on cohort state</t>
        </is>
      </c>
      <c r="E49" s="28" t="inlineStr">
        <is>
          <t>Requires per-period persistent state for a home-count stock: homes are acquired, sit in renovation, stabilize, occupy, turn, and are disposed — each transition changing which cash flows the home produces.</t>
        </is>
      </c>
    </row>
    <row r="50" ht="43.5" customHeight="1" s="18">
      <c r="A50" s="24" t="n">
        <v>49</v>
      </c>
      <c r="B50" s="24" t="inlineStr">
        <is>
          <t>Cohort / vintage stock</t>
        </is>
      </c>
      <c r="C50" s="24" t="inlineStr">
        <is>
          <t>Timberland</t>
        </is>
      </c>
      <c r="D50" s="24" t="inlineStr">
        <is>
          <t>Tier 3 — high new-primitive cost</t>
        </is>
      </c>
      <c r="E50" s="24" t="inlineStr">
        <is>
          <t>Requires per-period persistent state for a stand inventory: an age-class x diameter-class distribution per stand, grown forward each period by a growth-and-yield function, decremented by harvest, and reset to age zero at replanting.</t>
        </is>
      </c>
    </row>
    <row r="51" ht="43.5" customHeight="1" s="18">
      <c r="A51" s="28" t="n">
        <v>50</v>
      </c>
      <c r="B51" s="28" t="inlineStr">
        <is>
          <t>Cohort / vintage stock</t>
        </is>
      </c>
      <c r="C51" s="28" t="inlineStr">
        <is>
          <t>Transport Equipment Lease Pools (Marine Containers, Railcars, Chassis)</t>
        </is>
      </c>
      <c r="D51" s="28" t="inlineStr">
        <is>
          <t>Tier 2 — gated on cohort state</t>
        </is>
      </c>
      <c r="E51" s="28" t="inlineStr">
        <is>
          <t>Requires per-period persistent state for a fleet stock segmented by vintage: units_by_vintage rolls forward with new-unit purchases, retirements at end of economic life, and interim disposals, with each vintage carrying its own per-diem and net book value.</t>
        </is>
      </c>
    </row>
    <row r="52" ht="43.5" customHeight="1" s="18">
      <c r="A52" s="24" t="n">
        <v>51</v>
      </c>
      <c r="B52" s="24" t="inlineStr">
        <is>
          <t>Cohort / vintage stock</t>
        </is>
      </c>
      <c r="C52" s="24" t="inlineStr">
        <is>
          <t>Transport Equipment Lease Pools (Marine Containers, Railcars, Chassis)</t>
        </is>
      </c>
      <c r="D52" s="24" t="inlineStr">
        <is>
          <t>Tier 2 — gated on cohort state</t>
        </is>
      </c>
      <c r="E52" s="24" t="inlineStr">
        <is>
          <t>Requires lease-renewal mechanics at the fleet level: at each lease expiry, a renewal_success_rate fraction renews at the prevailing market per-diem for a modeled term and the remainder returns to idle, so the average per-diem is a computed vintage-weighted mix.</t>
        </is>
      </c>
    </row>
    <row r="53" ht="43.5" customHeight="1" s="18">
      <c r="A53" s="28" t="n">
        <v>52</v>
      </c>
      <c r="B53" s="28" t="inlineStr">
        <is>
          <t>Cohort / vintage stock</t>
        </is>
      </c>
      <c r="C53" s="28" t="inlineStr">
        <is>
          <t>Transport Equipment Lease Pools (Marine Containers, Railcars, Chassis)</t>
        </is>
      </c>
      <c r="D53" s="28" t="inlineStr">
        <is>
          <t>Tier 2 — gated on cohort state</t>
        </is>
      </c>
      <c r="E53" s="28" t="inlineStr">
        <is>
          <t>Requires parallel treatment of DFL and operating-lease sub-portfolios within one fleet.</t>
        </is>
      </c>
    </row>
    <row r="54" ht="43.5" customHeight="1" s="18">
      <c r="A54" s="24" t="n">
        <v>53</v>
      </c>
      <c r="B54" s="24" t="inlineStr">
        <is>
          <t>Cohort / vintage stock</t>
        </is>
      </c>
      <c r="C54" s="24" t="inlineStr">
        <is>
          <t>Venture Debt &amp; Recurring-Revenue (ARR) Lending</t>
        </is>
      </c>
      <c r="D54" s="24" t="inlineStr">
        <is>
          <t>Tier 3 — recombination of Tier 1 primitives</t>
        </is>
      </c>
      <c r="E54" s="24" t="inlineStr">
        <is>
          <t>Requires cohort-retention revenue modeling: cohorts with acquisition dates, a logo-survival curve, and an expansion multiplier, aggregated to ARR.</t>
        </is>
      </c>
    </row>
    <row r="55" ht="43.5" customHeight="1" s="18">
      <c r="A55" s="28" t="n">
        <v>54</v>
      </c>
      <c r="B55" s="28" t="inlineStr">
        <is>
          <t>Cohort / vintage stock</t>
        </is>
      </c>
      <c r="C55" s="28" t="inlineStr">
        <is>
          <t>Whole Business Securitization / Franchise Royalty ABS</t>
        </is>
      </c>
      <c r="D55" s="28" t="inlineStr">
        <is>
          <t>Tier 3 — recombination of Tier 1 primitives</t>
        </is>
      </c>
      <c r="E55" s="28" t="inlineStr">
        <is>
          <t>Requires a unit-cohort revenue build: openings and closures per period feeding a unit count, each vintage carrying its own ramp to mature AUV.</t>
        </is>
      </c>
    </row>
    <row r="56" ht="43.5" customHeight="1" s="18">
      <c r="A56" s="24" t="n">
        <v>55</v>
      </c>
      <c r="B56" s="24" t="inlineStr">
        <is>
          <t>Composition, nesting &amp; multi-entity</t>
        </is>
      </c>
      <c r="C56" s="24" t="inlineStr">
        <is>
          <t>Airports &amp; Port/Terminal Concessions</t>
        </is>
      </c>
      <c r="D56" s="24" t="inlineStr">
        <is>
          <t>Tier 3 — high new-primitive cost</t>
        </is>
      </c>
      <c r="E56" s="24" t="inlineStr">
        <is>
          <t>Requires throughput forecasts decomposable by carrier/route so a named-carrier exit can be modeled as a dated step-down.</t>
        </is>
      </c>
    </row>
    <row r="57" ht="43.5" customHeight="1" s="18">
      <c r="A57" s="28" t="n">
        <v>56</v>
      </c>
      <c r="B57" s="28" t="inlineStr">
        <is>
          <t>Composition, nesting &amp; multi-entity</t>
        </is>
      </c>
      <c r="C57" s="28" t="inlineStr">
        <is>
          <t>CMBS / Commercial Mortgage Loan Securitization</t>
        </is>
      </c>
      <c r="D57" s="28" t="inlineStr">
        <is>
          <t>Tier 2 — follows the waterfall engine</t>
        </is>
      </c>
      <c r="E57" s="28" t="inlineStr">
        <is>
          <t>Requires property-level NOI to feed loan-level DSCR, i.e. composition of a CRE cash flow model into a credit model.</t>
        </is>
      </c>
    </row>
    <row r="58" ht="43.5" customHeight="1" s="18">
      <c r="A58" s="24" t="n">
        <v>57</v>
      </c>
      <c r="B58" s="24" t="inlineStr">
        <is>
          <t>Composition, nesting &amp; multi-entity</t>
        </is>
      </c>
      <c r="C58" s="24" t="inlineStr">
        <is>
          <t>GP Stakes / Management Fee Earnings Streams</t>
        </is>
      </c>
      <c r="D58" s="24" t="inlineStr">
        <is>
          <t>Tier 3 — recombination of Tier 1 primitives</t>
        </is>
      </c>
      <c r="E58" s="24" t="inlineStr">
        <is>
          <t>Requires a multi-tier ownership/allocation structure (firm → carry pool → stakeholder) expressible as a nested split.</t>
        </is>
      </c>
    </row>
    <row r="59" ht="43.5" customHeight="1" s="18">
      <c r="A59" s="28" t="n">
        <v>58</v>
      </c>
      <c r="B59" s="28" t="inlineStr">
        <is>
          <t>Composition, nesting &amp; multi-entity</t>
        </is>
      </c>
      <c r="C59" s="28" t="inlineStr">
        <is>
          <t>Tax Equity Partnership Flips &amp; Transferable Tax Credits</t>
        </is>
      </c>
      <c r="D59" s="28" t="inlineStr">
        <is>
          <t>Tier 1 — near term</t>
        </is>
      </c>
      <c r="E59" s="28" t="inlineStr">
        <is>
          <t>Requires dual ledgers (tax and cash/GAAP) computed in the same model with different allocation rules.</t>
        </is>
      </c>
    </row>
    <row r="60" ht="43.5" customHeight="1" s="18">
      <c r="A60" s="24" t="n">
        <v>59</v>
      </c>
      <c r="B60" s="24" t="inlineStr">
        <is>
          <t>Composition, nesting &amp; multi-entity</t>
        </is>
      </c>
      <c r="C60" s="24" t="inlineStr">
        <is>
          <t>Trade Receivables, Factoring &amp; Revolving Borrowing-Base Facilities</t>
        </is>
      </c>
      <c r="D60" s="24" t="inlineStr">
        <is>
          <t>Tier 3 — recombination of Tier 1 primitives</t>
        </is>
      </c>
      <c r="E60" s="24" t="inlineStr">
        <is>
          <t>Requires a borrowing-base calculation that is a function of the current period's portfolio composition, including concentration caps applied per obligor.</t>
        </is>
      </c>
    </row>
    <row r="61" ht="43.5" customHeight="1" s="18">
      <c r="A61" s="28" t="n">
        <v>60</v>
      </c>
      <c r="B61" s="28" t="inlineStr">
        <is>
          <t>Composition, nesting &amp; multi-entity</t>
        </is>
      </c>
      <c r="C61" s="28" t="inlineStr">
        <is>
          <t>Whole Business Securitization / Franchise Royalty ABS</t>
        </is>
      </c>
      <c r="D61" s="28" t="inlineStr">
        <is>
          <t>Tier 3 — recombination of Tier 1 primitives</t>
        </is>
      </c>
      <c r="E61" s="28" t="inlineStr">
        <is>
          <t>Requires a trailing-window aggregation operator (TTM DSCR) over prior periods' computed values.</t>
        </is>
      </c>
    </row>
    <row r="62" ht="43.5" customHeight="1" s="18">
      <c r="A62" s="24" t="n">
        <v>61</v>
      </c>
      <c r="B62" s="24" t="inlineStr">
        <is>
          <t>Curves, indices &amp; price paths</t>
        </is>
      </c>
      <c r="C62" s="24" t="inlineStr">
        <is>
          <t>Aircraft Leasing &amp; Aviation ABS</t>
        </is>
      </c>
      <c r="D62" s="24" t="inlineStr">
        <is>
          <t>Tier 2 — gated on cohort state</t>
        </is>
      </c>
      <c r="E62" s="24" t="inlineStr">
        <is>
          <t>Requires escalation of a future maintenance cost estimate at a separate index from lease rentals.</t>
        </is>
      </c>
    </row>
    <row r="63" ht="43.5" customHeight="1" s="18">
      <c r="A63" s="28" t="n">
        <v>62</v>
      </c>
      <c r="B63" s="28" t="inlineStr">
        <is>
          <t>Curves, indices &amp; price paths</t>
        </is>
      </c>
      <c r="C63" s="28" t="inlineStr">
        <is>
          <t>CMBS / Commercial Mortgage Loan Securitization</t>
        </is>
      </c>
      <c r="D63" s="28" t="inlineStr">
        <is>
          <t>Tier 2 — follows the waterfall engine</t>
        </is>
      </c>
      <c r="E63" s="28" t="inlineStr">
        <is>
          <t>Requires prepayment-penalty computation (yield maintenance as a PV of foregone spread over a Treasury curve) and its allocation to designated classes.</t>
        </is>
      </c>
    </row>
    <row r="64" ht="43.5" customHeight="1" s="18">
      <c r="A64" s="24" t="n">
        <v>63</v>
      </c>
      <c r="B64" s="24" t="inlineStr">
        <is>
          <t>Curves, indices &amp; price paths</t>
        </is>
      </c>
      <c r="C64" s="24" t="inlineStr">
        <is>
          <t>Carbon Credits &amp; Nature-Based / Engineered Removal Projects</t>
        </is>
      </c>
      <c r="D64" s="24" t="inlineStr">
        <is>
          <t>Tier 3 — high new-primitive cost</t>
        </is>
      </c>
      <c r="E64" s="24" t="inlineStr">
        <is>
          <t>Requires contracted-vs-merchant splitting on the same volume stream: a forward offtake for X credits/year at a strike, with the residual sold at spot.</t>
        </is>
      </c>
    </row>
    <row r="65" ht="43.5" customHeight="1" s="18">
      <c r="A65" s="28" t="n">
        <v>64</v>
      </c>
      <c r="B65" s="28" t="inlineStr">
        <is>
          <t>Curves, indices &amp; price paths</t>
        </is>
      </c>
      <c r="C65" s="28" t="inlineStr">
        <is>
          <t>Data Centers</t>
        </is>
      </c>
      <c r="D65" s="28" t="inlineStr">
        <is>
          <t>Tier 1 — near term</t>
        </is>
      </c>
      <c r="E65" s="28" t="inlineStr">
        <is>
          <t>Requires stacked-phase aggregation: N phases each with their own lease, escalator, term and TI amortization, rolled up into one asset-level cash flow.</t>
        </is>
      </c>
    </row>
    <row r="66" ht="43.5" customHeight="1" s="18">
      <c r="A66" s="24" t="n">
        <v>65</v>
      </c>
      <c r="B66" s="24" t="inlineStr">
        <is>
          <t>Curves, indices &amp; price paths</t>
        </is>
      </c>
      <c r="C66" s="24" t="inlineStr">
        <is>
          <t>District Energy &amp; Waste-to-Energy</t>
        </is>
      </c>
      <c r="D66" s="24" t="inlineStr">
        <is>
          <t>Tier 1 — near term</t>
        </is>
      </c>
      <c r="E66" s="24" t="inlineStr">
        <is>
          <t>Requires stacked long-term customer contracts with per-contract connection dates, contracted capacity, tariff formulas and escalators, aggregated to a plant level — with new connections arriving over time onto existing distribution capacity.</t>
        </is>
      </c>
    </row>
    <row r="67" ht="43.5" customHeight="1" s="18">
      <c r="A67" s="28" t="n">
        <v>66</v>
      </c>
      <c r="B67" s="28" t="inlineStr">
        <is>
          <t>Curves, indices &amp; price paths</t>
        </is>
      </c>
      <c r="C67" s="28" t="inlineStr">
        <is>
          <t>District Energy &amp; Waste-to-Energy</t>
        </is>
      </c>
      <c r="D67" s="28" t="inlineStr">
        <is>
          <t>Tier 1 — near term</t>
        </is>
      </c>
      <c r="E67" s="28" t="inlineStr">
        <is>
          <t>Requires a two-part tariff primitive: revenue = capacity_charge * contracted_peak * escalator + consumption_rate * volume, with a fuel-cost pass-through formula in the consumption leg.</t>
        </is>
      </c>
    </row>
    <row r="68" ht="43.5" customHeight="1" s="18">
      <c r="A68" s="24" t="n">
        <v>67</v>
      </c>
      <c r="B68" s="24" t="inlineStr">
        <is>
          <t>Curves, indices &amp; price paths</t>
        </is>
      </c>
      <c r="C68" s="24" t="inlineStr">
        <is>
          <t>District Energy &amp; Waste-to-Energy</t>
        </is>
      </c>
      <c r="D68" s="24" t="inlineStr">
        <is>
          <t>Tier 1 — near term</t>
        </is>
      </c>
      <c r="E68" s="24" t="inlineStr">
        <is>
          <t>Requires simultaneous fuel-cost and revenue exposure to the same commodity curve (spark/dark spread), with the ability to model a plant that is long thermal and short fuel.</t>
        </is>
      </c>
    </row>
    <row r="69" ht="43.5" customHeight="1" s="18">
      <c r="A69" s="28" t="n">
        <v>68</v>
      </c>
      <c r="B69" s="28" t="inlineStr">
        <is>
          <t>Curves, indices &amp; price paths</t>
        </is>
      </c>
      <c r="C69" s="28" t="inlineStr">
        <is>
          <t>Farmland &amp; Permanent Crops</t>
        </is>
      </c>
      <c r="D69" s="28" t="inlineStr">
        <is>
          <t>Tier 3 — high new-primitive cost</t>
        </is>
      </c>
      <c r="E69" s="28" t="inlineStr">
        <is>
          <t>Requires alternate-bearing cycles: a yield multiplier that alternates by parity of the year index for certain crops.</t>
        </is>
      </c>
    </row>
    <row r="70" ht="43.5" customHeight="1" s="18">
      <c r="A70" s="24" t="n">
        <v>69</v>
      </c>
      <c r="B70" s="24" t="inlineStr">
        <is>
          <t>Curves, indices &amp; price paths</t>
        </is>
      </c>
      <c r="C70" s="24" t="inlineStr">
        <is>
          <t>Farmland &amp; Permanent Crops</t>
        </is>
      </c>
      <c r="D70" s="24" t="inlineStr">
        <is>
          <t>Tier 3 — high new-primitive cost</t>
        </is>
      </c>
      <c r="E70" s="24" t="inlineStr">
        <is>
          <t>Requires a land-value index as a terminal driver decoupled from the operating cash flow.</t>
        </is>
      </c>
    </row>
    <row r="71" ht="43.5" customHeight="1" s="18">
      <c r="A71" s="28" t="n">
        <v>70</v>
      </c>
      <c r="B71" s="28" t="inlineStr">
        <is>
          <t>Curves, indices &amp; price paths</t>
        </is>
      </c>
      <c r="C71" s="28" t="inlineStr">
        <is>
          <t>Hospitality / Hotels</t>
        </is>
      </c>
      <c r="D71" s="28" t="inlineStr">
        <is>
          <t>Tier 1 — near term</t>
        </is>
      </c>
      <c r="E71" s="28" t="inlineStr">
        <is>
          <t>Requires a fixed/variable expense decomposition primitive: expense = fixed_base * inflation_index + variable_rate * driver, applied per department.</t>
        </is>
      </c>
    </row>
    <row r="72" ht="43.5" customHeight="1" s="18">
      <c r="A72" s="24" t="n">
        <v>71</v>
      </c>
      <c r="B72" s="24" t="inlineStr">
        <is>
          <t>Curves, indices &amp; price paths</t>
        </is>
      </c>
      <c r="C72" s="24" t="inlineStr">
        <is>
          <t>Hospitality / Hotels</t>
        </is>
      </c>
      <c r="D72" s="24" t="inlineStr">
        <is>
          <t>Tier 1 — near term</t>
        </is>
      </c>
      <c r="E72" s="24" t="inlineStr">
        <is>
          <t>Requires monthly seasonality indices applied multiplicatively to occupancy and ADR, with the ability to hold ADR growth and occupancy growth as separate driver curves.</t>
        </is>
      </c>
    </row>
    <row r="73" ht="43.5" customHeight="1" s="18">
      <c r="A73" s="28" t="n">
        <v>72</v>
      </c>
      <c r="B73" s="28" t="inlineStr">
        <is>
          <t>Curves, indices &amp; price paths</t>
        </is>
      </c>
      <c r="C73" s="28" t="inlineStr">
        <is>
          <t>Non-Performing Loan &amp; Charged-Off Debt Portfolios</t>
        </is>
      </c>
      <c r="D73" s="28" t="inlineStr">
        <is>
          <t>Tier 3 — recombination of Tier 1 primitives</t>
        </is>
      </c>
      <c r="E73" s="28" t="inlineStr">
        <is>
          <t>Requires a cumulative-recovery-curve primitive: a parametric or tabular S-curve in months-since-acquisition, differentiated by segment, whose period increment drives cash flow.</t>
        </is>
      </c>
    </row>
    <row r="74" ht="43.5" customHeight="1" s="18">
      <c r="A74" s="24" t="n">
        <v>73</v>
      </c>
      <c r="B74" s="24" t="inlineStr">
        <is>
          <t>Curves, indices &amp; price paths</t>
        </is>
      </c>
      <c r="C74" s="24" t="inlineStr">
        <is>
          <t>Non-Performing Loan &amp; Charged-Off Debt Portfolios</t>
        </is>
      </c>
      <c r="D74" s="24" t="inlineStr">
        <is>
          <t>Tier 3 — recombination of Tier 1 primitives</t>
        </is>
      </c>
      <c r="E74" s="24" t="inlineStr">
        <is>
          <t>Requires segment-level modeling with per-segment curves and a mix that shifts over time as fast-resolving files exit.</t>
        </is>
      </c>
    </row>
    <row r="75" ht="43.5" customHeight="1" s="18">
      <c r="A75" s="28" t="n">
        <v>74</v>
      </c>
      <c r="B75" s="28" t="inlineStr">
        <is>
          <t>Curves, indices &amp; price paths</t>
        </is>
      </c>
      <c r="C75" s="28" t="inlineStr">
        <is>
          <t>Pension Risk Transfer &amp; Annuity Liability Blocks</t>
        </is>
      </c>
      <c r="D75" s="28" t="inlineStr">
        <is>
          <t>Tier 2 — longevity pair</t>
        </is>
      </c>
      <c r="E75" s="28" t="inlineStr">
        <is>
          <t>Requires full spot-curve discounting with key-rate bucketing, not a scalar discount rate.</t>
        </is>
      </c>
    </row>
    <row r="76" ht="43.5" customHeight="1" s="18">
      <c r="A76" s="24" t="n">
        <v>75</v>
      </c>
      <c r="B76" s="24" t="inlineStr">
        <is>
          <t>Curves, indices &amp; price paths</t>
        </is>
      </c>
      <c r="C76" s="24" t="inlineStr">
        <is>
          <t>Pension Risk Transfer &amp; Annuity Liability Blocks</t>
        </is>
      </c>
      <c r="D76" s="24" t="inlineStr">
        <is>
          <t>Tier 2 — longevity pair</t>
        </is>
      </c>
      <c r="E76" s="24" t="inlineStr">
        <is>
          <t>Requires inflation-indexed cash flows with caps and floors applied to a cumulative index level.</t>
        </is>
      </c>
    </row>
    <row r="77" ht="43.5" customHeight="1" s="18">
      <c r="A77" s="28" t="n">
        <v>76</v>
      </c>
      <c r="B77" s="28" t="inlineStr">
        <is>
          <t>Curves, indices &amp; price paths</t>
        </is>
      </c>
      <c r="C77" s="28" t="inlineStr">
        <is>
          <t>Securitization Tranche Waterfalls (CLO / ABS / CDO)</t>
        </is>
      </c>
      <c r="D77" s="28" t="inlineStr">
        <is>
          <t>Tier 1 — near term</t>
        </is>
      </c>
      <c r="E77" s="28" t="inlineStr">
        <is>
          <t>Requires a reinvestment mode where collected principal is recycled into a synthetic new asset with its own par, spread, and default curve.</t>
        </is>
      </c>
    </row>
    <row r="78" ht="43.5" customHeight="1" s="18">
      <c r="A78" s="24" t="n">
        <v>77</v>
      </c>
      <c r="B78" s="24" t="inlineStr">
        <is>
          <t>Curves, indices &amp; price paths</t>
        </is>
      </c>
      <c r="C78" s="24" t="inlineStr">
        <is>
          <t>Shipping / Maritime (Bulkers, Tankers, Containerships, LNG)</t>
        </is>
      </c>
      <c r="D78" s="24" t="inlineStr">
        <is>
          <t>Tier 3 — high new-primitive cost</t>
        </is>
      </c>
      <c r="E78" s="24" t="inlineStr">
        <is>
          <t>Requires a rate curve constructed by interpolation between an anchor spot rate and a long-run mean over a specified transition horizon, with an age-adjustment function applied on top.</t>
        </is>
      </c>
    </row>
    <row r="79" ht="43.5" customHeight="1" s="18">
      <c r="A79" s="28" t="n">
        <v>78</v>
      </c>
      <c r="B79" s="28" t="inlineStr">
        <is>
          <t>Curves, indices &amp; price paths</t>
        </is>
      </c>
      <c r="C79" s="28" t="inlineStr">
        <is>
          <t>Shipping / Maritime (Bulkers, Tankers, Containerships, LNG)</t>
        </is>
      </c>
      <c r="D79" s="28" t="inlineStr">
        <is>
          <t>Tier 3 — high new-primitive cost</t>
        </is>
      </c>
      <c r="E79" s="28" t="inlineStr">
        <is>
          <t>Requires a commodity-linked terminal value: residual = lightweight_tonnes * scrap_price_curve(t_end), so the exit is driven by a separate price curve rather than a multiple or cap rate.</t>
        </is>
      </c>
    </row>
    <row r="80" ht="43.5" customHeight="1" s="18">
      <c r="A80" s="24" t="n">
        <v>79</v>
      </c>
      <c r="B80" s="24" t="inlineStr">
        <is>
          <t>Curves, indices &amp; price paths</t>
        </is>
      </c>
      <c r="C80" s="24" t="inlineStr">
        <is>
          <t>Telecom Towers &amp; Cell-Site Ground Leases</t>
        </is>
      </c>
      <c r="D80" s="24" t="inlineStr">
        <is>
          <t>Tier 1 — near term</t>
        </is>
      </c>
      <c r="E80" s="24" t="inlineStr">
        <is>
          <t>Requires stacked independent contracts on a shared asset, each with its own commencement date, term, escalator basis and renewal option, aggregated to a site level and then to a portfolio level.</t>
        </is>
      </c>
    </row>
    <row r="81" ht="43.5" customHeight="1" s="18">
      <c r="A81" s="28" t="n">
        <v>80</v>
      </c>
      <c r="B81" s="28" t="inlineStr">
        <is>
          <t>Curves, indices &amp; price paths</t>
        </is>
      </c>
      <c r="C81" s="28" t="inlineStr">
        <is>
          <t>Telecom Towers &amp; Cell-Site Ground Leases</t>
        </is>
      </c>
      <c r="D81" s="28" t="inlineStr">
        <is>
          <t>Tier 1 — near term</t>
        </is>
      </c>
      <c r="E81" s="28" t="inlineStr">
        <is>
          <t>Requires modeling the ground lease as a contra-revenue stream with its own escalator and expiry, plus the ability to evaluate a ground-lease buyout as a capital event that removes the expense and extends the asset's life.</t>
        </is>
      </c>
    </row>
    <row r="82" ht="43.5" customHeight="1" s="18">
      <c r="A82" s="24" t="n">
        <v>81</v>
      </c>
      <c r="B82" s="24" t="inlineStr">
        <is>
          <t>Curves, indices &amp; price paths</t>
        </is>
      </c>
      <c r="C82" s="24" t="inlineStr">
        <is>
          <t>Transport Equipment Lease Pools (Marine Containers, Railcars, Chassis)</t>
        </is>
      </c>
      <c r="D82" s="24" t="inlineStr">
        <is>
          <t>Tier 2 — gated on cohort state</t>
        </is>
      </c>
      <c r="E82" s="24" t="inlineStr">
        <is>
          <t>Requires disposal proceeds as a function of a residual curve (% of original cost by age) times a commodity/market index, recognized as a cash inflow with a book gain/loss.</t>
        </is>
      </c>
    </row>
    <row r="83" ht="43.5" customHeight="1" s="18">
      <c r="A83" s="28" t="n">
        <v>82</v>
      </c>
      <c r="B83" s="28" t="inlineStr">
        <is>
          <t>Ordered waterfall / priority of payments</t>
        </is>
      </c>
      <c r="C83" s="28" t="inlineStr">
        <is>
          <t>Aircraft Leasing &amp; Aviation ABS</t>
        </is>
      </c>
      <c r="D83" s="28" t="inlineStr">
        <is>
          <t>Tier 2 — gated on cohort state</t>
        </is>
      </c>
      <c r="E83" s="28" t="inlineStr">
        <is>
          <t>Requires a sequential-pay waterfall across ABS tranches with a DSCR- or LTV-triggered cash sweep that redirects residual cash from equity to principal, and a rapid-amortization trigger that changes the payment priority permanently once breached.</t>
        </is>
      </c>
    </row>
    <row r="84" ht="43.5" customHeight="1" s="18">
      <c r="A84" s="24" t="n">
        <v>83</v>
      </c>
      <c r="B84" s="24" t="inlineStr">
        <is>
          <t>Ordered waterfall / priority of payments</t>
        </is>
      </c>
      <c r="C84" s="24" t="inlineStr">
        <is>
          <t>CMBS / Commercial Mortgage Loan Securitization</t>
        </is>
      </c>
      <c r="D84" s="24" t="inlineStr">
        <is>
          <t>Tier 2 — follows the waterfall engine</t>
        </is>
      </c>
      <c r="E84" s="24" t="inlineStr">
        <is>
          <t>Requires the shared ordered-waterfall engine plus interest-shortfall reallocation logic that writes shortfalls up from the bottom class.</t>
        </is>
      </c>
    </row>
    <row r="85" ht="43.5" customHeight="1" s="18">
      <c r="A85" s="28" t="n">
        <v>84</v>
      </c>
      <c r="B85" s="28" t="inlineStr">
        <is>
          <t>Ordered waterfall / priority of payments</t>
        </is>
      </c>
      <c r="C85" s="28" t="inlineStr">
        <is>
          <t>Equipment &amp; Transportation Lease Portfolios (incl. Aircraft/Container/Rail ABS)</t>
        </is>
      </c>
      <c r="D85" s="28" t="inlineStr">
        <is>
          <t>Tier 3 — recombination of Tier 1 primitives</t>
        </is>
      </c>
      <c r="E85" s="28" t="inlineStr">
        <is>
          <t>Requires portfolio-level aggregation with a shared waterfall and DSCR-triggered cash sweep for the ABS wrapper.</t>
        </is>
      </c>
    </row>
    <row r="86" ht="43.5" customHeight="1" s="18">
      <c r="A86" s="24" t="n">
        <v>85</v>
      </c>
      <c r="B86" s="24" t="inlineStr">
        <is>
          <t>Ordered waterfall / priority of payments</t>
        </is>
      </c>
      <c r="C86" s="24" t="inlineStr">
        <is>
          <t>Film &amp; TV Content Libraries ('Ultimates')</t>
        </is>
      </c>
      <c r="D86" s="24" t="inlineStr">
        <is>
          <t>Tier 3 — recombination of Tier 1 primitives</t>
        </is>
      </c>
      <c r="E86" s="24" t="inlineStr">
        <is>
          <t>Requires the ability to express a recoupment waterfall at the individual asset level (P&amp;A, distribution fee, negative cost, then participations) — the same ordered-waterfall primitive as ABS, applied per title.</t>
        </is>
      </c>
    </row>
    <row r="87" ht="43.5" customHeight="1" s="18">
      <c r="A87" s="28" t="n">
        <v>86</v>
      </c>
      <c r="B87" s="28" t="inlineStr">
        <is>
          <t>Ordered waterfall / priority of payments</t>
        </is>
      </c>
      <c r="C87" s="28" t="inlineStr">
        <is>
          <t>GP Stakes / Management Fee Earnings Streams</t>
        </is>
      </c>
      <c r="D87" s="28" t="inlineStr">
        <is>
          <t>Tier 3 — recombination of Tier 1 primitives</t>
        </is>
      </c>
      <c r="E87" s="28" t="inlineStr">
        <is>
          <t>Requires nesting/composition: fund-level waterfalls (with their own preferred-return accruals) rolled up to a firm-level carry line, then to a stakeholder's share.</t>
        </is>
      </c>
    </row>
    <row r="88" ht="43.5" customHeight="1" s="18">
      <c r="A88" s="24" t="n">
        <v>87</v>
      </c>
      <c r="B88" s="24" t="inlineStr">
        <is>
          <t>Ordered waterfall / priority of payments</t>
        </is>
      </c>
      <c r="C88" s="24" t="inlineStr">
        <is>
          <t>GP-Led Continuation Vehicles</t>
        </is>
      </c>
      <c r="D88" s="24" t="inlineStr">
        <is>
          <t>Tier 3 — recombination of Tier 1 primitives</t>
        </is>
      </c>
      <c r="E88" s="24" t="inlineStr">
        <is>
          <t>Requires multiple interest classes (new money, rolling LPs, GP rollover) with different economics feeding the same waterfall.</t>
        </is>
      </c>
    </row>
    <row r="89" ht="43.5" customHeight="1" s="18">
      <c r="A89" s="28" t="n">
        <v>88</v>
      </c>
      <c r="B89" s="28" t="inlineStr">
        <is>
          <t>Ordered waterfall / priority of payments</t>
        </is>
      </c>
      <c r="C89" s="28" t="inlineStr">
        <is>
          <t>GP-Led Continuation Vehicles</t>
        </is>
      </c>
      <c r="D89" s="28" t="inlineStr">
        <is>
          <t>Tier 3 — recombination of Tier 1 primitives</t>
        </is>
      </c>
      <c r="E89" s="28" t="inlineStr">
        <is>
          <t>Requires the fund-level waterfall primitives (unreturned capital, compounding preferred, catch-up) with a mid-life reset.</t>
        </is>
      </c>
    </row>
    <row r="90" ht="43.5" customHeight="1" s="18">
      <c r="A90" s="24" t="n">
        <v>89</v>
      </c>
      <c r="B90" s="24" t="inlineStr">
        <is>
          <t>Ordered waterfall / priority of payments</t>
        </is>
      </c>
      <c r="C90" s="24" t="inlineStr">
        <is>
          <t>Litigation Finance</t>
        </is>
      </c>
      <c r="D90" s="24" t="inlineStr">
        <is>
          <t>Tier 3 — recombination of Tier 1 primitives</t>
        </is>
      </c>
      <c r="E90" s="24" t="inlineStr">
        <is>
          <t>Requires milestone-conditioned drawdowns: subsequent tranches funded only if the case survives to the milestone.</t>
        </is>
      </c>
    </row>
    <row r="91" ht="43.5" customHeight="1" s="18">
      <c r="A91" s="28" t="n">
        <v>90</v>
      </c>
      <c r="B91" s="28" t="inlineStr">
        <is>
          <t>Ordered waterfall / priority of payments</t>
        </is>
      </c>
      <c r="C91" s="28" t="inlineStr">
        <is>
          <t>Litigation Finance</t>
        </is>
      </c>
      <c r="D91" s="28" t="inlineStr">
        <is>
          <t>Tier 3 — recombination of Tier 1 primitives</t>
        </is>
      </c>
      <c r="E91" s="28" t="inlineStr">
        <is>
          <t>Requires portfolio-level cross-collateralization: aggregate proceeds across correlated cases before applying a single waterfall, with a correlation structure across case outcomes.</t>
        </is>
      </c>
    </row>
    <row r="92" ht="43.5" customHeight="1" s="18">
      <c r="A92" s="24" t="n">
        <v>91</v>
      </c>
      <c r="B92" s="24" t="inlineStr">
        <is>
          <t>Ordered waterfall / priority of payments</t>
        </is>
      </c>
      <c r="C92" s="24" t="inlineStr">
        <is>
          <t>Music Catalog Royalties</t>
        </is>
      </c>
      <c r="D92" s="24" t="inlineStr">
        <is>
          <t>Tier 3 — recombination of Tier 1 primitives</t>
        </is>
      </c>
      <c r="E92" s="24" t="inlineStr">
        <is>
          <t>Requires per-period state to track an unrecouped advance balance that absorbs royalties until zero, after which pass-throughs begin.</t>
        </is>
      </c>
    </row>
    <row r="93" ht="43.5" customHeight="1" s="18">
      <c r="A93" s="28" t="n">
        <v>92</v>
      </c>
      <c r="B93" s="28" t="inlineStr">
        <is>
          <t>Ordered waterfall / priority of payments</t>
        </is>
      </c>
      <c r="C93" s="28" t="inlineStr">
        <is>
          <t>Non-Performing Loan &amp; Charged-Off Debt Portfolios</t>
        </is>
      </c>
      <c r="D93" s="28" t="inlineStr">
        <is>
          <t>Tier 3 — recombination of Tier 1 primitives</t>
        </is>
      </c>
      <c r="E93" s="28" t="inlineStr">
        <is>
          <t>Requires an acquisition-financing waterfall where collections sweep to senior debt before equity, with a leverage-target release condition.</t>
        </is>
      </c>
    </row>
    <row r="94" ht="43.5" customHeight="1" s="18">
      <c r="A94" s="24" t="n">
        <v>93</v>
      </c>
      <c r="B94" s="24" t="inlineStr">
        <is>
          <t>Ordered waterfall / priority of payments</t>
        </is>
      </c>
      <c r="C94" s="24" t="inlineStr">
        <is>
          <t>Private Fund Cash Flows: Capital Calls, Distributions &amp; Carry Waterfalls</t>
        </is>
      </c>
      <c r="D94" s="24" t="inlineStr">
        <is>
          <t>Tier 1 — near term</t>
        </is>
      </c>
      <c r="E94" s="24" t="inlineStr">
        <is>
          <t>Requires a solve-to-target waterfall tier: pay into a tier until a stated cumulative condition (capital returned, IRR achieved, GP share of cumulative profit reached) is satisfied within the period, then spill the remainder to the next tier.</t>
        </is>
      </c>
    </row>
    <row r="95" ht="43.5" customHeight="1" s="18">
      <c r="A95" s="28" t="n">
        <v>94</v>
      </c>
      <c r="B95" s="28" t="inlineStr">
        <is>
          <t>Ordered waterfall / priority of payments</t>
        </is>
      </c>
      <c r="C95" s="28" t="inlineStr">
        <is>
          <t>Private Fund Cash Flows: Capital Calls, Distributions &amp; Carry Waterfalls</t>
        </is>
      </c>
      <c r="D95" s="28" t="inlineStr">
        <is>
          <t>Tier 1 — near term</t>
        </is>
      </c>
      <c r="E95" s="28" t="inlineStr">
        <is>
          <t>Requires two-level composition: a portfolio of underlying deal models whose exits feed the fund-level waterfall.</t>
        </is>
      </c>
    </row>
    <row r="96" ht="43.5" customHeight="1" s="18">
      <c r="A96" s="24" t="n">
        <v>95</v>
      </c>
      <c r="B96" s="24" t="inlineStr">
        <is>
          <t>Ordered waterfall / priority of payments</t>
        </is>
      </c>
      <c r="C96" s="24" t="inlineStr">
        <is>
          <t>Residential Mortgage Pools &amp; RMBS (agency and non-agency)</t>
        </is>
      </c>
      <c r="D96" s="24" t="inlineStr">
        <is>
          <t>Tier 2 — follows the waterfall engine</t>
        </is>
      </c>
      <c r="E96" s="24" t="inlineStr">
        <is>
          <t>Requires trigger-gated allocation switching between 100%-senior and pro-rata, with the trigger evaluated on delinquency and cumulative-loss state.</t>
        </is>
      </c>
    </row>
    <row r="97" ht="43.5" customHeight="1" s="18">
      <c r="A97" s="28" t="n">
        <v>96</v>
      </c>
      <c r="B97" s="28" t="inlineStr">
        <is>
          <t>Ordered waterfall / priority of payments</t>
        </is>
      </c>
      <c r="C97" s="28" t="inlineStr">
        <is>
          <t>Securitization Tranche Waterfalls (CLO / ABS / CDO)</t>
        </is>
      </c>
      <c r="D97" s="28" t="inlineStr">
        <is>
          <t>Tier 1 — near term</t>
        </is>
      </c>
      <c r="E97" s="28" t="inlineStr">
        <is>
          <t>Requires per-period persistent state: outstanding balance per tranche, deferred/PIK interest balances on junior notes, and cumulative default/recovery accumulators.</t>
        </is>
      </c>
    </row>
    <row r="98" ht="43.5" customHeight="1" s="18">
      <c r="A98" s="24" t="n">
        <v>97</v>
      </c>
      <c r="B98" s="24" t="inlineStr">
        <is>
          <t>Ordered waterfall / priority of payments</t>
        </is>
      </c>
      <c r="C98" s="24" t="inlineStr">
        <is>
          <t>Securitization Tranche Waterfalls (CLO / ABS / CDO)</t>
        </is>
      </c>
      <c r="D98" s="24" t="inlineStr">
        <is>
          <t>Tier 1 — near term</t>
        </is>
      </c>
      <c r="E98" s="24" t="inlineStr">
        <is>
          <t>Requires a first-class ordered waterfall construct: an ordered list of payment steps where each step consumes from a running 'available funds' accumulator and the remainder passes down.</t>
        </is>
      </c>
    </row>
    <row r="99" ht="43.5" customHeight="1" s="18">
      <c r="A99" s="28" t="n">
        <v>98</v>
      </c>
      <c r="B99" s="28" t="inlineStr">
        <is>
          <t>Ordered waterfall / priority of payments</t>
        </is>
      </c>
      <c r="C99" s="28" t="inlineStr">
        <is>
          <t>Securitization Tranche Waterfalls (CLO / ABS / CDO)</t>
        </is>
      </c>
      <c r="D99" s="28" t="inlineStr">
        <is>
          <t>Tier 1 — near term</t>
        </is>
      </c>
      <c r="E99" s="28" t="inlineStr">
        <is>
          <t>Requires conditional branching in the waterfall on a test evaluated from the current period's state (if OC_ratio &lt; trigger then divert available interest to senior principal until ratio &gt;= trigger) — i.e. a solve-to-target within a period.</t>
        </is>
      </c>
    </row>
    <row r="100" ht="43.5" customHeight="1" s="18">
      <c r="A100" s="24" t="n">
        <v>99</v>
      </c>
      <c r="B100" s="24" t="inlineStr">
        <is>
          <t>Ordered waterfall / priority of payments</t>
        </is>
      </c>
      <c r="C100" s="24" t="inlineStr">
        <is>
          <t>Securitization Tranche Waterfalls (CLO / ABS / CDO)</t>
        </is>
      </c>
      <c r="D100" s="24" t="inlineStr">
        <is>
          <t>Tier 1 — near term</t>
        </is>
      </c>
      <c r="E100" s="24" t="inlineStr">
        <is>
          <t>Requires two coupled waterfalls (interest and principal) with cross-links (interest diverted into principal redemption).</t>
        </is>
      </c>
    </row>
    <row r="101" ht="43.5" customHeight="1" s="18">
      <c r="A101" s="28" t="n">
        <v>100</v>
      </c>
      <c r="B101" s="28" t="inlineStr">
        <is>
          <t>Ordered waterfall / priority of payments</t>
        </is>
      </c>
      <c r="C101" s="28" t="inlineStr">
        <is>
          <t>Transport Equipment Lease Pools (Marine Containers, Railcars, Chassis)</t>
        </is>
      </c>
      <c r="D101" s="28" t="inlineStr">
        <is>
          <t>Tier 2 — gated on cohort state</t>
        </is>
      </c>
      <c r="E101" s="28" t="inlineStr">
        <is>
          <t>Requires sequential-pay ABS notes with both a minimum and a targeted amortization schedule and a borrowing-base test that steps up amortization when the base falls short — requiring a carried debt balance with conditional principal acceleration.</t>
        </is>
      </c>
    </row>
    <row r="102" ht="43.5" customHeight="1" s="18">
      <c r="A102" s="24" t="n">
        <v>101</v>
      </c>
      <c r="B102" s="24" t="inlineStr">
        <is>
          <t>Ordered waterfall / priority of payments</t>
        </is>
      </c>
      <c r="C102" s="24" t="inlineStr">
        <is>
          <t>Venture Debt &amp; Recurring-Revenue (ARR) Lending</t>
        </is>
      </c>
      <c r="D102" s="24" t="inlineStr">
        <is>
          <t>Tier 3 — recombination of Tier 1 primitives</t>
        </is>
      </c>
      <c r="E102" s="24" t="inlineStr">
        <is>
          <t>Requires milestone-gated tranche availability.</t>
        </is>
      </c>
    </row>
    <row r="103" ht="43.5" customHeight="1" s="18">
      <c r="A103" s="28" t="n">
        <v>102</v>
      </c>
      <c r="B103" s="28" t="inlineStr">
        <is>
          <t>Ordered waterfall / priority of payments</t>
        </is>
      </c>
      <c r="C103" s="28" t="inlineStr">
        <is>
          <t>Water Rights &amp; Water Supply Concessions (incl. Desalination)</t>
        </is>
      </c>
      <c r="D103" s="28" t="inlineStr">
        <is>
          <t>Split: concession half Tier 1, rights half Tier 3</t>
        </is>
      </c>
      <c r="E103" s="28" t="inlineStr">
        <is>
          <t>Requires priority-ordered allocation: given a total available supply and an ordered list of rights with volumes, allocate to seniors first until supply is exhausted — a sequential-priority waterfall applied to a physical quantity rather than to cash.</t>
        </is>
      </c>
    </row>
    <row r="104" ht="43.5" customHeight="1" s="18">
      <c r="A104" s="24" t="n">
        <v>103</v>
      </c>
      <c r="B104" s="24" t="inlineStr">
        <is>
          <t>Other / uncategorised</t>
        </is>
      </c>
      <c r="C104" s="24" t="inlineStr">
        <is>
          <t>Aircraft Leasing &amp; Aviation ABS</t>
        </is>
      </c>
      <c r="D104" s="24" t="inlineStr">
        <is>
          <t>Tier 2 — gated on cohort state</t>
        </is>
      </c>
      <c r="E104" s="24" t="inlineStr">
        <is>
          <t>Requires bidirectional terminal settlements (positive or negative depending on a condition comparison at lease end).</t>
        </is>
      </c>
    </row>
    <row r="105" ht="43.5" customHeight="1" s="18">
      <c r="A105" s="28" t="n">
        <v>104</v>
      </c>
      <c r="B105" s="28" t="inlineStr">
        <is>
          <t>Other / uncategorised</t>
        </is>
      </c>
      <c r="C105" s="28" t="inlineStr">
        <is>
          <t>Aircraft Leasing &amp; Aviation ABS</t>
        </is>
      </c>
      <c r="D105" s="28" t="inlineStr">
        <is>
          <t>Tier 2 — gated on cohort state</t>
        </is>
      </c>
      <c r="E105" s="28" t="inlineStr">
        <is>
          <t>Requires a lease-transition state: aircraft cycles between on-lease, off-lease/AOG, and transition, with different cash flows in each.</t>
        </is>
      </c>
    </row>
    <row r="106" ht="43.5" customHeight="1" s="18">
      <c r="A106" s="24" t="n">
        <v>105</v>
      </c>
      <c r="B106" s="24" t="inlineStr">
        <is>
          <t>Other / uncategorised</t>
        </is>
      </c>
      <c r="C106" s="24" t="inlineStr">
        <is>
          <t>Data Centers</t>
        </is>
      </c>
      <c r="D106" s="24" t="inlineStr">
        <is>
          <t>Tier 1 — near term</t>
        </is>
      </c>
      <c r="E106" s="24" t="inlineStr">
        <is>
          <t>Requires a capacity dimension distinct from area: contracts denominated in kW with a contracted-vs-utilized split, so revenue = contracted_kW * rate and cost = utilized_kW * PUE * power_price.</t>
        </is>
      </c>
    </row>
    <row r="107" ht="43.5" customHeight="1" s="18">
      <c r="A107" s="28" t="n">
        <v>106</v>
      </c>
      <c r="B107" s="28" t="inlineStr">
        <is>
          <t>Other / uncategorised</t>
        </is>
      </c>
      <c r="C107" s="28" t="inlineStr">
        <is>
          <t>District Energy &amp; Waste-to-Energy</t>
        </is>
      </c>
      <c r="D107" s="28" t="inlineStr">
        <is>
          <t>Tier 1 — near term</t>
        </is>
      </c>
      <c r="E107" s="28" t="inlineStr">
        <is>
          <t>Requires a diversity factor applied between the sum of contracted peaks and the plant's required installed capacity, so capacity revenue and capex are decoupled.</t>
        </is>
      </c>
    </row>
    <row r="108" ht="43.5" customHeight="1" s="18">
      <c r="A108" s="24" t="n">
        <v>107</v>
      </c>
      <c r="B108" s="24" t="inlineStr">
        <is>
          <t>Other / uncategorised</t>
        </is>
      </c>
      <c r="C108" s="24" t="inlineStr">
        <is>
          <t>Equipment &amp; Transportation Lease Portfolios (incl. Aircraft/Container/Rail ABS)</t>
        </is>
      </c>
      <c r="D108" s="24" t="inlineStr">
        <is>
          <t>Tier 3 — recombination of Tier 1 primitives</t>
        </is>
      </c>
      <c r="E108" s="24" t="inlineStr">
        <is>
          <t>Requires downtime modeling between leases (the CRE rollover primitive generalized to hard assets).</t>
        </is>
      </c>
    </row>
    <row r="109" ht="43.5" customHeight="1" s="18">
      <c r="A109" s="28" t="n">
        <v>108</v>
      </c>
      <c r="B109" s="28" t="inlineStr">
        <is>
          <t>Other / uncategorised</t>
        </is>
      </c>
      <c r="C109" s="28" t="inlineStr">
        <is>
          <t>Film &amp; TV Content Libraries ('Ultimates')</t>
        </is>
      </c>
      <c r="D109" s="28" t="inlineStr">
        <is>
          <t>Tier 3 — recombination of Tier 1 primitives</t>
        </is>
      </c>
      <c r="E109" s="28" t="inlineStr">
        <is>
          <t>Requires event-timed fixed-fee licenses (an SVOD renewal every N years at a negotiated rate) as a distinct cash flow type.</t>
        </is>
      </c>
    </row>
    <row r="110" ht="43.5" customHeight="1" s="18">
      <c r="A110" s="24" t="n">
        <v>109</v>
      </c>
      <c r="B110" s="24" t="inlineStr">
        <is>
          <t>Other / uncategorised</t>
        </is>
      </c>
      <c r="C110" s="24" t="inlineStr">
        <is>
          <t>GP-Led Continuation Vehicles</t>
        </is>
      </c>
      <c r="D110" s="24" t="inlineStr">
        <is>
          <t>Tier 3 — recombination of Tier 1 primitives</t>
        </is>
      </c>
      <c r="E110" s="24" t="inlineStr">
        <is>
          <t>Requires deferred/contingent consideration as a scheduled future payment obligation with optional interest accrual, affecting both parties' IRR.</t>
        </is>
      </c>
    </row>
    <row r="111" ht="43.5" customHeight="1" s="18">
      <c r="A111" s="28" t="n">
        <v>110</v>
      </c>
      <c r="B111" s="28" t="inlineStr">
        <is>
          <t>Other / uncategorised</t>
        </is>
      </c>
      <c r="C111" s="28" t="inlineStr">
        <is>
          <t>Litigation Finance</t>
        </is>
      </c>
      <c r="D111" s="28" t="inlineStr">
        <is>
          <t>Tier 3 — recombination of Tier 1 primitives</t>
        </is>
      </c>
      <c r="E111" s="28" t="inlineStr">
        <is>
          <t>Requires per-case state for cumulative capital deployed, since the return owed is a function of deployment amount and deployment-to-resolution elapsed time.</t>
        </is>
      </c>
    </row>
    <row r="112" ht="43.5" customHeight="1" s="18">
      <c r="A112" s="24" t="n">
        <v>111</v>
      </c>
      <c r="B112" s="24" t="inlineStr">
        <is>
          <t>Other / uncategorised</t>
        </is>
      </c>
      <c r="C112" s="24" t="inlineStr">
        <is>
          <t>Mortgage Servicing Rights (MSR)</t>
        </is>
      </c>
      <c r="D112" s="24" t="inlineStr">
        <is>
          <t>Tier 1 — near term</t>
        </is>
      </c>
      <c r="E112" s="24" t="inlineStr">
        <is>
          <t>Requires a rate-driven prepayment function so the asset's negative duration emerges from the model rather than being asserted.</t>
        </is>
      </c>
    </row>
    <row r="113" ht="43.5" customHeight="1" s="18">
      <c r="A113" s="28" t="n">
        <v>112</v>
      </c>
      <c r="B113" s="28" t="inlineStr">
        <is>
          <t>Other / uncategorised</t>
        </is>
      </c>
      <c r="C113" s="28" t="inlineStr">
        <is>
          <t>Non-Performing Loan &amp; Charged-Off Debt Portfolios</t>
        </is>
      </c>
      <c r="D113" s="28" t="inlineStr">
        <is>
          <t>Tier 3 — recombination of Tier 1 primitives</t>
        </is>
      </c>
      <c r="E113" s="28" t="inlineStr">
        <is>
          <t>Requires a state transition allowing a file to move from 'non-performing' to 're-performing' and then follow an amortizing schedule.</t>
        </is>
      </c>
    </row>
    <row r="114" ht="43.5" customHeight="1" s="18">
      <c r="A114" s="24" t="n">
        <v>113</v>
      </c>
      <c r="B114" s="24" t="inlineStr">
        <is>
          <t>Other / uncategorised</t>
        </is>
      </c>
      <c r="C114" s="24" t="inlineStr">
        <is>
          <t>Pharmaceutical &amp; Biotech Royalty Monetization</t>
        </is>
      </c>
      <c r="D114" s="24" t="inlineStr">
        <is>
          <t>Tier 3 — recombination of Tier 1 primitives</t>
        </is>
      </c>
      <c r="E114" s="24" t="inlineStr">
        <is>
          <t>Requires a hard-stop rule on cumulative cash received (terminate the stream once cumulative receipts reach X times invested capital) — cumulative-state-dependent termination.</t>
        </is>
      </c>
    </row>
    <row r="115" ht="43.5" customHeight="1" s="18">
      <c r="A115" s="28" t="n">
        <v>114</v>
      </c>
      <c r="B115" s="28" t="inlineStr">
        <is>
          <t>Other / uncategorised</t>
        </is>
      </c>
      <c r="C115" s="28" t="inlineStr">
        <is>
          <t>Securitization Tranche Waterfalls (CLO / ABS / CDO)</t>
        </is>
      </c>
      <c r="D115" s="28" t="inlineStr">
        <is>
          <t>Tier 1 — near term</t>
        </is>
      </c>
      <c r="E115" s="28" t="inlineStr">
        <is>
          <t>Requires fee tiers gated on a cumulative IRR hurdle computed from the deal's own historical distributions.</t>
        </is>
      </c>
    </row>
    <row r="116" ht="43.5" customHeight="1" s="18">
      <c r="A116" s="24" t="n">
        <v>115</v>
      </c>
      <c r="B116" s="24" t="inlineStr">
        <is>
          <t>Other / uncategorised</t>
        </is>
      </c>
      <c r="C116" s="24" t="inlineStr">
        <is>
          <t>Self-Storage</t>
        </is>
      </c>
      <c r="D116" s="24" t="inlineStr">
        <is>
          <t>Tier 2 — gated on cohort state</t>
        </is>
      </c>
      <c r="E116" s="24" t="inlineStr">
        <is>
          <t>Requires attach-rate driven ancillary revenue lines keyed to occupied units rather than to rent.</t>
        </is>
      </c>
    </row>
    <row r="117" ht="43.5" customHeight="1" s="18">
      <c r="A117" s="28" t="n">
        <v>116</v>
      </c>
      <c r="B117" s="28" t="inlineStr">
        <is>
          <t>Other / uncategorised</t>
        </is>
      </c>
      <c r="C117" s="28" t="inlineStr">
        <is>
          <t>Seniors Housing &amp; Care (IL / AL / Memory Care, RIDEA structures)</t>
        </is>
      </c>
      <c r="D117" s="28" t="inlineStr">
        <is>
          <t>Tier 2 — gated on cohort state</t>
        </is>
      </c>
      <c r="E117" s="28" t="inlineStr">
        <is>
          <t>Requires the ability to place a taxable operating entity (TRS) inside the structure, so operating income is taxed while rental income is not.</t>
        </is>
      </c>
    </row>
    <row r="118" ht="43.5" customHeight="1" s="18">
      <c r="A118" s="24" t="n">
        <v>117</v>
      </c>
      <c r="B118" s="24" t="inlineStr">
        <is>
          <t>Other / uncategorised</t>
        </is>
      </c>
      <c r="C118" s="24" t="inlineStr">
        <is>
          <t>Single-Family Rental / Build-to-Rent</t>
        </is>
      </c>
      <c r="D118" s="24" t="inlineStr">
        <is>
          <t>Tier 2 — gated on cohort state</t>
        </is>
      </c>
      <c r="E118" s="24" t="inlineStr">
        <is>
          <t>Requires turnover as an explicit driver generating three coupled effects in the same period — vacancy loss, make-ready capex, and a rent mark-to-market — rather than a single 'vacancy %' haircut.</t>
        </is>
      </c>
    </row>
    <row r="119" ht="43.5" customHeight="1" s="18">
      <c r="A119" s="28" t="n">
        <v>118</v>
      </c>
      <c r="B119" s="28" t="inlineStr">
        <is>
          <t>Other / uncategorised</t>
        </is>
      </c>
      <c r="C119" s="28" t="inlineStr">
        <is>
          <t>Trade Receivables, Factoring &amp; Revolving Borrowing-Base Facilities</t>
        </is>
      </c>
      <c r="D119" s="28" t="inlineStr">
        <is>
          <t>Tier 3 — recombination of Tier 1 primitives</t>
        </is>
      </c>
      <c r="E119" s="28" t="inlineStr">
        <is>
          <t>Requires an aging-bucket construct (current, 1-30, 31-60, 61-90, 90+) with roll-rate transitions between buckets each period.</t>
        </is>
      </c>
    </row>
    <row r="120" ht="43.5" customHeight="1" s="18">
      <c r="A120" s="24" t="n">
        <v>119</v>
      </c>
      <c r="B120" s="24" t="inlineStr">
        <is>
          <t>Other / uncategorised</t>
        </is>
      </c>
      <c r="C120" s="24" t="inlineStr">
        <is>
          <t>Transport Equipment Lease Pools (Marine Containers, Railcars, Chassis)</t>
        </is>
      </c>
      <c r="D120" s="24" t="inlineStr">
        <is>
          <t>Tier 2 — gated on cohort state</t>
        </is>
      </c>
      <c r="E120" s="24" t="inlineStr">
        <is>
          <t>Requires utilization as a driver that simultaneously scales revenue up and direct operating expense down, i.e. a shared driver with opposite-signed elasticities on two lines.</t>
        </is>
      </c>
    </row>
    <row r="121" ht="43.5" customHeight="1" s="18">
      <c r="A121" s="28" t="n">
        <v>120</v>
      </c>
      <c r="B121" s="28" t="inlineStr">
        <is>
          <t>Other / uncategorised</t>
        </is>
      </c>
      <c r="C121" s="28" t="inlineStr">
        <is>
          <t>Water Rights &amp; Water Supply Concessions (incl. Desalination)</t>
        </is>
      </c>
      <c r="D121" s="28" t="inlineStr">
        <is>
          <t>Split: concession half Tier 1, rights half Tier 3</t>
        </is>
      </c>
      <c r="E121" s="28" t="inlineStr">
        <is>
          <t>Requires a per-acre-foot valuation crosswalk so a rights portfolio can be marked both on a comparable-sales basis and on a DCF-of-lease-income basis in the same model.</t>
        </is>
      </c>
    </row>
    <row r="122" ht="43.5" customHeight="1" s="18">
      <c r="A122" s="24" t="n">
        <v>121</v>
      </c>
      <c r="B122" s="24" t="inlineStr">
        <is>
          <t>Per-period persistent state</t>
        </is>
      </c>
      <c r="C122" s="24" t="inlineStr">
        <is>
          <t>Aircraft Leasing &amp; Aviation ABS</t>
        </is>
      </c>
      <c r="D122" s="24" t="inlineStr">
        <is>
          <t>Tier 2 — gated on cohort state</t>
        </is>
      </c>
      <c r="E122" s="24" t="inlineStr">
        <is>
          <t>Requires per-period persistent state for multiple independent maintenance reserve balances per aircraft, each accruing at a rate per flight hour or cycle and each drawn down at an event date determined by cumulative hours/cycles crossing a threshold — i.e. a counter that triggers a cash event when it crosses a limit, then resets.</t>
        </is>
      </c>
    </row>
    <row r="123" ht="43.5" customHeight="1" s="18">
      <c r="A123" s="28" t="n">
        <v>122</v>
      </c>
      <c r="B123" s="28" t="inlineStr">
        <is>
          <t>Per-period persistent state</t>
        </is>
      </c>
      <c r="C123" s="28" t="inlineStr">
        <is>
          <t>Aircraft Leasing &amp; Aviation ABS</t>
        </is>
      </c>
      <c r="D123" s="28" t="inlineStr">
        <is>
          <t>Tier 2 — gated on cohort state</t>
        </is>
      </c>
      <c r="E123" s="28" t="inlineStr">
        <is>
          <t>Requires a component-level condition state (hours/cycles since last event per component) carried across periods and used both to schedule events and to compute the terminal maintenance-adjusted value.</t>
        </is>
      </c>
    </row>
    <row r="124" ht="43.5" customHeight="1" s="18">
      <c r="A124" s="24" t="n">
        <v>123</v>
      </c>
      <c r="B124" s="24" t="inlineStr">
        <is>
          <t>Per-period persistent state</t>
        </is>
      </c>
      <c r="C124" s="24" t="inlineStr">
        <is>
          <t>Airports &amp; Port/Terminal Concessions</t>
        </is>
      </c>
      <c r="D124" s="24" t="inlineStr">
        <is>
          <t>Tier 3 — high new-primitive cost</t>
        </is>
      </c>
      <c r="E124" s="24" t="inlineStr">
        <is>
          <t>Requires a regulatory asset base carried as per-period state, rolled forward by capex less regulatory depreciation, with allowed revenue derived from it and a periodic reset that trues up cumulative over/under-recovery — a genuine carryforward balance.</t>
        </is>
      </c>
    </row>
    <row r="125" ht="43.5" customHeight="1" s="18">
      <c r="A125" s="28" t="n">
        <v>124</v>
      </c>
      <c r="B125" s="28" t="inlineStr">
        <is>
          <t>Per-period persistent state</t>
        </is>
      </c>
      <c r="C125" s="28" t="inlineStr">
        <is>
          <t>CMBS / Commercial Mortgage Loan Securitization</t>
        </is>
      </c>
      <c r="D125" s="28" t="inlineStr">
        <is>
          <t>Tier 2 — follows the waterfall engine</t>
        </is>
      </c>
      <c r="E125" s="28" t="inlineStr">
        <is>
          <t>Requires a balloon/refinance test at loan maturity: compare refinance proceeds at an exit debt yield to the balloon balance and route the shortfall to either extension or liquidation.</t>
        </is>
      </c>
    </row>
    <row r="126" ht="43.5" customHeight="1" s="18">
      <c r="A126" s="24" t="n">
        <v>125</v>
      </c>
      <c r="B126" s="24" t="inlineStr">
        <is>
          <t>Per-period persistent state</t>
        </is>
      </c>
      <c r="C126" s="24" t="inlineStr">
        <is>
          <t>Carbon Credits &amp; Nature-Based / Engineered Removal Projects</t>
        </is>
      </c>
      <c r="D126" s="24" t="inlineStr">
        <is>
          <t>Tier 3 — high new-primitive cost</t>
        </is>
      </c>
      <c r="E126" s="24" t="inlineStr">
        <is>
          <t>Requires per-period persistent state for a credit inventory: sequestered tonnes accumulate, are converted to issued credits at verification dates, net of a buffer contribution, then held in inventory until sold — so unsold credits carry forward as an asset.</t>
        </is>
      </c>
    </row>
    <row r="127" ht="43.5" customHeight="1" s="18">
      <c r="A127" s="28" t="n">
        <v>126</v>
      </c>
      <c r="B127" s="28" t="inlineStr">
        <is>
          <t>Per-period persistent state</t>
        </is>
      </c>
      <c r="C127" s="28" t="inlineStr">
        <is>
          <t>Carbon Credits &amp; Nature-Based / Engineered Removal Projects</t>
        </is>
      </c>
      <c r="D127" s="28" t="inlineStr">
        <is>
          <t>Tier 3 — high new-primitive cost</t>
        </is>
      </c>
      <c r="E127" s="28" t="inlineStr">
        <is>
          <t>Requires a buffer-pool balance that receives contributions, is drawn on reversal events, and must be topped up if it falls below a required level.</t>
        </is>
      </c>
    </row>
    <row r="128" ht="43.5" customHeight="1" s="18">
      <c r="A128" s="24" t="n">
        <v>127</v>
      </c>
      <c r="B128" s="24" t="inlineStr">
        <is>
          <t>Per-period persistent state</t>
        </is>
      </c>
      <c r="C128" s="24" t="inlineStr">
        <is>
          <t>Data Centers</t>
        </is>
      </c>
      <c r="D128" s="24" t="inlineStr">
        <is>
          <t>Tier 1 — near term</t>
        </is>
      </c>
      <c r="E128" s="24" t="inlineStr">
        <is>
          <t>Requires per-phase construction draw schedules with capitalized interest accruing on a construction loan balance until conversion to permanent debt — i.e. an interest-accrual balance carried across periods.</t>
        </is>
      </c>
    </row>
    <row r="129" ht="43.5" customHeight="1" s="18">
      <c r="A129" s="28" t="n">
        <v>128</v>
      </c>
      <c r="B129" s="28" t="inlineStr">
        <is>
          <t>Per-period persistent state</t>
        </is>
      </c>
      <c r="C129" s="28" t="inlineStr">
        <is>
          <t>EV Charging Networks</t>
        </is>
      </c>
      <c r="D129" s="28" t="inlineStr">
        <is>
          <t>Tier 3 — high new-primitive cost</t>
        </is>
      </c>
      <c r="E129" s="28" t="inlineStr">
        <is>
          <t>Requires co-located storage dispatch against the same meter (charge/discharge with a state-of-charge balance) to model demand-charge shaving.</t>
        </is>
      </c>
    </row>
    <row r="130" ht="43.5" customHeight="1" s="18">
      <c r="A130" s="24" t="n">
        <v>129</v>
      </c>
      <c r="B130" s="24" t="inlineStr">
        <is>
          <t>Per-period persistent state</t>
        </is>
      </c>
      <c r="C130" s="24" t="inlineStr">
        <is>
          <t>GP Stakes / Management Fee Earnings Streams</t>
        </is>
      </c>
      <c r="D130" s="24" t="inlineStr">
        <is>
          <t>Tier 3 — recombination of Tier 1 primitives</t>
        </is>
      </c>
      <c r="E130" s="24" t="inlineStr">
        <is>
          <t>Requires per-period state for the accrued-but-unrealized carry balance and its reversal risk.</t>
        </is>
      </c>
    </row>
    <row r="131" ht="43.5" customHeight="1" s="18">
      <c r="A131" s="28" t="n">
        <v>130</v>
      </c>
      <c r="B131" s="28" t="inlineStr">
        <is>
          <t>Per-period persistent state</t>
        </is>
      </c>
      <c r="C131" s="28" t="inlineStr">
        <is>
          <t>GP-Led Continuation Vehicles</t>
        </is>
      </c>
      <c r="D131" s="28" t="inlineStr">
        <is>
          <t>Tier 3 — recombination of Tier 1 primitives</t>
        </is>
      </c>
      <c r="E131" s="28" t="inlineStr">
        <is>
          <t>Requires NAV-facility state: a borrowing balance with an LTV test against modeled portfolio NAV and a sweep on breach.</t>
        </is>
      </c>
    </row>
    <row r="132" ht="43.5" customHeight="1" s="18">
      <c r="A132" s="24" t="n">
        <v>131</v>
      </c>
      <c r="B132" s="24" t="inlineStr">
        <is>
          <t>Per-period persistent state</t>
        </is>
      </c>
      <c r="C132" s="24" t="inlineStr">
        <is>
          <t>Hospitality / Hotels</t>
        </is>
      </c>
      <c r="D132" s="24" t="inlineStr">
        <is>
          <t>Tier 1 — near term</t>
        </is>
      </c>
      <c r="E132" s="24" t="inlineStr">
        <is>
          <t>Requires per-period persistent state to carry an FF&amp;E reserve balance: accrue as a % of revenue, draw against it for renovation capex, and let the balance go to zero (not negative) with the shortfall funded by the owner.</t>
        </is>
      </c>
    </row>
    <row r="133" ht="43.5" customHeight="1" s="18">
      <c r="A133" s="28" t="n">
        <v>132</v>
      </c>
      <c r="B133" s="28" t="inlineStr">
        <is>
          <t>Per-period persistent state</t>
        </is>
      </c>
      <c r="C133" s="28" t="inlineStr">
        <is>
          <t>Hospitality / Hotels</t>
        </is>
      </c>
      <c r="D133" s="28" t="inlineStr">
        <is>
          <t>Tier 1 — near term</t>
        </is>
      </c>
      <c r="E133" s="28" t="inlineStr">
        <is>
          <t>Requires debt with performance-triggered cash traps (DSCR/debt-yield tests that divert cash from distributions into a reserve) — i.e. conditional routing of cash between accounts based on a computed ratio.</t>
        </is>
      </c>
    </row>
    <row r="134" ht="43.5" customHeight="1" s="18">
      <c r="A134" s="24" t="n">
        <v>133</v>
      </c>
      <c r="B134" s="24" t="inlineStr">
        <is>
          <t>Per-period persistent state</t>
        </is>
      </c>
      <c r="C134" s="24" t="inlineStr">
        <is>
          <t>Insurance-Linked Securities: Cat Bonds, Sidecars, Collateralized Re</t>
        </is>
      </c>
      <c r="D134" s="24" t="inlineStr">
        <is>
          <t>Tier 1 — near term</t>
        </is>
      </c>
      <c r="E134" s="24" t="inlineStr">
        <is>
          <t>Requires per-period/within-period state for an aggregate loss accumulator and a franchise-deductible threshold.</t>
        </is>
      </c>
    </row>
    <row r="135" ht="43.5" customHeight="1" s="18">
      <c r="A135" s="28" t="n">
        <v>134</v>
      </c>
      <c r="B135" s="28" t="inlineStr">
        <is>
          <t>Per-period persistent state</t>
        </is>
      </c>
      <c r="C135" s="28" t="inlineStr">
        <is>
          <t>Insurance-Linked Securities: Cat Bonds, Sidecars, Collateralized Re</t>
        </is>
      </c>
      <c r="D135" s="28" t="inlineStr">
        <is>
          <t>Tier 1 — near term</t>
        </is>
      </c>
      <c r="E135" s="28" t="inlineStr">
        <is>
          <t>Requires collateral-account state that can be trapped (blocked from release) for a modeled loss-development period after an event.</t>
        </is>
      </c>
    </row>
    <row r="136" ht="43.5" customHeight="1" s="18">
      <c r="A136" s="24" t="n">
        <v>135</v>
      </c>
      <c r="B136" s="24" t="inlineStr">
        <is>
          <t>Per-period persistent state</t>
        </is>
      </c>
      <c r="C136" s="24" t="inlineStr">
        <is>
          <t>Life Settlements / Longevity-Contingent Assets</t>
        </is>
      </c>
      <c r="D136" s="24" t="inlineStr">
        <is>
          <t>Tier 2 — longevity pair</t>
        </is>
      </c>
      <c r="E136" s="24" t="inlineStr">
        <is>
          <t>Requires Monte Carlo over Bernoulli death events per life per period, aggregated to portfolio cash flow, to produce premium-reserve and liquidity distributions.</t>
        </is>
      </c>
    </row>
    <row r="137" ht="43.5" customHeight="1" s="18">
      <c r="A137" s="28" t="n">
        <v>136</v>
      </c>
      <c r="B137" s="28" t="inlineStr">
        <is>
          <t>Per-period persistent state</t>
        </is>
      </c>
      <c r="C137" s="28" t="inlineStr">
        <is>
          <t>Mining: Life-of-Mine Assets and Mineral Royalties / Streams</t>
        </is>
      </c>
      <c r="D137" s="28" t="inlineStr">
        <is>
          <t>Tier 3 — high new-primitive cost</t>
        </is>
      </c>
      <c r="E137" s="28" t="inlineStr">
        <is>
          <t>Requires a depleting reserve balance as per-period state, with production drawn from it and the model horizon determined by exhaustion rather than fixed at model start.</t>
        </is>
      </c>
    </row>
    <row r="138" ht="43.5" customHeight="1" s="18">
      <c r="A138" s="24" t="n">
        <v>137</v>
      </c>
      <c r="B138" s="24" t="inlineStr">
        <is>
          <t>Per-period persistent state</t>
        </is>
      </c>
      <c r="C138" s="24" t="inlineStr">
        <is>
          <t>Mining: Life-of-Mine Assets and Mineral Royalties / Streams</t>
        </is>
      </c>
      <c r="D138" s="24" t="inlineStr">
        <is>
          <t>Tier 3 — high new-primitive cost</t>
        </is>
      </c>
      <c r="E138" s="24" t="inlineStr">
        <is>
          <t>Requires cost-recovery carryforward for NPIs and for tax regimes with accelerated deduction pools: an unrecovered-capital balance that must be extinguished before any payment flows, carried and decremented period by period.</t>
        </is>
      </c>
    </row>
    <row r="139" ht="43.5" customHeight="1" s="18">
      <c r="A139" s="28" t="n">
        <v>138</v>
      </c>
      <c r="B139" s="28" t="inlineStr">
        <is>
          <t>Per-period persistent state</t>
        </is>
      </c>
      <c r="C139" s="28" t="inlineStr">
        <is>
          <t>Mining: Life-of-Mine Assets and Mineral Royalties / Streams</t>
        </is>
      </c>
      <c r="D139" s="28" t="inlineStr">
        <is>
          <t>Tier 3 — high new-primitive cost</t>
        </is>
      </c>
      <c r="E139" s="28" t="inlineStr">
        <is>
          <t>Requires an amortizing upfront deposit balance for streams, drawn down per ounce delivered, with the residual affecting the effective transfer price.</t>
        </is>
      </c>
    </row>
    <row r="140" ht="43.5" customHeight="1" s="18">
      <c r="A140" s="24" t="n">
        <v>139</v>
      </c>
      <c r="B140" s="24" t="inlineStr">
        <is>
          <t>Per-period persistent state</t>
        </is>
      </c>
      <c r="C140" s="24" t="inlineStr">
        <is>
          <t>Mining: Life-of-Mine Assets and Mineral Royalties / Streams</t>
        </is>
      </c>
      <c r="D140" s="24" t="inlineStr">
        <is>
          <t>Tier 3 — high new-primitive cost</t>
        </is>
      </c>
      <c r="E140" s="24" t="inlineStr">
        <is>
          <t>Requires a reclamation reserve balance that accretes at a discount rate over the mine life and is drawn at closure.</t>
        </is>
      </c>
    </row>
    <row r="141" ht="43.5" customHeight="1" s="18">
      <c r="A141" s="28" t="n">
        <v>140</v>
      </c>
      <c r="B141" s="28" t="inlineStr">
        <is>
          <t>Per-period persistent state</t>
        </is>
      </c>
      <c r="C141" s="28" t="inlineStr">
        <is>
          <t>Mining: Life-of-Mine Assets and Mineral Royalties / Streams</t>
        </is>
      </c>
      <c r="D141" s="28" t="inlineStr">
        <is>
          <t>Tier 3 — high new-primitive cost</t>
        </is>
      </c>
      <c r="E141" s="28" t="inlineStr">
        <is>
          <t>Requires production = min(mill_capacity, reserve_remaining) * grade(t) * recovery(t), with grade and recovery as declining schedules rather than constants.</t>
        </is>
      </c>
    </row>
    <row r="142" ht="43.5" customHeight="1" s="18">
      <c r="A142" s="24" t="n">
        <v>141</v>
      </c>
      <c r="B142" s="24" t="inlineStr">
        <is>
          <t>Per-period persistent state</t>
        </is>
      </c>
      <c r="C142" s="24" t="inlineStr">
        <is>
          <t>Mortgage Servicing Rights (MSR)</t>
        </is>
      </c>
      <c r="D142" s="24" t="inlineStr">
        <is>
          <t>Tier 1 — near term</t>
        </is>
      </c>
      <c r="E142" s="24" t="inlineStr">
        <is>
          <t>Requires per-period state for an advance balance: advances accrue when a loan is delinquent, carry a financing cost, and are recovered on cure or liquidation.</t>
        </is>
      </c>
    </row>
    <row r="143" ht="43.5" customHeight="1" s="18">
      <c r="A143" s="28" t="n">
        <v>142</v>
      </c>
      <c r="B143" s="28" t="inlineStr">
        <is>
          <t>Per-period persistent state</t>
        </is>
      </c>
      <c r="C143" s="28" t="inlineStr">
        <is>
          <t>Mortgage Servicing Rights (MSR)</t>
        </is>
      </c>
      <c r="D143" s="28" t="inlineStr">
        <is>
          <t>Tier 1 — near term</t>
        </is>
      </c>
      <c r="E143" s="28" t="inlineStr">
        <is>
          <t>Requires a float-income line computed on average escrow balance times a short-rate curve, with escrow balance itself a function of the tax/insurance payment calendar.</t>
        </is>
      </c>
    </row>
    <row r="144" ht="43.5" customHeight="1" s="18">
      <c r="A144" s="24" t="n">
        <v>143</v>
      </c>
      <c r="B144" s="24" t="inlineStr">
        <is>
          <t>Per-period persistent state</t>
        </is>
      </c>
      <c r="C144" s="24" t="inlineStr">
        <is>
          <t>Non-Performing Loan &amp; Charged-Off Debt Portfolios</t>
        </is>
      </c>
      <c r="D144" s="24" t="inlineStr">
        <is>
          <t>Tier 3 — recombination of Tier 1 primitives</t>
        </is>
      </c>
      <c r="E144" s="24" t="inlineStr">
        <is>
          <t>Requires cost structures that are simultaneously percentage-of-collections and per-file fixed, requiring a live file count alongside balance.</t>
        </is>
      </c>
    </row>
    <row r="145" ht="43.5" customHeight="1" s="18">
      <c r="A145" s="28" t="n">
        <v>144</v>
      </c>
      <c r="B145" s="28" t="inlineStr">
        <is>
          <t>Per-period persistent state</t>
        </is>
      </c>
      <c r="C145" s="28" t="inlineStr">
        <is>
          <t>Pharmaceutical &amp; Biotech Royalty Monetization</t>
        </is>
      </c>
      <c r="D145" s="28" t="inlineStr">
        <is>
          <t>Tier 3 — recombination of Tier 1 primitives</t>
        </is>
      </c>
      <c r="E145" s="28" t="inlineStr">
        <is>
          <t>Requires a within-year cumulative accumulator so tiered royalty rates can be applied to marginal sales bands and reset annually.</t>
        </is>
      </c>
    </row>
    <row r="146" ht="43.5" customHeight="1" s="18">
      <c r="A146" s="24" t="n">
        <v>145</v>
      </c>
      <c r="B146" s="24" t="inlineStr">
        <is>
          <t>Per-period persistent state</t>
        </is>
      </c>
      <c r="C146" s="24" t="inlineStr">
        <is>
          <t>Private Fund Cash Flows: Capital Calls, Distributions &amp; Carry Waterfalls</t>
        </is>
      </c>
      <c r="D146" s="24" t="inlineStr">
        <is>
          <t>Tier 1 — near term</t>
        </is>
      </c>
      <c r="E146" s="24" t="inlineStr">
        <is>
          <t>Requires per-period state for unreturned capital, an accruing preferred-return balance that compounds on the unreturned balance, and cumulative distributions to each party.</t>
        </is>
      </c>
    </row>
    <row r="147" ht="43.5" customHeight="1" s="18">
      <c r="A147" s="28" t="n">
        <v>146</v>
      </c>
      <c r="B147" s="28" t="inlineStr">
        <is>
          <t>Per-period persistent state</t>
        </is>
      </c>
      <c r="C147" s="28" t="inlineStr">
        <is>
          <t>Private Fund Cash Flows: Capital Calls, Distributions &amp; Carry Waterfalls</t>
        </is>
      </c>
      <c r="D147" s="28" t="inlineStr">
        <is>
          <t>Tier 1 — near term</t>
        </is>
      </c>
      <c r="E147" s="28" t="inlineStr">
        <is>
          <t>Requires a clawback accumulator with an end-of-life settlement.</t>
        </is>
      </c>
    </row>
    <row r="148" ht="43.5" customHeight="1" s="18">
      <c r="A148" s="24" t="n">
        <v>147</v>
      </c>
      <c r="B148" s="24" t="inlineStr">
        <is>
          <t>Per-period persistent state</t>
        </is>
      </c>
      <c r="C148" s="24" t="inlineStr">
        <is>
          <t>Residential Mortgage Pools &amp; RMBS (agency and non-agency)</t>
        </is>
      </c>
      <c r="D148" s="24" t="inlineStr">
        <is>
          <t>Tier 2 — follows the waterfall engine</t>
        </is>
      </c>
      <c r="E148" s="24" t="inlineStr">
        <is>
          <t>Requires per-period state to carry a pool factor, cumulative prepayment history (for burnout), and cumulative realized loss for trigger evaluation.</t>
        </is>
      </c>
    </row>
    <row r="149" ht="43.5" customHeight="1" s="18">
      <c r="A149" s="28" t="n">
        <v>148</v>
      </c>
      <c r="B149" s="28" t="inlineStr">
        <is>
          <t>Per-period persistent state</t>
        </is>
      </c>
      <c r="C149" s="28" t="inlineStr">
        <is>
          <t>Seniors Housing &amp; Care (IL / AL / Memory Care, RIDEA structures)</t>
        </is>
      </c>
      <c r="D149" s="28" t="inlineStr">
        <is>
          <t>Tier 2 — gated on cohort state</t>
        </is>
      </c>
      <c r="E149" s="28" t="inlineStr">
        <is>
          <t>Requires an operating-deficit / cash-burn period during fill-up where negative NOI is funded from an equity reserve that must be carried as a balance.</t>
        </is>
      </c>
    </row>
    <row r="150" ht="43.5" customHeight="1" s="18">
      <c r="A150" s="24" t="n">
        <v>149</v>
      </c>
      <c r="B150" s="24" t="inlineStr">
        <is>
          <t>Per-period persistent state</t>
        </is>
      </c>
      <c r="C150" s="24" t="inlineStr">
        <is>
          <t>Shipping / Maritime (Bulkers, Tankers, Containerships, LNG)</t>
        </is>
      </c>
      <c r="D150" s="24" t="inlineStr">
        <is>
          <t>Tier 3 — high new-primitive cost</t>
        </is>
      </c>
      <c r="E150" s="24" t="inlineStr">
        <is>
          <t>Requires revenue-days accounting: revenue = daily_rate * (calendar_days - offhire_days - drydock_days) * utilization.</t>
        </is>
      </c>
    </row>
    <row r="151" ht="43.5" customHeight="1" s="18">
      <c r="A151" s="28" t="n">
        <v>150</v>
      </c>
      <c r="B151" s="28" t="inlineStr">
        <is>
          <t>Per-period persistent state</t>
        </is>
      </c>
      <c r="C151" s="28" t="inlineStr">
        <is>
          <t>Single-Family Rental / Build-to-Rent</t>
        </is>
      </c>
      <c r="D151" s="28" t="inlineStr">
        <is>
          <t>Tier 2 — gated on cohort state</t>
        </is>
      </c>
      <c r="E151" s="28" t="inlineStr">
        <is>
          <t>Requires collateral release mechanics: selling an individual home out of a financed pool must reduce the debt balance by a release price (typically 105-115% of allocated loan amount), which requires a debt balance carried as state and amended by non-scheduled paydowns.</t>
        </is>
      </c>
    </row>
    <row r="152" ht="43.5" customHeight="1" s="18">
      <c r="A152" s="24" t="n">
        <v>151</v>
      </c>
      <c r="B152" s="24" t="inlineStr">
        <is>
          <t>Per-period persistent state</t>
        </is>
      </c>
      <c r="C152" s="24" t="inlineStr">
        <is>
          <t>Tax Equity Partnership Flips &amp; Transferable Tax Credits</t>
        </is>
      </c>
      <c r="D152" s="24" t="inlineStr">
        <is>
          <t>Tier 1 — near term</t>
        </is>
      </c>
      <c r="E152" s="24" t="inlineStr">
        <is>
          <t>Requires per-partner persistent state: capital account balance, outside basis, and a suspended-loss carryforward that accumulates and releases.</t>
        </is>
      </c>
    </row>
    <row r="153" ht="43.5" customHeight="1" s="18">
      <c r="A153" s="28" t="n">
        <v>152</v>
      </c>
      <c r="B153" s="28" t="inlineStr">
        <is>
          <t>Per-period persistent state</t>
        </is>
      </c>
      <c r="C153" s="28" t="inlineStr">
        <is>
          <t>Tax Equity Partnership Flips &amp; Transferable Tax Credits</t>
        </is>
      </c>
      <c r="D153" s="28" t="inlineStr">
        <is>
          <t>Tier 1 — near term</t>
        </is>
      </c>
      <c r="E153" s="28" t="inlineStr">
        <is>
          <t>Requires stop-loss logic: reallocate a loss to a different partner once a state variable (capital account) crosses zero, subject to a DRO cap.</t>
        </is>
      </c>
    </row>
    <row r="154" ht="43.5" customHeight="1" s="18">
      <c r="A154" s="24" t="n">
        <v>153</v>
      </c>
      <c r="B154" s="24" t="inlineStr">
        <is>
          <t>Per-period persistent state</t>
        </is>
      </c>
      <c r="C154" s="24" t="inlineStr">
        <is>
          <t>Toll Roads &amp; Availability-Payment P3 Concessions</t>
        </is>
      </c>
      <c r="D154" s="24" t="inlineStr">
        <is>
          <t>Tier 1 — near term</t>
        </is>
      </c>
      <c r="E154" s="24" t="inlineStr">
        <is>
          <t>Requires per-period persistent state for a handback reserve balance that accrues on a schedule and is drawn by terminal renewal works, with a shortfall/top-up test in the final periods.</t>
        </is>
      </c>
    </row>
    <row r="155" ht="43.5" customHeight="1" s="18">
      <c r="A155" s="28" t="n">
        <v>154</v>
      </c>
      <c r="B155" s="28" t="inlineStr">
        <is>
          <t>Per-period persistent state</t>
        </is>
      </c>
      <c r="C155" s="28" t="inlineStr">
        <is>
          <t>Toll Roads &amp; Availability-Payment P3 Concessions</t>
        </is>
      </c>
      <c r="D155" s="28" t="inlineStr">
        <is>
          <t>Tier 1 — near term</t>
        </is>
      </c>
      <c r="E155" s="28" t="inlineStr">
        <is>
          <t>Requires a deduction accumulator: unavailability and noncompliance points summed within a payment period, capped, and applied as a reduction to the maximum availability payment — plus a rolling window of points that triggers escalating remedies once a cumulative threshold is breached.</t>
        </is>
      </c>
    </row>
    <row r="156" ht="43.5" customHeight="1" s="18">
      <c r="A156" s="24" t="n">
        <v>155</v>
      </c>
      <c r="B156" s="24" t="inlineStr">
        <is>
          <t>Per-period persistent state</t>
        </is>
      </c>
      <c r="C156" s="24" t="inlineStr">
        <is>
          <t>Trade Receivables, Factoring &amp; Revolving Borrowing-Base Facilities</t>
        </is>
      </c>
      <c r="D156" s="24" t="inlineStr">
        <is>
          <t>Tier 3 — recombination of Tier 1 primitives</t>
        </is>
      </c>
      <c r="E156" s="24" t="inlineStr">
        <is>
          <t>Requires per-period revolving-balance state: outstanding = prior outstanding - collections + new draws, with draws capped by a computed availability.</t>
        </is>
      </c>
    </row>
    <row r="157" ht="43.5" customHeight="1" s="18">
      <c r="A157" s="28" t="n">
        <v>156</v>
      </c>
      <c r="B157" s="28" t="inlineStr">
        <is>
          <t>Per-period persistent state</t>
        </is>
      </c>
      <c r="C157" s="28" t="inlineStr">
        <is>
          <t>Whole Business Securitization / Franchise Royalty ABS</t>
        </is>
      </c>
      <c r="D157" s="28" t="inlineStr">
        <is>
          <t>Tier 3 — recombination of Tier 1 primitives</t>
        </is>
      </c>
      <c r="E157" s="28" t="inlineStr">
        <is>
          <t>Requires per-period persistent state for a cash-trap reserve balance and a liquidity reserve balance, with deposit rules and release conditions.</t>
        </is>
      </c>
    </row>
    <row r="158" ht="43.5" customHeight="1" s="18">
      <c r="A158" s="24" t="n">
        <v>157</v>
      </c>
      <c r="B158" s="24" t="inlineStr">
        <is>
          <t>Piecewise, threshold &amp; greater-of expressions</t>
        </is>
      </c>
      <c r="C158" s="24" t="inlineStr">
        <is>
          <t>Airports &amp; Port/Terminal Concessions</t>
        </is>
      </c>
      <c r="D158" s="24" t="inlineStr">
        <is>
          <t>Tier 3 — high new-primitive cost</t>
        </is>
      </c>
      <c r="E158" s="24" t="inlineStr">
        <is>
          <t>Requires greater-of contract mechanics: concession_revenue = max(minimum_annual_guarantee, percentage * concessionaire_sales), evaluated per contract per period, with the MAG itself escalating.</t>
        </is>
      </c>
    </row>
    <row r="159" ht="43.5" customHeight="1" s="18">
      <c r="A159" s="28" t="n">
        <v>158</v>
      </c>
      <c r="B159" s="28" t="inlineStr">
        <is>
          <t>Piecewise, threshold &amp; greater-of expressions</t>
        </is>
      </c>
      <c r="C159" s="28" t="inlineStr">
        <is>
          <t>Data Centers</t>
        </is>
      </c>
      <c r="D159" s="28" t="inlineStr">
        <is>
          <t>Tier 1 — near term</t>
        </is>
      </c>
      <c r="E159" s="28" t="inlineStr">
        <is>
          <t>Requires milestone-gated revenue commencement: a phase's cash flows begin at max(construction_complete, energization_date), where energization is a separate dated driver that can slip and shift everything downstream.</t>
        </is>
      </c>
    </row>
    <row r="160" ht="43.5" customHeight="1" s="18">
      <c r="A160" s="24" t="n">
        <v>159</v>
      </c>
      <c r="B160" s="24" t="inlineStr">
        <is>
          <t>Piecewise, threshold &amp; greater-of expressions</t>
        </is>
      </c>
      <c r="C160" s="24" t="inlineStr">
        <is>
          <t>EV Charging Networks</t>
        </is>
      </c>
      <c r="D160" s="24" t="inlineStr">
        <is>
          <t>Tier 3 — high new-primitive cost</t>
        </is>
      </c>
      <c r="E160" s="24" t="inlineStr">
        <is>
          <t>Requires within-period peak tracking: the demand charge depends on the maximum instantaneous draw within a month, which requires either sub-period (hourly) resolution or an explicit peak-coincidence factor carried as a modeled quantity, then a max() applied across it.</t>
        </is>
      </c>
    </row>
    <row r="161" ht="43.5" customHeight="1" s="18">
      <c r="A161" s="28" t="n">
        <v>160</v>
      </c>
      <c r="B161" s="28" t="inlineStr">
        <is>
          <t>Piecewise, threshold &amp; greater-of expressions</t>
        </is>
      </c>
      <c r="C161" s="28" t="inlineStr">
        <is>
          <t>Fiber Networks (FTTH / Open-Access / Enterprise Dark Fiber)</t>
        </is>
      </c>
      <c r="D161" s="28" t="inlineStr">
        <is>
          <t>Tier 2 — gated on cohort state</t>
        </is>
      </c>
      <c r="E161" s="28" t="inlineStr">
        <is>
          <t>Requires an S-curve penetration function (logistic or piecewise ramp) parameterized by terminal take rate, with the ability to reset the terminal take rate at a dated competitive-entry event.</t>
        </is>
      </c>
    </row>
    <row r="162" ht="43.5" customHeight="1" s="18">
      <c r="A162" s="24" t="n">
        <v>161</v>
      </c>
      <c r="B162" s="24" t="inlineStr">
        <is>
          <t>Piecewise, threshold &amp; greater-of expressions</t>
        </is>
      </c>
      <c r="C162" s="24" t="inlineStr">
        <is>
          <t>GP-Led Continuation Vehicles</t>
        </is>
      </c>
      <c r="D162" s="24" t="inlineStr">
        <is>
          <t>Tier 3 — recombination of Tier 1 primitives</t>
        </is>
      </c>
      <c r="E162" s="24" t="inlineStr">
        <is>
          <t>Requires a carry ratchet primitive: a piecewise carry rate that is a step function of realized cumulative MOIC, applied to the marginal profit band above each threshold.</t>
        </is>
      </c>
    </row>
    <row r="163" ht="43.5" customHeight="1" s="18">
      <c r="A163" s="28" t="n">
        <v>162</v>
      </c>
      <c r="B163" s="28" t="inlineStr">
        <is>
          <t>Piecewise, threshold &amp; greater-of expressions</t>
        </is>
      </c>
      <c r="C163" s="28" t="inlineStr">
        <is>
          <t>Hospitality / Hotels</t>
        </is>
      </c>
      <c r="D163" s="28" t="inlineStr">
        <is>
          <t>Tier 1 — near term</t>
        </is>
      </c>
      <c r="E163" s="28" t="inlineStr">
        <is>
          <t>Requires piecewise/threshold expressions for incentive management fees: fee = pct * max(0, GOP - owner_priority), where owner_priority is itself a function of invested capital.</t>
        </is>
      </c>
    </row>
    <row r="164" ht="43.5" customHeight="1" s="18">
      <c r="A164" s="24" t="n">
        <v>163</v>
      </c>
      <c r="B164" s="24" t="inlineStr">
        <is>
          <t>Piecewise, threshold &amp; greater-of expressions</t>
        </is>
      </c>
      <c r="C164" s="24" t="inlineStr">
        <is>
          <t>Insurance-Linked Securities: Cat Bonds, Sidecars, Collateralized Re</t>
        </is>
      </c>
      <c r="D164" s="24" t="inlineStr">
        <is>
          <t>Tier 1 — near term</t>
        </is>
      </c>
      <c r="E164" s="24" t="inlineStr">
        <is>
          <t>Requires a piecewise-linear layer payoff primitive (attachment, exhaustion, participation %) applied per event and per contract.</t>
        </is>
      </c>
    </row>
    <row r="165" ht="43.5" customHeight="1" s="18">
      <c r="A165" s="28" t="n">
        <v>164</v>
      </c>
      <c r="B165" s="28" t="inlineStr">
        <is>
          <t>Piecewise, threshold &amp; greater-of expressions</t>
        </is>
      </c>
      <c r="C165" s="28" t="inlineStr">
        <is>
          <t>Litigation Finance</t>
        </is>
      </c>
      <c r="D165" s="28" t="inlineStr">
        <is>
          <t>Tier 3 — recombination of Tier 1 primitives</t>
        </is>
      </c>
      <c r="E165" s="28" t="inlineStr">
        <is>
          <t>Requires a max()/greater-of return construct combining a time-tiered MOIC schedule and a percentage-of-proceeds schedule.</t>
        </is>
      </c>
    </row>
    <row r="166" ht="43.5" customHeight="1" s="18">
      <c r="A166" s="24" t="n">
        <v>165</v>
      </c>
      <c r="B166" s="24" t="inlineStr">
        <is>
          <t>Piecewise, threshold &amp; greater-of expressions</t>
        </is>
      </c>
      <c r="C166" s="24" t="inlineStr">
        <is>
          <t>Parking (Garages, Surface Lots, and Municipal Meter Concessions)</t>
        </is>
      </c>
      <c r="D166" s="24" t="inlineStr">
        <is>
          <t>Tier 3 — high new-primitive cost</t>
        </is>
      </c>
      <c r="E166" s="24" t="inlineStr">
        <is>
          <t>Requires a dated rate schedule with a step phase followed by an index-linked phase, and a demand elasticity linking rate to volume so revenue = rate * f(rate) rather than rate * fixed_volume.</t>
        </is>
      </c>
    </row>
    <row r="167" ht="43.5" customHeight="1" s="18">
      <c r="A167" s="28" t="n">
        <v>166</v>
      </c>
      <c r="B167" s="28" t="inlineStr">
        <is>
          <t>Piecewise, threshold &amp; greater-of expressions</t>
        </is>
      </c>
      <c r="C167" s="28" t="inlineStr">
        <is>
          <t>Parking (Garages, Surface Lots, and Municipal Meter Concessions)</t>
        </is>
      </c>
      <c r="D167" s="28" t="inlineStr">
        <is>
          <t>Tier 3 — high new-primitive cost</t>
        </is>
      </c>
      <c r="E167" s="28" t="inlineStr">
        <is>
          <t>Requires separate transient and contract revenue streams with independent seasonality, elasticity and growth drivers.</t>
        </is>
      </c>
    </row>
    <row r="168" ht="43.5" customHeight="1" s="18">
      <c r="A168" s="24" t="n">
        <v>167</v>
      </c>
      <c r="B168" s="24" t="inlineStr">
        <is>
          <t>Piecewise, threshold &amp; greater-of expressions</t>
        </is>
      </c>
      <c r="C168" s="24" t="inlineStr">
        <is>
          <t>Residential Mortgage Pools &amp; RMBS (agency and non-agency)</t>
        </is>
      </c>
      <c r="D168" s="24" t="inlineStr">
        <is>
          <t>Tier 2 — follows the waterfall engine</t>
        </is>
      </c>
      <c r="E168" s="24" t="inlineStr">
        <is>
          <t>Requires a PAC schedule primitive: a precomputed principal schedule with min/max collar logic and overflow routing to a support class.</t>
        </is>
      </c>
    </row>
    <row r="169" ht="43.5" customHeight="1" s="18">
      <c r="A169" s="28" t="n">
        <v>168</v>
      </c>
      <c r="B169" s="28" t="inlineStr">
        <is>
          <t>Piecewise, threshold &amp; greater-of expressions</t>
        </is>
      </c>
      <c r="C169" s="28" t="inlineStr">
        <is>
          <t>Seniors Housing &amp; Care (IL / AL / Memory Care, RIDEA structures)</t>
        </is>
      </c>
      <c r="D169" s="28" t="inlineStr">
        <is>
          <t>Tier 2 — gated on cohort state</t>
        </is>
      </c>
      <c r="E169" s="28" t="inlineStr">
        <is>
          <t>Requires staffing cost derived from a driver chain: resident_days x hours_per_resident_day(acuity) x wage_rate(inflating on a separate wage curve), with an overflow tier priced at an agency premium above a capacity threshold.</t>
        </is>
      </c>
    </row>
    <row r="170" ht="43.5" customHeight="1" s="18">
      <c r="A170" s="24" t="n">
        <v>169</v>
      </c>
      <c r="B170" s="24" t="inlineStr">
        <is>
          <t>Piecewise, threshold &amp; greater-of expressions</t>
        </is>
      </c>
      <c r="C170" s="24" t="inlineStr">
        <is>
          <t>Toll Roads &amp; Availability-Payment P3 Concessions</t>
        </is>
      </c>
      <c r="D170" s="24" t="inlineStr">
        <is>
          <t>Tier 1 — near term</t>
        </is>
      </c>
      <c r="E170" s="24" t="inlineStr">
        <is>
          <t>Requires a revenue-band mechanism: if revenue &lt; floor, receive a subsidy; if revenue &gt; ceiling, share the excess with the grantor — piecewise on a cumulative or annual basis.</t>
        </is>
      </c>
    </row>
    <row r="171" ht="43.5" customHeight="1" s="18">
      <c r="A171" s="28" t="n">
        <v>170</v>
      </c>
      <c r="B171" s="28" t="inlineStr">
        <is>
          <t>Piecewise, threshold &amp; greater-of expressions</t>
        </is>
      </c>
      <c r="C171" s="28" t="inlineStr">
        <is>
          <t>Toll Roads &amp; Availability-Payment P3 Concessions</t>
        </is>
      </c>
      <c r="D171" s="28" t="inlineStr">
        <is>
          <t>Tier 1 — near term</t>
        </is>
      </c>
      <c r="E171" s="28" t="inlineStr">
        <is>
          <t>Requires toll revenue = traffic(t) * rate(t) where traffic responds to rate through an elasticity, i.e. a simultaneous dependency between a price driver and a volume driver.</t>
        </is>
      </c>
    </row>
    <row r="172" ht="43.5" customHeight="1" s="18">
      <c r="A172" s="24" t="n">
        <v>171</v>
      </c>
      <c r="B172" s="24" t="inlineStr">
        <is>
          <t>Piecewise, threshold &amp; greater-of expressions</t>
        </is>
      </c>
      <c r="C172" s="24" t="inlineStr">
        <is>
          <t>Water Rights &amp; Water Supply Concessions (incl. Desalination)</t>
        </is>
      </c>
      <c r="D172" s="24" t="inlineStr">
        <is>
          <t>Split: concession half Tier 1, rights half Tier 3</t>
        </is>
      </c>
      <c r="E172" s="24" t="inlineStr">
        <is>
          <t>Requires two-part tariff contracts: revenue = fixed_capacity_charge(indexed) + variable_rate * max(delivered_volume, minimum_take), with the variable rate itself indexed to an energy price curve.</t>
        </is>
      </c>
    </row>
    <row r="173" ht="43.5" customHeight="1" s="18">
      <c r="A173" s="28" t="n">
        <v>172</v>
      </c>
      <c r="B173" s="28" t="inlineStr">
        <is>
          <t>Solve-to-target / endogenous circularity</t>
        </is>
      </c>
      <c r="C173" s="28" t="inlineStr">
        <is>
          <t>Fiber Networks (FTTH / Open-Access / Enterprise Dark Fiber)</t>
        </is>
      </c>
      <c r="D173" s="28" t="inlineStr">
        <is>
          <t>Tier 2 — gated on cohort state</t>
        </is>
      </c>
      <c r="E173" s="28" t="inlineStr">
        <is>
          <t>Requires success-based capex: capex[t] = homes_passed_built[t] * cost_per_hp + gross_adds[t] * cost_per_connect, so capital spend is endogenous to the sales forecast.</t>
        </is>
      </c>
    </row>
    <row r="174" ht="43.5" customHeight="1" s="18">
      <c r="A174" s="24" t="n">
        <v>173</v>
      </c>
      <c r="B174" s="24" t="inlineStr">
        <is>
          <t>Solve-to-target / endogenous circularity</t>
        </is>
      </c>
      <c r="C174" s="24" t="inlineStr">
        <is>
          <t>Life Settlements / Longevity-Contingent Assets</t>
        </is>
      </c>
      <c r="D174" s="24" t="inlineStr">
        <is>
          <t>Tier 2 — longevity pair</t>
        </is>
      </c>
      <c r="E174" s="24" t="inlineStr">
        <is>
          <t>Requires a solve-for-minimum-premium capability (a per-period root-find against a lapse constraint).</t>
        </is>
      </c>
    </row>
    <row r="175" ht="43.5" customHeight="1" s="18">
      <c r="A175" s="28" t="n">
        <v>174</v>
      </c>
      <c r="B175" s="28" t="inlineStr">
        <is>
          <t>Solve-to-target / endogenous circularity</t>
        </is>
      </c>
      <c r="C175" s="28" t="inlineStr">
        <is>
          <t>Private Fund Cash Flows: Capital Calls, Distributions &amp; Carry Waterfalls</t>
        </is>
      </c>
      <c r="D175" s="28" t="inlineStr">
        <is>
          <t>Tier 1 — near term</t>
        </is>
      </c>
      <c r="E175" s="28" t="inlineStr">
        <is>
          <t>Requires cumulative-IRR computation over the model's own generated cash flow vector as a live state variable, not a post-hoc report.</t>
        </is>
      </c>
    </row>
    <row r="176" ht="43.5" customHeight="1" s="18">
      <c r="A176" s="24" t="n">
        <v>175</v>
      </c>
      <c r="B176" s="24" t="inlineStr">
        <is>
          <t>Solve-to-target / endogenous circularity</t>
        </is>
      </c>
      <c r="C176" s="24" t="inlineStr">
        <is>
          <t>Residential Mortgage Pools &amp; RMBS (agency and non-agency)</t>
        </is>
      </c>
      <c r="D176" s="24" t="inlineStr">
        <is>
          <t>Tier 2 — follows the waterfall engine</t>
        </is>
      </c>
      <c r="E176" s="24" t="inlineStr">
        <is>
          <t>Requires an OAS solver: root-find the constant spread that reprices the security to a given market price across the path set.</t>
        </is>
      </c>
    </row>
    <row r="177" ht="43.5" customHeight="1" s="18">
      <c r="A177" s="28" t="n">
        <v>176</v>
      </c>
      <c r="B177" s="28" t="inlineStr">
        <is>
          <t>Solve-to-target / endogenous circularity</t>
        </is>
      </c>
      <c r="C177" s="28" t="inlineStr">
        <is>
          <t>Tax Equity Partnership Flips &amp; Transferable Tax Credits</t>
        </is>
      </c>
      <c r="D177" s="28" t="inlineStr">
        <is>
          <t>Tier 1 — near term</t>
        </is>
      </c>
      <c r="E177" s="28" t="inlineStr">
        <is>
          <t>Requires an endogenous regime switch determined by a cumulative IRR computed from the model's own prior-period distributions — i.e. a fixed-point/iterative solve across periods.</t>
        </is>
      </c>
    </row>
    <row r="178" ht="43.5" customHeight="1" s="18">
      <c r="A178" s="24" t="n">
        <v>177</v>
      </c>
      <c r="B178" s="24" t="inlineStr">
        <is>
          <t>Solve-to-target / endogenous circularity</t>
        </is>
      </c>
      <c r="C178" s="24" t="inlineStr">
        <is>
          <t>Tax Equity Partnership Flips &amp; Transferable Tax Credits</t>
        </is>
      </c>
      <c r="D178" s="24" t="inlineStr">
        <is>
          <t>Tier 1 — near term</t>
        </is>
      </c>
      <c r="E178" s="24" t="inlineStr">
        <is>
          <t>Requires a sizing solver: find the investment amount that hits a target IRR at a target date (a two-dimensional root find).</t>
        </is>
      </c>
    </row>
    <row r="179" ht="43.5" customHeight="1" s="18">
      <c r="A179" s="28" t="n">
        <v>178</v>
      </c>
      <c r="B179" s="28" t="inlineStr">
        <is>
          <t>Solve-to-target / endogenous circularity</t>
        </is>
      </c>
      <c r="C179" s="28" t="inlineStr">
        <is>
          <t>Timberland</t>
        </is>
      </c>
      <c r="D179" s="28" t="inlineStr">
        <is>
          <t>Tier 3 — high new-primitive cost</t>
        </is>
      </c>
      <c r="E179" s="28" t="inlineStr">
        <is>
          <t>Requires threshold-based product classification applied to the evolving inventory: volume in each product class = f(diameter distribution, merchantability thresholds), so revenue mix changes endogenously with age.</t>
        </is>
      </c>
    </row>
    <row r="180" ht="43.5" customHeight="1" s="18">
      <c r="A180" s="24" t="n">
        <v>179</v>
      </c>
      <c r="B180" s="24" t="inlineStr">
        <is>
          <t>Solve-to-target / endogenous circularity</t>
        </is>
      </c>
      <c r="C180" s="24" t="inlineStr">
        <is>
          <t>Toll Roads &amp; Availability-Payment P3 Concessions</t>
        </is>
      </c>
      <c r="D180" s="24" t="inlineStr">
        <is>
          <t>Tier 1 — near term</t>
        </is>
      </c>
      <c r="E180" s="24" t="inlineStr">
        <is>
          <t>Requires an endogenous concession end date for LPVR-style deals: terminate when cumulative_discounted_revenue &gt;= target, which means the model's horizon is a function of its own output.</t>
        </is>
      </c>
    </row>
    <row r="181" ht="43.5" customHeight="1" s="18">
      <c r="A181" s="28" t="n">
        <v>180</v>
      </c>
      <c r="B181" s="28" t="inlineStr">
        <is>
          <t>Solve-to-target / endogenous circularity</t>
        </is>
      </c>
      <c r="C181" s="28" t="inlineStr">
        <is>
          <t>Venture Debt &amp; Recurring-Revenue (ARR) Lending</t>
        </is>
      </c>
      <c r="D181" s="28" t="inlineStr">
        <is>
          <t>Tier 3 — recombination of Tier 1 primitives</t>
        </is>
      </c>
      <c r="E181" s="28" t="inlineStr">
        <is>
          <t>Requires per-period cash-balance state so liquidity covenants and runway can be tested against the model's own accumulated cash, not an input.</t>
        </is>
      </c>
    </row>
    <row r="182" ht="43.5" customHeight="1" s="18">
      <c r="A182" s="24" t="n">
        <v>181</v>
      </c>
      <c r="B182" s="24" t="inlineStr">
        <is>
          <t>Stochastic drivers &amp; event Monte Carlo</t>
        </is>
      </c>
      <c r="C182" s="24" t="inlineStr">
        <is>
          <t>Equipment &amp; Transportation Lease Portfolios (incl. Aircraft/Container/Rail ABS)</t>
        </is>
      </c>
      <c r="D182" s="24" t="inlineStr">
        <is>
          <t>Tier 3 — recombination of Tier 1 primitives</t>
        </is>
      </c>
      <c r="E182" s="24" t="inlineStr">
        <is>
          <t>Requires an expiry-branch construct: at each lease end, split into re-lease / sale / part-out branches with probabilities, and for the re-lease branch generate a new lease at a lease-rate-factor applied to the then-current asset value.</t>
        </is>
      </c>
    </row>
    <row r="183" ht="43.5" customHeight="1" s="18">
      <c r="A183" s="28" t="n">
        <v>182</v>
      </c>
      <c r="B183" s="28" t="inlineStr">
        <is>
          <t>Stochastic drivers &amp; event Monte Carlo</t>
        </is>
      </c>
      <c r="C183" s="28" t="inlineStr">
        <is>
          <t>Farmland &amp; Permanent Crops</t>
        </is>
      </c>
      <c r="D183" s="28" t="inlineStr">
        <is>
          <t>Tier 3 — high new-primitive cost</t>
        </is>
      </c>
      <c r="E183" s="28" t="inlineStr">
        <is>
          <t>Requires correlated stochastic drivers (yield, commodity price, water availability) with a specified correlation structure, since the whole risk story is the joint distribution, not the marginals.</t>
        </is>
      </c>
    </row>
    <row r="184" ht="43.5" customHeight="1" s="18">
      <c r="A184" s="24" t="n">
        <v>183</v>
      </c>
      <c r="B184" s="24" t="inlineStr">
        <is>
          <t>Stochastic drivers &amp; event Monte Carlo</t>
        </is>
      </c>
      <c r="C184" s="24" t="inlineStr">
        <is>
          <t>Insurance-Linked Securities: Cat Bonds, Sidecars, Collateralized Re</t>
        </is>
      </c>
      <c r="D184" s="24" t="inlineStr">
        <is>
          <t>Tier 1 — near term</t>
        </is>
      </c>
      <c r="E184" s="24" t="inlineStr">
        <is>
          <t>Requires an event-set Monte Carlo: draw a frequency (events per year) and a severity per event from a modeled catalogue, then apply per-event layer functions — not a continuous shock on a single variable.</t>
        </is>
      </c>
    </row>
    <row r="185" ht="43.5" customHeight="1" s="18">
      <c r="A185" s="28" t="n">
        <v>184</v>
      </c>
      <c r="B185" s="28" t="inlineStr">
        <is>
          <t>Stochastic drivers &amp; event Monte Carlo</t>
        </is>
      </c>
      <c r="C185" s="28" t="inlineStr">
        <is>
          <t>Insurance-Linked Securities: Cat Bonds, Sidecars, Collateralized Re</t>
        </is>
      </c>
      <c r="D185" s="28" t="inlineStr">
        <is>
          <t>Tier 1 — near term</t>
        </is>
      </c>
      <c r="E185" s="28" t="inlineStr">
        <is>
          <t>Requires correlation structure across contracts sharing a peril region so portfolio tail risk aggregates correctly.</t>
        </is>
      </c>
    </row>
    <row r="186" ht="43.5" customHeight="1" s="18">
      <c r="A186" s="24" t="n">
        <v>185</v>
      </c>
      <c r="B186" s="24" t="inlineStr">
        <is>
          <t>Stochastic drivers &amp; event Monte Carlo</t>
        </is>
      </c>
      <c r="C186" s="24" t="inlineStr">
        <is>
          <t>Life Settlements / Longevity-Contingent Assets</t>
        </is>
      </c>
      <c r="D186" s="24" t="inlineStr">
        <is>
          <t>Tier 2 — longevity pair</t>
        </is>
      </c>
      <c r="E186" s="24" t="inlineStr">
        <is>
          <t>Requires probability-weighted cash flow composition as a first-class operation across a portfolio of independent lives.</t>
        </is>
      </c>
    </row>
    <row r="187" ht="43.5" customHeight="1" s="18">
      <c r="A187" s="28" t="n">
        <v>186</v>
      </c>
      <c r="B187" s="28" t="inlineStr">
        <is>
          <t>Stochastic drivers &amp; event Monte Carlo</t>
        </is>
      </c>
      <c r="C187" s="28" t="inlineStr">
        <is>
          <t>Litigation Finance</t>
        </is>
      </c>
      <c r="D187" s="28" t="inlineStr">
        <is>
          <t>Tier 3 — recombination of Tier 1 primitives</t>
        </is>
      </c>
      <c r="E187" s="28" t="inlineStr">
        <is>
          <t>Requires stochastic event timing: a resolution date drawn from a hazard/duration distribution per case, with cash flows and the owed multiple evaluated at the drawn date.</t>
        </is>
      </c>
    </row>
    <row r="188" ht="43.5" customHeight="1" s="18">
      <c r="A188" s="24" t="n">
        <v>187</v>
      </c>
      <c r="B188" s="24" t="inlineStr">
        <is>
          <t>Stochastic drivers &amp; event Monte Carlo</t>
        </is>
      </c>
      <c r="C188" s="24" t="inlineStr">
        <is>
          <t>Mining: Life-of-Mine Assets and Mineral Royalties / Streams</t>
        </is>
      </c>
      <c r="D188" s="24" t="inlineStr">
        <is>
          <t>Tier 3 — high new-primitive cost</t>
        </is>
      </c>
      <c r="E188" s="24" t="inlineStr">
        <is>
          <t>Requires sliding-scale royalty formulas: rate = f(metal_price), evaluated per period against a price curve, which is a piecewise/tiered lookup on a stochastic driver.</t>
        </is>
      </c>
    </row>
    <row r="189" ht="43.5" customHeight="1" s="18">
      <c r="A189" s="28" t="n">
        <v>188</v>
      </c>
      <c r="B189" s="28" t="inlineStr">
        <is>
          <t>Stochastic drivers &amp; event Monte Carlo</t>
        </is>
      </c>
      <c r="C189" s="28" t="inlineStr">
        <is>
          <t>Music Catalog Royalties</t>
        </is>
      </c>
      <c r="D189" s="28" t="inlineStr">
        <is>
          <t>Tier 3 — recombination of Tier 1 primitives</t>
        </is>
      </c>
      <c r="E189" s="28" t="inlineStr">
        <is>
          <t>Requires a distinct 'event' revenue type (sync placements) modeled as a Poisson-like frequency times a severity distribution under Monte Carlo, layered on the deterministic annuity.</t>
        </is>
      </c>
    </row>
    <row r="190" ht="43.5" customHeight="1" s="18">
      <c r="A190" s="24" t="n">
        <v>189</v>
      </c>
      <c r="B190" s="24" t="inlineStr">
        <is>
          <t>Stochastic drivers &amp; event Monte Carlo</t>
        </is>
      </c>
      <c r="C190" s="24" t="inlineStr">
        <is>
          <t>Parking (Garages, Surface Lots, and Municipal Meter Concessions)</t>
        </is>
      </c>
      <c r="D190" s="24" t="inlineStr">
        <is>
          <t>Tier 3 — high new-primitive cost</t>
        </is>
      </c>
      <c r="E190" s="24" t="inlineStr">
        <is>
          <t>Requires probability-weighted scenario aggregation across a small number of named demand scenarios, which is how the Chicago valuation was actually presented.</t>
        </is>
      </c>
    </row>
    <row r="191" ht="43.5" customHeight="1" s="18">
      <c r="A191" s="28" t="n">
        <v>190</v>
      </c>
      <c r="B191" s="28" t="inlineStr">
        <is>
          <t>Stochastic drivers &amp; event Monte Carlo</t>
        </is>
      </c>
      <c r="C191" s="28" t="inlineStr">
        <is>
          <t>Pharmaceutical &amp; Biotech Royalty Monetization</t>
        </is>
      </c>
      <c r="D191" s="28" t="inlineStr">
        <is>
          <t>Tier 3 — recombination of Tier 1 primitives</t>
        </is>
      </c>
      <c r="E191" s="28" t="inlineStr">
        <is>
          <t>Requires probability-tree semantics: nodes with success/failure branches whose downstream cash flows are weighted by cumulative path probability, distinct from Monte Carlo draws.</t>
        </is>
      </c>
    </row>
    <row r="192" ht="43.5" customHeight="1" s="18">
      <c r="A192" s="24" t="n">
        <v>191</v>
      </c>
      <c r="B192" s="24" t="inlineStr">
        <is>
          <t>Stochastic drivers &amp; event Monte Carlo</t>
        </is>
      </c>
      <c r="C192" s="24" t="inlineStr">
        <is>
          <t>Pharmaceutical &amp; Biotech Royalty Monetization</t>
        </is>
      </c>
      <c r="D192" s="24" t="inlineStr">
        <is>
          <t>Tier 3 — recombination of Tier 1 primitives</t>
        </is>
      </c>
      <c r="E192" s="24" t="inlineStr">
        <is>
          <t>Requires event-timed milestone payments conditioned on the probability tree node being reached.</t>
        </is>
      </c>
    </row>
    <row r="193" ht="43.5" customHeight="1" s="18">
      <c r="A193" s="28" t="n">
        <v>192</v>
      </c>
      <c r="B193" s="28" t="inlineStr">
        <is>
          <t>Stochastic drivers &amp; event Monte Carlo</t>
        </is>
      </c>
      <c r="C193" s="28" t="inlineStr">
        <is>
          <t>Pharmaceutical &amp; Biotech Royalty Monetization</t>
        </is>
      </c>
      <c r="D193" s="28" t="inlineStr">
        <is>
          <t>Tier 3 — recombination of Tier 1 primitives</t>
        </is>
      </c>
      <c r="E193" s="28" t="inlineStr">
        <is>
          <t>Requires a parametric erosion curve triggered at a (possibly stochastic) LOE date.</t>
        </is>
      </c>
    </row>
    <row r="194" ht="43.5" customHeight="1" s="18">
      <c r="A194" s="24" t="n">
        <v>193</v>
      </c>
      <c r="B194" s="24" t="inlineStr">
        <is>
          <t>Stochastic drivers &amp; event Monte Carlo</t>
        </is>
      </c>
      <c r="C194" s="24" t="inlineStr">
        <is>
          <t>Residential Mortgage Pools &amp; RMBS (agency and non-agency)</t>
        </is>
      </c>
      <c r="D194" s="24" t="inlineStr">
        <is>
          <t>Tier 2 — follows the waterfall engine</t>
        </is>
      </c>
      <c r="E194" s="24" t="inlineStr">
        <is>
          <t>Requires rate-path simulation (not just seeded scenario draws) with cash flows computed per path and averaged — i.e. a Monte Carlo where the discount curve and the prepay function are jointly driven by the same simulated short rate.</t>
        </is>
      </c>
    </row>
    <row r="195" ht="43.5" customHeight="1" s="18">
      <c r="A195" s="28" t="n">
        <v>194</v>
      </c>
      <c r="B195" s="28" t="inlineStr">
        <is>
          <t>Stochastic drivers &amp; event Monte Carlo</t>
        </is>
      </c>
      <c r="C195" s="28" t="inlineStr">
        <is>
          <t>Seniors Housing &amp; Care (IL / AL / Memory Care, RIDEA structures)</t>
        </is>
      </c>
      <c r="D195" s="28" t="inlineStr">
        <is>
          <t>Tier 2 — gated on cohort state</t>
        </is>
      </c>
      <c r="E195" s="28" t="inlineStr">
        <is>
          <t>Requires length-of-stay hazard curves driving move-outs, with each move-out generating both a unit-turn cost and a re-lease at prevailing market rate (loss-to-lease burn-off).</t>
        </is>
      </c>
    </row>
    <row r="196" ht="43.5" customHeight="1" s="18">
      <c r="A196" s="24" t="n">
        <v>195</v>
      </c>
      <c r="B196" s="24" t="inlineStr">
        <is>
          <t>Stochastic drivers &amp; event Monte Carlo</t>
        </is>
      </c>
      <c r="C196" s="24" t="inlineStr">
        <is>
          <t>Single-Family Rental / Build-to-Rent</t>
        </is>
      </c>
      <c r="D196" s="24" t="inlineStr">
        <is>
          <t>Tier 2 — gated on cohort state</t>
        </is>
      </c>
      <c r="E196" s="24" t="inlineStr">
        <is>
          <t>Requires a home-price index as a separate stochastic driver from the rent index, since the exit value depends on HPI while NOI depends on rent.</t>
        </is>
      </c>
    </row>
    <row r="197" ht="43.5" customHeight="1" s="18">
      <c r="A197" s="28" t="n">
        <v>196</v>
      </c>
      <c r="B197" s="28" t="inlineStr">
        <is>
          <t>Stochastic drivers &amp; event Monte Carlo</t>
        </is>
      </c>
      <c r="C197" s="28" t="inlineStr">
        <is>
          <t>Telecom Towers &amp; Cell-Site Ground Leases</t>
        </is>
      </c>
      <c r="D197" s="28" t="inlineStr">
        <is>
          <t>Tier 1 — near term</t>
        </is>
      </c>
      <c r="E197" s="28" t="inlineStr">
        <is>
          <t>Requires a lease-up arrival process: new tenants and amendments arriving per site per year as a rate (or a seeded stochastic draw in Monte Carlo), each initiating a new revenue layer at prevailing market rent.</t>
        </is>
      </c>
    </row>
    <row r="198" ht="43.5" customHeight="1" s="18">
      <c r="A198" s="24" t="n">
        <v>197</v>
      </c>
      <c r="B198" s="24" t="inlineStr">
        <is>
          <t>Stochastic drivers &amp; event Monte Carlo</t>
        </is>
      </c>
      <c r="C198" s="24" t="inlineStr">
        <is>
          <t>Timberland</t>
        </is>
      </c>
      <c r="D198" s="24" t="inlineStr">
        <is>
          <t>Tier 3 — high new-primitive cost</t>
        </is>
      </c>
      <c r="E198" s="24" t="inlineStr">
        <is>
          <t>Requires separate stumpage price curves per product class, with Monte Carlo on each and correlation between them.</t>
        </is>
      </c>
    </row>
    <row r="199" ht="43.5" customHeight="1" s="18">
      <c r="A199" s="28" t="n">
        <v>198</v>
      </c>
      <c r="B199" s="28" t="inlineStr">
        <is>
          <t>Stochastic drivers &amp; event Monte Carlo</t>
        </is>
      </c>
      <c r="C199" s="28" t="inlineStr">
        <is>
          <t>Venture Debt &amp; Recurring-Revenue (ARR) Lending</t>
        </is>
      </c>
      <c r="D199" s="28" t="inlineStr">
        <is>
          <t>Tier 3 — recombination of Tier 1 primitives</t>
        </is>
      </c>
      <c r="E199" s="28" t="inlineStr">
        <is>
          <t>Requires a back-end fee and declining prepayment-fee schedule keyed to elapsed periods, plus a stochastic prepayment/refinance event.</t>
        </is>
      </c>
    </row>
    <row r="200" ht="43.5" customHeight="1" s="18">
      <c r="A200" s="24" t="n">
        <v>199</v>
      </c>
      <c r="B200" s="24" t="inlineStr">
        <is>
          <t>Stochastic drivers &amp; event Monte Carlo</t>
        </is>
      </c>
      <c r="C200" s="24" t="inlineStr">
        <is>
          <t>Venture Debt &amp; Recurring-Revenue (ARR) Lending</t>
        </is>
      </c>
      <c r="D200" s="24" t="inlineStr">
        <is>
          <t>Tier 3 — recombination of Tier 1 primitives</t>
        </is>
      </c>
      <c r="E200" s="24" t="inlineStr">
        <is>
          <t>Requires option valuation for warrants against a stochastic exit value, integrated with the loan's own default correlation.</t>
        </is>
      </c>
    </row>
    <row r="201" ht="43.5" customHeight="1" s="18">
      <c r="A201" s="28" t="n">
        <v>200</v>
      </c>
      <c r="B201" s="28" t="inlineStr">
        <is>
          <t>Stochastic drivers &amp; event Monte Carlo</t>
        </is>
      </c>
      <c r="C201" s="28" t="inlineStr">
        <is>
          <t>Water Rights &amp; Water Supply Concessions (incl. Desalination)</t>
        </is>
      </c>
      <c r="D201" s="28" t="inlineStr">
        <is>
          <t>Split: concession half Tier 1, rights half Tier 3</t>
        </is>
      </c>
      <c r="E201" s="28" t="inlineStr">
        <is>
          <t>Requires stochastic hydrology as a driver (annual inflow / snowpack) feeding that allocation, with multi-year persistence (drought clustering) rather than i.i.d. draws.</t>
        </is>
      </c>
    </row>
    <row r="202" ht="43.5" customHeight="1" s="18">
      <c r="A202" s="24" t="n">
        <v>201</v>
      </c>
      <c r="B202" s="24" t="inlineStr">
        <is>
          <t>Stochastic drivers &amp; event Monte Carlo</t>
        </is>
      </c>
      <c r="C202" s="24" t="inlineStr">
        <is>
          <t>Water Rights &amp; Water Supply Concessions (incl. Desalination)</t>
        </is>
      </c>
      <c r="D202" s="24" t="inlineStr">
        <is>
          <t>Split: concession half Tier 1, rights half Tier 3</t>
        </is>
      </c>
      <c r="E202" s="24" t="inlineStr">
        <is>
          <t>Requires probabilistic, dated regulatory approval events with a cost and a success probability that gate a valuation uplift.</t>
        </is>
      </c>
    </row>
    <row r="203" ht="43.5" customHeight="1" s="18">
      <c r="A203" s="28" t="n">
        <v>202</v>
      </c>
      <c r="B203" s="28" t="inlineStr">
        <is>
          <t>Trigger, covenant &amp; regime switch</t>
        </is>
      </c>
      <c r="C203" s="28" t="inlineStr">
        <is>
          <t>Airports &amp; Port/Terminal Concessions</t>
        </is>
      </c>
      <c r="D203" s="28" t="inlineStr">
        <is>
          <t>Tier 3 — high new-primitive cost</t>
        </is>
      </c>
      <c r="E203" s="28" t="inlineStr">
        <is>
          <t>Requires a till-regime switch that reallocates commercial profit into or out of the aeronautical revenue requirement.</t>
        </is>
      </c>
    </row>
    <row r="204" ht="43.5" customHeight="1" s="18">
      <c r="A204" s="24" t="n">
        <v>203</v>
      </c>
      <c r="B204" s="24" t="inlineStr">
        <is>
          <t>Trigger, covenant &amp; regime switch</t>
        </is>
      </c>
      <c r="C204" s="24" t="inlineStr">
        <is>
          <t>Airports &amp; Port/Terminal Concessions</t>
        </is>
      </c>
      <c r="D204" s="24" t="inlineStr">
        <is>
          <t>Tier 3 — high new-primitive cost</t>
        </is>
      </c>
      <c r="E204" s="24" t="inlineStr">
        <is>
          <t>Requires minimum-guaranteed-throughput shortfall payments: if actual TEU &lt; guaranteed TEU, pay the difference times the rate — a conditional payment on a volume test.</t>
        </is>
      </c>
    </row>
    <row r="205" ht="43.5" customHeight="1" s="18">
      <c r="A205" s="28" t="n">
        <v>204</v>
      </c>
      <c r="B205" s="28" t="inlineStr">
        <is>
          <t>Trigger, covenant &amp; regime switch</t>
        </is>
      </c>
      <c r="C205" s="28" t="inlineStr">
        <is>
          <t>Data Centers</t>
        </is>
      </c>
      <c r="D205" s="28" t="inlineStr">
        <is>
          <t>Tier 1 — near term</t>
        </is>
      </c>
      <c r="E205" s="28" t="inlineStr">
        <is>
          <t>Requires an electricity price curve joined to a PUE assumption, and the ability to model both full-pass-through and gross-recovery regimes as a switch.</t>
        </is>
      </c>
    </row>
    <row r="206" ht="43.5" customHeight="1" s="18">
      <c r="A206" s="24" t="n">
        <v>205</v>
      </c>
      <c r="B206" s="24" t="inlineStr">
        <is>
          <t>Trigger, covenant &amp; regime switch</t>
        </is>
      </c>
      <c r="C206" s="24" t="inlineStr">
        <is>
          <t>District Energy &amp; Waste-to-Energy</t>
        </is>
      </c>
      <c r="D206" s="24" t="inlineStr">
        <is>
          <t>Tier 1 — near term</t>
        </is>
      </c>
      <c r="E206" s="24" t="inlineStr">
        <is>
          <t>Requires put-or-pay deficiency payments: if delivered tonnage &lt; contracted tonnage, the counterparty pays the shortfall times the tip fee — a conditional receivable on a volume test.</t>
        </is>
      </c>
    </row>
    <row r="207" ht="43.5" customHeight="1" s="18">
      <c r="A207" s="28" t="n">
        <v>206</v>
      </c>
      <c r="B207" s="28" t="inlineStr">
        <is>
          <t>Trigger, covenant &amp; regime switch</t>
        </is>
      </c>
      <c r="C207" s="28" t="inlineStr">
        <is>
          <t>EV Charging Networks</t>
        </is>
      </c>
      <c r="D207" s="28" t="inlineStr">
        <is>
          <t>Tier 3 — high new-primitive cost</t>
        </is>
      </c>
      <c r="E207" s="28" t="inlineStr">
        <is>
          <t>Requires grant reimbursement at 80% of eligible capex with an uptime-conditional claw-back — i.e. a contingent negative cash flow triggered by a modeled performance metric falling below a threshold.</t>
        </is>
      </c>
    </row>
    <row r="208" ht="43.5" customHeight="1" s="18">
      <c r="A208" s="24" t="n">
        <v>207</v>
      </c>
      <c r="B208" s="24" t="inlineStr">
        <is>
          <t>Trigger, covenant &amp; regime switch</t>
        </is>
      </c>
      <c r="C208" s="24" t="inlineStr">
        <is>
          <t>Farmland &amp; Permanent Crops</t>
        </is>
      </c>
      <c r="D208" s="24" t="inlineStr">
        <is>
          <t>Tier 3 — high new-primitive cost</t>
        </is>
      </c>
      <c r="E208" s="24" t="inlineStr">
        <is>
          <t>Requires conditional government/insurance payments: indemnity = max(0, guarantee - actual_revenue), evaluated per crop year against realized price and yield.</t>
        </is>
      </c>
    </row>
    <row r="209" ht="43.5" customHeight="1" s="18">
      <c r="A209" s="28" t="n">
        <v>208</v>
      </c>
      <c r="B209" s="28" t="inlineStr">
        <is>
          <t>Trigger, covenant &amp; regime switch</t>
        </is>
      </c>
      <c r="C209" s="28" t="inlineStr">
        <is>
          <t>Farmland &amp; Permanent Crops</t>
        </is>
      </c>
      <c r="D209" s="28" t="inlineStr">
        <is>
          <t>Tier 3 — high new-primitive cost</t>
        </is>
      </c>
      <c r="E209" s="28" t="inlineStr">
        <is>
          <t>Requires income-mode switching (cash rent / crop share / owner-operated) applied per parcel within one portfolio.</t>
        </is>
      </c>
    </row>
    <row r="210" ht="43.5" customHeight="1" s="18">
      <c r="A210" s="24" t="n">
        <v>209</v>
      </c>
      <c r="B210" s="24" t="inlineStr">
        <is>
          <t>Trigger, covenant &amp; regime switch</t>
        </is>
      </c>
      <c r="C210" s="24" t="inlineStr">
        <is>
          <t>Fiber Networks (FTTH / Open-Access / Enterprise Dark Fiber)</t>
        </is>
      </c>
      <c r="D210" s="24" t="inlineStr">
        <is>
          <t>Tier 2 — gated on cohort state</t>
        </is>
      </c>
      <c r="E210" s="24" t="inlineStr">
        <is>
          <t>Requires milestone-triggered grant receipts netted against capex basis, with a separate tax basis from book basis.</t>
        </is>
      </c>
    </row>
    <row r="211" ht="43.5" customHeight="1" s="18">
      <c r="A211" s="28" t="n">
        <v>210</v>
      </c>
      <c r="B211" s="28" t="inlineStr">
        <is>
          <t>Trigger, covenant &amp; regime switch</t>
        </is>
      </c>
      <c r="C211" s="28" t="inlineStr">
        <is>
          <t>Film &amp; TV Content Libraries ('Ultimates')</t>
        </is>
      </c>
      <c r="D211" s="28" t="inlineStr">
        <is>
          <t>Tier 3 — recombination of Tier 1 primitives</t>
        </is>
      </c>
      <c r="E211" s="28" t="inlineStr">
        <is>
          <t>Requires a cumulative-receipts state variable per title to evaluate cash-breakeven step triggers for participations.</t>
        </is>
      </c>
    </row>
    <row r="212" ht="43.5" customHeight="1" s="18">
      <c r="A212" s="24" t="n">
        <v>211</v>
      </c>
      <c r="B212" s="24" t="inlineStr">
        <is>
          <t>Trigger, covenant &amp; regime switch</t>
        </is>
      </c>
      <c r="C212" s="24" t="inlineStr">
        <is>
          <t>Insurance-Linked Securities: Cat Bonds, Sidecars, Collateralized Re</t>
        </is>
      </c>
      <c r="D212" s="24" t="inlineStr">
        <is>
          <t>Tier 1 — near term</t>
        </is>
      </c>
      <c r="E212" s="24" t="inlineStr">
        <is>
          <t>Requires premium earning patterns and reinstatement logic: a conditional additional premium inflow contingent on a prior loss event.</t>
        </is>
      </c>
    </row>
    <row r="213" ht="43.5" customHeight="1" s="18">
      <c r="A213" s="28" t="n">
        <v>212</v>
      </c>
      <c r="B213" s="28" t="inlineStr">
        <is>
          <t>Trigger, covenant &amp; regime switch</t>
        </is>
      </c>
      <c r="C213" s="28" t="inlineStr">
        <is>
          <t>Parking (Garages, Surface Lots, and Municipal Meter Concessions)</t>
        </is>
      </c>
      <c r="D213" s="28" t="inlineStr">
        <is>
          <t>Tier 3 — high new-primitive cost</t>
        </is>
      </c>
      <c r="E213" s="28" t="inlineStr">
        <is>
          <t>Requires conditional compensation receivables triggered by grantor actions (spaces removed from service x rate x hours), which is a counterparty-behaviour-driven cash flow requiring an explicit exogenous driver series.</t>
        </is>
      </c>
    </row>
    <row r="214" ht="43.5" customHeight="1" s="18">
      <c r="A214" s="24" t="n">
        <v>213</v>
      </c>
      <c r="B214" s="24" t="inlineStr">
        <is>
          <t>Trigger, covenant &amp; regime switch</t>
        </is>
      </c>
      <c r="C214" s="24" t="inlineStr">
        <is>
          <t>Private Fund Cash Flows: Capital Calls, Distributions &amp; Carry Waterfalls</t>
        </is>
      </c>
      <c r="D214" s="24" t="inlineStr">
        <is>
          <t>Tier 1 — near term</t>
        </is>
      </c>
      <c r="E214" s="24" t="inlineStr">
        <is>
          <t>Requires a fee basis that switches at a date (committed → invested/NAV) with fee offsets.</t>
        </is>
      </c>
    </row>
    <row r="215" ht="43.5" customHeight="1" s="18">
      <c r="A215" s="28" t="n">
        <v>214</v>
      </c>
      <c r="B215" s="28" t="inlineStr">
        <is>
          <t>Trigger, covenant &amp; regime switch</t>
        </is>
      </c>
      <c r="C215" s="28" t="inlineStr">
        <is>
          <t>Shipping / Maritime (Bulkers, Tankers, Containerships, LNG)</t>
        </is>
      </c>
      <c r="D215" s="28" t="inlineStr">
        <is>
          <t>Tier 3 — high new-primitive cost</t>
        </is>
      </c>
      <c r="E215" s="28" t="inlineStr">
        <is>
          <t>Requires an employment-mode switch that changes which cost lines the owner bears (voyage costs in/out, opex in/out) without restating the vessel.</t>
        </is>
      </c>
    </row>
    <row r="216" ht="43.5" customHeight="1" s="18">
      <c r="A216" s="24" t="n">
        <v>215</v>
      </c>
      <c r="B216" s="24" t="inlineStr">
        <is>
          <t>Trigger, covenant &amp; regime switch</t>
        </is>
      </c>
      <c r="C216" s="24" t="inlineStr">
        <is>
          <t>Single-Family Rental / Build-to-Rent</t>
        </is>
      </c>
      <c r="D216" s="24" t="inlineStr">
        <is>
          <t>Tier 2 — gated on cohort state</t>
        </is>
      </c>
      <c r="E216" s="24" t="inlineStr">
        <is>
          <t>Requires per-jurisdiction tax reassessment rules: property_tax = min(assessed_growth_cap, market_value_growth) applied to a carried assessed-value basis, with a step-up on transfer.</t>
        </is>
      </c>
    </row>
    <row r="217" ht="43.5" customHeight="1" s="18">
      <c r="A217" s="28" t="n">
        <v>216</v>
      </c>
      <c r="B217" s="28" t="inlineStr">
        <is>
          <t>Trigger, covenant &amp; regime switch</t>
        </is>
      </c>
      <c r="C217" s="28" t="inlineStr">
        <is>
          <t>Tax Equity Partnership Flips &amp; Transferable Tax Credits</t>
        </is>
      </c>
      <c r="D217" s="28" t="inlineStr">
        <is>
          <t>Tier 1 — near term</t>
        </is>
      </c>
      <c r="E217" s="28" t="inlineStr">
        <is>
          <t>Requires a recapture schedule keyed to elapsed vesting periods with an event trigger.</t>
        </is>
      </c>
    </row>
    <row r="218" ht="43.5" customHeight="1" s="18">
      <c r="A218" s="24" t="n">
        <v>217</v>
      </c>
      <c r="B218" s="24" t="inlineStr">
        <is>
          <t>Trigger, covenant &amp; regime switch</t>
        </is>
      </c>
      <c r="C218" s="24" t="inlineStr">
        <is>
          <t>Telecom Towers &amp; Cell-Site Ground Leases</t>
        </is>
      </c>
      <c r="D218" s="24" t="inlineStr">
        <is>
          <t>Tier 1 — near term</t>
        </is>
      </c>
      <c r="E218" s="24" t="inlineStr">
        <is>
          <t>Requires a perpetuity/terminal-growth terminal value on an unlevered stream, with a switch to a multiple-based exit for cross-check.</t>
        </is>
      </c>
    </row>
    <row r="219" ht="43.5" customHeight="1" s="18">
      <c r="A219" s="28" t="n">
        <v>218</v>
      </c>
      <c r="B219" s="28" t="inlineStr">
        <is>
          <t>Trigger, covenant &amp; regime switch</t>
        </is>
      </c>
      <c r="C219" s="28" t="inlineStr">
        <is>
          <t>Timberland</t>
        </is>
      </c>
      <c r="D219" s="28" t="inlineStr">
        <is>
          <t>Tier 3 — high new-primitive cost</t>
        </is>
      </c>
      <c r="E219" s="28" t="inlineStr">
        <is>
          <t>Requires a harvest-scheduling decision layer: at minimum, rule-based harvest triggers (harvest when a stand reaches age N or when stumpage price exceeds a threshold), and ideally the ability to optimize the schedule subject to sustained-yield constraints.</t>
        </is>
      </c>
    </row>
    <row r="220" ht="43.5" customHeight="1" s="18">
      <c r="A220" s="24" t="n">
        <v>219</v>
      </c>
      <c r="B220" s="24" t="inlineStr">
        <is>
          <t>Trigger, covenant &amp; regime switch</t>
        </is>
      </c>
      <c r="C220" s="24" t="inlineStr">
        <is>
          <t>Trade Receivables, Factoring &amp; Revolving Borrowing-Base Facilities</t>
        </is>
      </c>
      <c r="D220" s="24" t="inlineStr">
        <is>
          <t>Tier 3 — recombination of Tier 1 primitives</t>
        </is>
      </c>
      <c r="E220" s="24" t="inlineStr">
        <is>
          <t>Requires early-amortization trigger evaluation that flips the facility from revolving mode to sequential amortization mode permanently.</t>
        </is>
      </c>
    </row>
    <row r="221" ht="43.5" customHeight="1" s="18">
      <c r="A221" s="28" t="n">
        <v>220</v>
      </c>
      <c r="B221" s="28" t="inlineStr">
        <is>
          <t>Trigger, covenant &amp; regime switch</t>
        </is>
      </c>
      <c r="C221" s="28" t="inlineStr">
        <is>
          <t>Venture Debt &amp; Recurring-Revenue (ARR) Lending</t>
        </is>
      </c>
      <c r="D221" s="28" t="inlineStr">
        <is>
          <t>Tier 3 — recombination of Tier 1 primitives</t>
        </is>
      </c>
      <c r="E221" s="28" t="inlineStr">
        <is>
          <t>Requires covenant-regime switching at a date or event (ARR covenants → EBITDA covenants) with different tested quantities in each regime.</t>
        </is>
      </c>
    </row>
    <row r="222" ht="43.5" customHeight="1" s="18">
      <c r="A222" s="24" t="n">
        <v>221</v>
      </c>
      <c r="B222" s="24" t="inlineStr">
        <is>
          <t>Trigger, covenant &amp; regime switch</t>
        </is>
      </c>
      <c r="C222" s="24" t="inlineStr">
        <is>
          <t>Whole Business Securitization / Franchise Royalty ABS</t>
        </is>
      </c>
      <c r="D222" s="24" t="inlineStr">
        <is>
          <t>Tier 3 — recombination of Tier 1 primitives</t>
        </is>
      </c>
      <c r="E222" s="24" t="inlineStr">
        <is>
          <t>Requires a covenant-ladder construct: evaluate a ratio computed on a trailing-twelve-month basis and select among distribution modes (normal / trapped / rapid amortization) with hysteresis (a cure requires N consecutive passing periods).</t>
        </is>
      </c>
    </row>
  </sheetData>
  <autoFilter ref="A1:E2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7" min="1" max="1"/>
    <col width="42" customWidth="1" style="17" min="2" max="2"/>
    <col width="30" customWidth="1" style="17" min="3" max="3"/>
    <col width="90" customWidth="1" style="17" min="4" max="4"/>
    <col width="46" customWidth="1" style="17" min="5" max="5"/>
    <col width="40" customWidth="1" style="17" min="6" max="6"/>
    <col width="56" customWidth="1" style="17" min="7" max="7"/>
  </cols>
  <sheetData>
    <row r="1" ht="30" customHeight="1" s="18">
      <c r="A1" s="23" t="inlineStr">
        <is>
          <t>Rank</t>
        </is>
      </c>
      <c r="B1" s="23" t="inlineStr">
        <is>
          <t>Candidate</t>
        </is>
      </c>
      <c r="C1" s="23" t="inlineStr">
        <is>
          <t>Domain</t>
        </is>
      </c>
      <c r="D1" s="23" t="inlineStr">
        <is>
          <t>Why it is Tier 1</t>
        </is>
      </c>
      <c r="E1" s="23" t="inlineStr">
        <is>
          <t>Gating engine capability</t>
        </is>
      </c>
      <c r="F1" s="23" t="inlineStr">
        <is>
          <t>Reuse</t>
        </is>
      </c>
      <c r="G1" s="23" t="inlineStr">
        <is>
          <t>First reference model to build against</t>
        </is>
      </c>
    </row>
    <row r="2" ht="120" customHeight="1" s="18">
      <c r="A2" s="24" t="n">
        <v>1</v>
      </c>
      <c r="B2" s="24" t="inlineStr">
        <is>
          <t>Securitization Tranche Waterfalls (CLO / ABS / CDO)</t>
        </is>
      </c>
      <c r="C2" s="24" t="inlineStr">
        <is>
          <t>Specialty finance</t>
        </is>
      </c>
      <c r="D2" s="30" t="inlineStr">
        <is>
          <t>Highest downstream unlock on the list. Building it forces the two capabilities that roughly half the remaining candidates depend on — per-period persistent state and an ordered waterfall whose steps gate on a trigger evaluated from that state. CMBS, RMBS, WBS, aircraft ABS, NPL acquisition leverage, receivables facilities and every fund-level waterfall reuse the same machinery. It also sits directly on the existing credit pack, whose CPR/CDR/severity/lag pool engine is already the collateral side.</t>
        </is>
      </c>
      <c r="E2" s="24" t="inlineStr">
        <is>
          <t>Ordered waterfall + trigger branching + per-tranche state</t>
        </is>
      </c>
      <c r="F2" s="24" t="inlineStr">
        <is>
          <t>credit ~55%</t>
        </is>
      </c>
      <c r="G2" s="24" t="inlineStr">
        <is>
          <t>AmeriCredit Automobile Receivables Trust 2017-1 424B5 — a complete 22-step priority of payments in a free public filing</t>
        </is>
      </c>
    </row>
    <row r="3" ht="120" customHeight="1" s="18">
      <c r="A3" s="28" t="n">
        <v>2</v>
      </c>
      <c r="B3" s="28" t="inlineStr">
        <is>
          <t>Private Fund Cash Flows: capital calls, distributions &amp; carry waterfalls</t>
        </is>
      </c>
      <c r="C3" s="28" t="inlineStr">
        <is>
          <t>Specialty finance</t>
        </is>
      </c>
      <c r="D3" s="30" t="inlineStr">
        <is>
          <t>Second-highest leverage per unit of work and the widest buyer base — every LP, GP, administrator and secondaries buyer runs this in a fragile spreadsheet today. The underlying assets are already expressible: the opco pack is exactly the portfolio-company layer. Needs the same solve-to-target tier as (1), plus a compounding preferred accrual and a live cumulative-IRR state variable. Enables GP stakes and continuation vehicles as thin follow-ons.</t>
        </is>
      </c>
      <c r="E3" s="28" t="inlineStr">
        <is>
          <t>Solve-to-target tier; compounding pref accrual; live cumulative IRR</t>
        </is>
      </c>
      <c r="F3" s="28" t="inlineStr">
        <is>
          <t>opco ~25% (assets already modelled)</t>
        </is>
      </c>
      <c r="G3" s="28" t="inlineStr">
        <is>
          <t>ILPA Model LPA whole-of-fund waterfall, checked against CalPERS' published net IRRs</t>
        </is>
      </c>
    </row>
    <row r="4" ht="120" customHeight="1" s="18">
      <c r="A4" s="24" t="n">
        <v>3</v>
      </c>
      <c r="B4" s="24" t="inlineStr">
        <is>
          <t>Tax Equity Partnership Flips &amp; Transferable Tax Credits</t>
        </is>
      </c>
      <c r="C4" s="24" t="inlineStr">
        <is>
          <t>Specialty finance / energy</t>
        </is>
      </c>
      <c r="D4" s="30" t="inlineStr">
        <is>
          <t>The obvious upsell into the existing installed base. The energy pack already produces the project cash flow, ITC/PTC/MACRS and level-pay project debt — roughly half the model. What is missing is the partnership layer that actually gets US renewables deals financed. Shortest distance from current capability to a deal-closing artefact, and it shares the sizing solver and cumulative-IRR primitive with (2).</t>
        </is>
      </c>
      <c r="E4" s="24" t="inlineStr">
        <is>
          <t>Dual tax/cash ledgers; capital accounts; endogenous yield-flip solve</t>
        </is>
      </c>
      <c r="F4" s="24" t="inlineStr">
        <is>
          <t>energy ~50%</t>
        </is>
      </c>
      <c r="G4" s="24" t="inlineStr">
        <is>
          <t>Norton Rose Fulbright partnership-flip series, cross-checked against SAM's tax-equity structures</t>
        </is>
      </c>
    </row>
    <row r="5" ht="120" customHeight="1" s="18">
      <c r="A5" s="28" t="n">
        <v>4</v>
      </c>
      <c r="B5" s="28" t="inlineStr">
        <is>
          <t>Telecom Towers &amp; Cell-Site Ground Leases</t>
        </is>
      </c>
      <c r="C5" s="28" t="inlineStr">
        <is>
          <t>Real assets</t>
        </is>
      </c>
      <c r="D5" s="30" t="inlineStr">
        <is>
          <t>The single highest reuse-to-value ratio in real assets, at roughly 60%. A tower site is a rent roll: stacked independent contracts each with its own commencement, term, escalator and renewal option — precisely what the cre pack's lease-by-lease engine already does. The new parts (lease-up and amendment arrivals, ground lease as contra-revenue with its own expiry, dated MNO-consolidation churn) are all closed-form over dated events. Shippable against today's engine.</t>
        </is>
      </c>
      <c r="E5" s="28" t="inlineStr">
        <is>
          <t>None new — expressible today</t>
        </is>
      </c>
      <c r="F5" s="28" t="inlineStr">
        <is>
          <t>cre ~60%</t>
        </is>
      </c>
      <c r="G5" s="28" t="inlineStr">
        <is>
          <t>A.CRE Single Tenant NNN Lease Valuation Model (stacked contracts, multi-rate discounting)</t>
        </is>
      </c>
    </row>
    <row r="6" ht="120" customHeight="1" s="18">
      <c r="A6" s="24" t="n">
        <v>5</v>
      </c>
      <c r="B6" s="24" t="inlineStr">
        <is>
          <t>Mortgage Servicing Rights (MSR)</t>
        </is>
      </c>
      <c r="C6" s="24" t="inlineStr">
        <is>
          <t>Specialty finance</t>
        </is>
      </c>
      <c r="D6" s="30" t="inlineStr">
        <is>
          <t>The best narrow, high-value, fast candidate. A genuinely institutional market with a small, wealthy, spreadsheet-bound buyer base, and a compact model: a survival-weighted fee strip, per-loan cost, escrow float on a short-rate curve and an advance balance. It needs state and rate-driven prepayment but no waterfall, so it ships in parallel with (1) rather than behind it — and it pays for the rate-path machinery that RMBS later requires.</t>
        </is>
      </c>
      <c r="E6" s="24" t="inlineStr">
        <is>
          <t>Advance-balance state; rate-driven prepayment</t>
        </is>
      </c>
      <c r="F6" s="24" t="inlineStr">
        <is>
          <t>credit ~35%</t>
        </is>
      </c>
      <c r="G6" s="24" t="inlineStr">
        <is>
          <t>SIFMA Standard Formulas (Chapter SF) — 176-period published cash flow schedules</t>
        </is>
      </c>
    </row>
    <row r="7" ht="120" customHeight="1" s="18">
      <c r="A7" s="28" t="n">
        <v>6</v>
      </c>
      <c r="B7" s="28" t="inlineStr">
        <is>
          <t>Data Centers</t>
        </is>
      </c>
      <c r="C7" s="28" t="inlineStr">
        <is>
          <t>Real assets</t>
        </is>
      </c>
      <c r="D7" s="30" t="inlineStr">
        <is>
          <t>The highest-demand real asset class right now, and ~50% reuse across two packs at once: the cre lease engine for the contract stack and TI amortisation, the energy pack for power curves, interconnection milestones and MACRS/ITC on on-site generation. The main new primitive — a capacity dimension in kW with a PUE multiplier on the pass-through — is an extension of the existing recovery/expense-stop concept rather than a new engine feature.</t>
        </is>
      </c>
      <c r="E7" s="28" t="inlineStr">
        <is>
          <t>Closed-form + capitalised construction-interest balance</t>
        </is>
      </c>
      <c r="F7" s="28" t="inlineStr">
        <is>
          <t>cre + energy ~50%</t>
        </is>
      </c>
      <c r="G7" s="28" t="inlineStr">
        <is>
          <t>A.CRE Watch Me Build capital stack (construction-interest circularity in its simplest form)</t>
        </is>
      </c>
    </row>
    <row r="8" ht="120" customHeight="1" s="18">
      <c r="A8" s="24" t="n">
        <v>7</v>
      </c>
      <c r="B8" s="24" t="inlineStr">
        <is>
          <t>District Energy &amp; Waste-to-Energy</t>
        </is>
      </c>
      <c r="C8" s="24" t="inlineStr">
        <is>
          <t>Real assets</t>
        </is>
      </c>
      <c r="D8" s="30" t="inlineStr">
        <is>
          <t>The cheapest pack to build, at ~65% reuse, and best treated as an energy pack extension rather than a greenfield pack. Merchant power, contracted PPAs, capacity payments, fuel curves, O&amp;M and project debt already exist; a district energy plant is a capacity-plus-consumption contract stack sold to buildings instead of a utility. Two-part thermal tariffs and put-or-pay tonnage are both closed-form. Low-cost way to widen the energy buyer base into infrastructure funds.</t>
        </is>
      </c>
      <c r="E8" s="24" t="inlineStr">
        <is>
          <t>None new — energy pack extension</t>
        </is>
      </c>
      <c r="F8" s="24" t="inlineStr">
        <is>
          <t>energy ~65%</t>
        </is>
      </c>
      <c r="G8" s="24" t="inlineStr">
        <is>
          <t>Ed Bodmer project finance collection (thermal / district plant models)</t>
        </is>
      </c>
    </row>
    <row r="9" ht="120" customHeight="1" s="18">
      <c r="A9" s="28" t="n">
        <v>8</v>
      </c>
      <c r="B9" s="28" t="inlineStr">
        <is>
          <t>Insurance-Linked Securities: cat bonds, sidecars, collateralized re</t>
        </is>
      </c>
      <c r="C9" s="28" t="inlineStr">
        <is>
          <t>Specialty finance</t>
        </is>
      </c>
      <c r="D9" s="30" t="inlineStr">
        <is>
          <t>The only Tier 1 pick orthogonal to everything else: it needs event-set Monte Carlo — frequency × severity feeding a per-event layer payoff — not scenario shocks. That makes it the most expensive of the group, but it is the pack least likely to be commoditised by a competitor bolting waterfalls onto a spreadsheet, and seeded Monte Carlo already exists so the extension is to event sets and piecewise layer payoffs.</t>
        </is>
      </c>
      <c r="E9" s="28" t="inlineStr">
        <is>
          <t>Event-set Monte Carlo; layer payoffs; aggregate accumulators</t>
        </is>
      </c>
      <c r="F9" s="28" t="inlineStr">
        <is>
          <t>energy/credit ~20% (Monte Carlo scaffolding)</t>
        </is>
      </c>
      <c r="G9" s="28" t="inlineStr">
        <is>
          <t>World Bank guarantee scenario-analysis methodology (CC BY 3.0 IGO) for correlated portfolio loss</t>
        </is>
      </c>
    </row>
    <row r="10" ht="120" customHeight="1" s="18">
      <c r="A10" s="24" t="n">
        <v>9</v>
      </c>
      <c r="B10" s="24" t="inlineStr">
        <is>
          <t>Hospitality / Hotels</t>
        </is>
      </c>
      <c r="C10" s="24" t="inlineStr">
        <is>
          <t>Real assets</t>
        </is>
      </c>
      <c r="D10" s="30" t="inlineStr">
        <is>
          <t>Earns its place on market size and buyer density rather than reuse — an unusually large population of analysts model hotels weekly. ~45% reuse. It does need real per-period state for the FF&amp;E reserve, but the requirement is minimal and well bounded: one accumulating account that accrues on revenue and is drawn by dated renovation capex. If state is on the roadmap, hotels are the cleanest first proof of it, because the state is a single scalar rather than a vector of cohorts.</t>
        </is>
      </c>
      <c r="E10" s="24" t="inlineStr">
        <is>
          <t>Per-period state: one FF&amp;E reserve balance</t>
        </is>
      </c>
      <c r="F10" s="24" t="inlineStr">
        <is>
          <t>cre + opco ~45%</t>
        </is>
      </c>
      <c r="G10" s="24" t="inlineStr">
        <is>
          <t>A.CRE Hotel Valuation Model and the Finamodel USALI hotel model (incentive fee on adjusted GOP)</t>
        </is>
      </c>
    </row>
    <row r="11" ht="120" customHeight="1" s="18">
      <c r="A11" s="28" t="n">
        <v>10</v>
      </c>
      <c r="B11" s="28" t="inlineStr">
        <is>
          <t>Toll Roads &amp; Availability-Payment P3 Concessions</t>
        </is>
      </c>
      <c r="C11" s="28" t="inlineStr">
        <is>
          <t>Real assets</t>
        </is>
      </c>
      <c r="D11" s="30" t="inlineStr">
        <is>
          <t>The strategic entry into infrastructure proper, and reuse from energy is better than it looks: an availability payment is a contracted revenue stream with an escalator and a performance deduction — structurally a PPA with a curtailment adjustment — and P3 senior debt is the same sculpted amortisation. USDOT publishes standardised model contract guides for both structures, so the mechanics are documented rather than proprietary. Ship fixed-term availability-payment concessions first and defer LPVR variable-term deals, which need an endogenous horizon.</t>
        </is>
      </c>
      <c r="E11" s="28" t="inlineStr">
        <is>
          <t>Handback reserve state; endogenous horizon for LPVR (defer)</t>
        </is>
      </c>
      <c r="F11" s="28" t="inlineStr">
        <is>
          <t>energy ~50%</t>
        </is>
      </c>
      <c r="G11" s="28" t="inlineStr">
        <is>
          <t>PPIAF highway PPP numerical model (125 km toll road, three debt tranches, ADSCR-targeted subsidy solve)</t>
        </is>
      </c>
    </row>
  </sheetData>
  <autoFilter ref="A1:G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6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6" customWidth="1" style="17" min="1" max="1"/>
    <col width="14" customWidth="1" style="17" min="2" max="2"/>
  </cols>
  <sheetData>
    <row r="1" ht="17.35" customHeight="1" s="18">
      <c r="A1" s="19" t="inlineStr">
        <is>
          <t>Summary counts</t>
        </is>
      </c>
    </row>
    <row r="3" ht="15" customHeight="1" s="18">
      <c r="A3" s="22" t="inlineStr">
        <is>
          <t>Model catalogue by domain group</t>
        </is>
      </c>
    </row>
    <row r="4" ht="15" customHeight="1" s="18">
      <c r="A4" s="33" t="inlineStr">
        <is>
          <t>Domain group</t>
        </is>
      </c>
      <c r="B4" s="33" t="inlineStr">
        <is>
          <t>Count</t>
        </is>
      </c>
    </row>
    <row r="5" ht="15" customHeight="1" s="18">
      <c r="A5" s="21" t="inlineStr">
        <is>
          <t>CRE (existing pack)</t>
        </is>
      </c>
      <c r="B5" s="34">
        <f>COUNTIF('Model Catalogue'!$B$2:$B$161,A5)</f>
        <v/>
      </c>
    </row>
    <row r="6" ht="15" customHeight="1" s="18">
      <c r="A6" s="21" t="inlineStr">
        <is>
          <t>Energy &amp; Infrastructure (existing pack + roadmap)</t>
        </is>
      </c>
      <c r="B6" s="34">
        <f>COUNTIF('Model Catalogue'!$B$2:$B$161,A6)</f>
        <v/>
      </c>
    </row>
    <row r="7" ht="15" customHeight="1" s="18">
      <c r="A7" s="21" t="inlineStr">
        <is>
          <t>Credit &amp; Structured Finance (existing pack + roadmap)</t>
        </is>
      </c>
      <c r="B7" s="34">
        <f>COUNTIF('Model Catalogue'!$B$2:$B$161,A7)</f>
        <v/>
      </c>
    </row>
    <row r="8" ht="15" customHeight="1" s="18">
      <c r="A8" s="21" t="inlineStr">
        <is>
          <t>OpCo &amp; Corporate Finance (existing pack + roadmap)</t>
        </is>
      </c>
      <c r="B8" s="34">
        <f>COUNTIF('Model Catalogue'!$B$2:$B$161,A8)</f>
        <v/>
      </c>
    </row>
    <row r="9" ht="15" customHeight="1" s="18">
      <c r="A9" s="21" t="inlineStr">
        <is>
          <t>Transport, Resources &amp; Royalty/IP (roadmap)</t>
        </is>
      </c>
      <c r="B9" s="34">
        <f>COUNTIF('Model Catalogue'!$B$2:$B$161,A9)</f>
        <v/>
      </c>
    </row>
    <row r="10" ht="15" customHeight="1" s="18">
      <c r="A10" s="33" t="inlineStr">
        <is>
          <t>Total</t>
        </is>
      </c>
      <c r="B10" s="33">
        <f>SUM(B5:B9)</f>
        <v/>
      </c>
    </row>
    <row r="12" ht="15" customHeight="1" s="18">
      <c r="A12" s="22" t="inlineStr">
        <is>
          <t>Model catalogue by access type</t>
        </is>
      </c>
    </row>
    <row r="13" ht="15" customHeight="1" s="18">
      <c r="A13" s="33" t="inlineStr">
        <is>
          <t>Access</t>
        </is>
      </c>
      <c r="B13" s="33" t="inlineStr">
        <is>
          <t>Count</t>
        </is>
      </c>
    </row>
    <row r="14" ht="15" customHeight="1" s="18">
      <c r="A14" s="21" t="inlineStr">
        <is>
          <t>direct download</t>
        </is>
      </c>
      <c r="B14" s="34">
        <f>COUNTIF('Model Catalogue'!$G$2:$G$161,A14)</f>
        <v/>
      </c>
    </row>
    <row r="15" ht="15" customHeight="1" s="18">
      <c r="A15" s="21" t="inlineStr">
        <is>
          <t>free registration</t>
        </is>
      </c>
      <c r="B15" s="34">
        <f>COUNTIF('Model Catalogue'!$G$2:$G$161,A15)</f>
        <v/>
      </c>
    </row>
    <row r="16" ht="15" customHeight="1" s="18">
      <c r="A16" s="21" t="inlineStr">
        <is>
          <t>free to view, no download</t>
        </is>
      </c>
      <c r="B16" s="34">
        <f>COUNTIF('Model Catalogue'!$G$2:$G$161,A16)</f>
        <v/>
      </c>
    </row>
    <row r="17" ht="15" customHeight="1" s="18">
      <c r="A17" s="21" t="inlineStr">
        <is>
          <t>paywalled (reference only)</t>
        </is>
      </c>
      <c r="B17" s="34">
        <f>COUNTIF('Model Catalogue'!$G$2:$G$161,A17)</f>
        <v/>
      </c>
    </row>
    <row r="18" ht="15" customHeight="1" s="18">
      <c r="A18" s="33" t="inlineStr">
        <is>
          <t>private corpus (not redistributable)</t>
        </is>
      </c>
      <c r="B18" s="33">
        <f>COUNTIF('Model Catalogue'!$G$2:$G$161,A18)</f>
        <v/>
      </c>
    </row>
    <row r="19">
      <c r="A19" s="17" t="inlineStr">
        <is>
          <t>Total</t>
        </is>
      </c>
      <c r="B19" s="17">
        <f>SUM(B14:B18)</f>
        <v/>
      </c>
    </row>
    <row r="20" ht="15" customHeight="1" s="18">
      <c r="A20" s="22" t="inlineStr">
        <is>
          <t>Model catalogue by validation fidelity</t>
        </is>
      </c>
    </row>
    <row r="21" ht="15" customHeight="1" s="18">
      <c r="A21" s="33" t="inlineStr">
        <is>
          <t>Fidelity</t>
        </is>
      </c>
      <c r="B21" s="33" t="inlineStr">
        <is>
          <t>Count</t>
        </is>
      </c>
    </row>
    <row r="22" ht="15" customHeight="1" s="18">
      <c r="A22" s="21" t="inlineStr">
        <is>
          <t>full cash flow table available</t>
        </is>
      </c>
      <c r="B22" s="34">
        <f>COUNTIF('Model Catalogue'!$I$2:$I$161,A22)</f>
        <v/>
      </c>
    </row>
    <row r="23" ht="15" customHeight="1" s="18">
      <c r="A23" s="21" t="inlineStr">
        <is>
          <t>assumptions and outputs only</t>
        </is>
      </c>
      <c r="B23" s="34">
        <f>COUNTIF('Model Catalogue'!$I$2:$I$161,A23)</f>
        <v/>
      </c>
    </row>
    <row r="24" ht="15" customHeight="1" s="18">
      <c r="A24" s="21" t="inlineStr">
        <is>
          <t>methodology only</t>
        </is>
      </c>
      <c r="B24" s="34">
        <f>COUNTIF('Model Catalogue'!$I$2:$I$161,A24)</f>
        <v/>
      </c>
    </row>
    <row r="25" ht="15" customHeight="1" s="18">
      <c r="A25" s="33" t="inlineStr">
        <is>
          <t>Total</t>
        </is>
      </c>
      <c r="B25" s="33">
        <f>SUM(B22:B24)</f>
        <v/>
      </c>
    </row>
    <row r="27" ht="15" customHeight="1" s="18">
      <c r="A27" s="22" t="inlineStr">
        <is>
          <t>Roadmap candidates by domain</t>
        </is>
      </c>
    </row>
    <row r="28" ht="15" customHeight="1" s="18">
      <c r="A28" s="33" t="inlineStr">
        <is>
          <t>Domain</t>
        </is>
      </c>
      <c r="B28" s="33" t="inlineStr">
        <is>
          <t>Count</t>
        </is>
      </c>
    </row>
    <row r="29" ht="15" customHeight="1" s="18">
      <c r="A29" s="21" t="inlineStr">
        <is>
          <t>Real assets, infrastructure &amp; natural resources</t>
        </is>
      </c>
      <c r="B29" s="34">
        <f>COUNTIF('Roadmap Candidates'!$B$2:$B$41,A29)</f>
        <v/>
      </c>
    </row>
    <row r="30" ht="15" customHeight="1" s="18">
      <c r="A30" s="21" t="inlineStr">
        <is>
          <t>Specialty finance, structured credit &amp; royalty/IP</t>
        </is>
      </c>
      <c r="B30" s="34">
        <f>COUNTIF('Roadmap Candidates'!$B$2:$B$41,A30)</f>
        <v/>
      </c>
    </row>
    <row r="31" ht="15" customHeight="1" s="18">
      <c r="A31" s="33" t="inlineStr">
        <is>
          <t>Total</t>
        </is>
      </c>
      <c r="B31" s="33">
        <f>SUM(B29:B30)</f>
        <v/>
      </c>
    </row>
    <row r="33" ht="15" customHeight="1" s="18">
      <c r="A33" s="22" t="inlineStr">
        <is>
          <t>Roadmap candidates by tier</t>
        </is>
      </c>
    </row>
    <row r="34" ht="15" customHeight="1" s="18">
      <c r="A34" s="33" t="inlineStr">
        <is>
          <t>Tier</t>
        </is>
      </c>
      <c r="B34" s="33" t="inlineStr">
        <is>
          <t>Count</t>
        </is>
      </c>
    </row>
    <row r="35" ht="15" customHeight="1" s="18">
      <c r="A35" s="21" t="inlineStr">
        <is>
          <t>Split: concession half Tier 1, rights half Tier 3</t>
        </is>
      </c>
      <c r="B35" s="34">
        <f>COUNTIF('Roadmap Candidates'!$D$2:$D$41,A35)</f>
        <v/>
      </c>
    </row>
    <row r="36" ht="15" customHeight="1" s="18">
      <c r="A36" s="21" t="inlineStr">
        <is>
          <t>Tier 1 — near term</t>
        </is>
      </c>
      <c r="B36" s="34">
        <f>COUNTIF('Roadmap Candidates'!$D$2:$D$41,A36)</f>
        <v/>
      </c>
    </row>
    <row r="37" ht="15" customHeight="1" s="18">
      <c r="A37" s="21" t="inlineStr">
        <is>
          <t>Tier 2 — follows the waterfall engine</t>
        </is>
      </c>
      <c r="B37" s="34">
        <f>COUNTIF('Roadmap Candidates'!$D$2:$D$41,A37)</f>
        <v/>
      </c>
    </row>
    <row r="38" ht="15" customHeight="1" s="18">
      <c r="A38" s="21" t="inlineStr">
        <is>
          <t>Tier 2 — gated on cohort state</t>
        </is>
      </c>
      <c r="B38" s="34">
        <f>COUNTIF('Roadmap Candidates'!$D$2:$D$41,A38)</f>
        <v/>
      </c>
    </row>
    <row r="39" ht="15" customHeight="1" s="18">
      <c r="A39" s="21" t="inlineStr">
        <is>
          <t>Tier 2 — longevity pair</t>
        </is>
      </c>
      <c r="B39" s="34">
        <f>COUNTIF('Roadmap Candidates'!$D$2:$D$41,A39)</f>
        <v/>
      </c>
    </row>
    <row r="40" ht="15" customHeight="1" s="18">
      <c r="A40" s="21" t="inlineStr">
        <is>
          <t>Tier 3 — high new-primitive cost</t>
        </is>
      </c>
      <c r="B40" s="34">
        <f>COUNTIF('Roadmap Candidates'!$D$2:$D$41,A40)</f>
        <v/>
      </c>
    </row>
    <row r="41" ht="15" customHeight="1" s="18">
      <c r="A41" s="21" t="inlineStr">
        <is>
          <t>Tier 3 — recombination of Tier 1 primitives</t>
        </is>
      </c>
      <c r="B41" s="34">
        <f>COUNTIF('Roadmap Candidates'!$D$2:$D$41,A41)</f>
        <v/>
      </c>
    </row>
    <row r="42" ht="15" customHeight="1" s="18">
      <c r="A42" s="33" t="inlineStr">
        <is>
          <t>Total</t>
        </is>
      </c>
      <c r="B42" s="33">
        <f>SUM(B35:B41)</f>
        <v/>
      </c>
    </row>
    <row r="44" ht="15" customHeight="1" s="18">
      <c r="A44" s="22" t="inlineStr">
        <is>
          <t>Capability requirements by primitive family</t>
        </is>
      </c>
    </row>
    <row r="45" ht="15" customHeight="1" s="18">
      <c r="A45" s="33" t="inlineStr">
        <is>
          <t>Primitive family</t>
        </is>
      </c>
      <c r="B45" s="33" t="inlineStr">
        <is>
          <t>Count</t>
        </is>
      </c>
    </row>
    <row r="46" ht="15" customHeight="1" s="18">
      <c r="A46" s="21" t="inlineStr">
        <is>
          <t>Ordered waterfall / priority of payments</t>
        </is>
      </c>
      <c r="B46" s="34">
        <f>COUNTIF('Capability Requirements'!$B$2:$B$222,A46)</f>
        <v/>
      </c>
    </row>
    <row r="47" ht="15" customHeight="1" s="18">
      <c r="A47" s="21" t="inlineStr">
        <is>
          <t>Solve-to-target / endogenous circularity</t>
        </is>
      </c>
      <c r="B47" s="34">
        <f>COUNTIF('Capability Requirements'!$B$2:$B$222,A47)</f>
        <v/>
      </c>
    </row>
    <row r="48" ht="15" customHeight="1" s="18">
      <c r="A48" s="21" t="inlineStr">
        <is>
          <t>Cohort / vintage stock</t>
        </is>
      </c>
      <c r="B48" s="34">
        <f>COUNTIF('Capability Requirements'!$B$2:$B$222,A48)</f>
        <v/>
      </c>
    </row>
    <row r="49" ht="15" customHeight="1" s="18">
      <c r="A49" s="21" t="inlineStr">
        <is>
          <t>Per-period persistent state</t>
        </is>
      </c>
      <c r="B49" s="34">
        <f>COUNTIF('Capability Requirements'!$B$2:$B$222,A49)</f>
        <v/>
      </c>
    </row>
    <row r="50" ht="15" customHeight="1" s="18">
      <c r="A50" s="21" t="inlineStr">
        <is>
          <t>Actuarial &amp; tax subsystems</t>
        </is>
      </c>
      <c r="B50" s="34">
        <f>COUNTIF('Capability Requirements'!$B$2:$B$222,A50)</f>
        <v/>
      </c>
    </row>
    <row r="51" ht="15" customHeight="1" s="18">
      <c r="A51" s="21" t="inlineStr">
        <is>
          <t>Stochastic drivers &amp; event Monte Carlo</t>
        </is>
      </c>
      <c r="B51" s="34">
        <f>COUNTIF('Capability Requirements'!$B$2:$B$222,A51)</f>
        <v/>
      </c>
    </row>
    <row r="52" ht="15" customHeight="1" s="18">
      <c r="A52" s="21" t="inlineStr">
        <is>
          <t>Trigger, covenant &amp; regime switch</t>
        </is>
      </c>
      <c r="B52" s="34">
        <f>COUNTIF('Capability Requirements'!$B$2:$B$222,A52)</f>
        <v/>
      </c>
    </row>
    <row r="53" ht="15" customHeight="1" s="18">
      <c r="A53" s="21" t="inlineStr">
        <is>
          <t>Piecewise, threshold &amp; greater-of expressions</t>
        </is>
      </c>
      <c r="B53" s="34">
        <f>COUNTIF('Capability Requirements'!$B$2:$B$222,A53)</f>
        <v/>
      </c>
    </row>
    <row r="54" ht="15" customHeight="1" s="18">
      <c r="A54" s="21" t="inlineStr">
        <is>
          <t>Curves, indices &amp; price paths</t>
        </is>
      </c>
      <c r="B54" s="34">
        <f>COUNTIF('Capability Requirements'!$B$2:$B$222,A54)</f>
        <v/>
      </c>
    </row>
    <row r="55" ht="15" customHeight="1" s="18">
      <c r="A55" s="21" t="inlineStr">
        <is>
          <t>Composition, nesting &amp; multi-entity</t>
        </is>
      </c>
      <c r="B55" s="34">
        <f>COUNTIF('Capability Requirements'!$B$2:$B$222,A55)</f>
        <v/>
      </c>
    </row>
    <row r="56" ht="15" customHeight="1" s="18">
      <c r="A56" s="21" t="inlineStr">
        <is>
          <t>Calendar, horizon &amp; event timing</t>
        </is>
      </c>
      <c r="B56" s="34">
        <f>COUNTIF('Capability Requirements'!$B$2:$B$222,A56)</f>
        <v/>
      </c>
    </row>
    <row r="57" ht="15" customHeight="1" s="18">
      <c r="A57" s="21" t="inlineStr">
        <is>
          <t>Other / uncategorised</t>
        </is>
      </c>
      <c r="B57" s="34">
        <f>COUNTIF('Capability Requirements'!$B$2:$B$222,A57)</f>
        <v/>
      </c>
    </row>
    <row r="58" ht="15" customHeight="1" s="18">
      <c r="A58" s="33" t="inlineStr">
        <is>
          <t>Total</t>
        </is>
      </c>
      <c r="B58" s="33">
        <f>SUM(B46:B57)</f>
        <v/>
      </c>
    </row>
    <row r="60" ht="43.25" customHeight="1" s="18">
      <c r="A60" s="35" t="inlineStr">
        <is>
          <t>Note: access and fidelity labels are as recorded by the researcher; a small number of entries use wording that does not match a bucket exactly and will show as zero above. Filter the Model Catalogue sheet directly for the authoritative view.</t>
        </is>
      </c>
    </row>
    <row r="62">
      <c r="A62" s="17" t="inlineStr">
        <is>
          <t>Model catalogue by local copy</t>
        </is>
      </c>
    </row>
    <row r="63">
      <c r="A63" s="17" t="inlineStr">
        <is>
          <t>Local copy</t>
        </is>
      </c>
      <c r="B63" s="17" t="inlineStr">
        <is>
          <t>Count</t>
        </is>
      </c>
    </row>
    <row r="64">
      <c r="A64" s="17" t="inlineStr">
        <is>
          <t>public template</t>
        </is>
      </c>
      <c r="B64" s="17">
        <f>COUNTIF('Model Catalogue'!$P$2:$P$161,A64)</f>
        <v/>
      </c>
    </row>
    <row r="65">
      <c r="A65" s="17" t="inlineStr">
        <is>
          <t>private corpus</t>
        </is>
      </c>
      <c r="B65" s="17">
        <f>COUNTIF('Model Catalogue'!$P$2:$P$161,A65)</f>
        <v/>
      </c>
    </row>
    <row r="66">
      <c r="A66" s="17" t="inlineStr">
        <is>
          <t>no local copy (sourced by URL)</t>
        </is>
      </c>
      <c r="B66" s="17">
        <f>COUNTBLANK('Model Catalogue'!$P$2:$P$161)</f>
        <v/>
      </c>
    </row>
    <row r="67">
      <c r="A67" s="17" t="inlineStr">
        <is>
          <t>Total</t>
        </is>
      </c>
      <c r="B67" s="17">
        <f>SUM(B64:B66)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2026-08-01T08:52:36Z</dcterms:created>
  <dcterms:modified xmlns:dcterms="http://purl.org/dc/terms/" xmlns:xsi="http://www.w3.org/2001/XMLSchema-instance" xsi:type="dcterms:W3CDTF">2026-08-29T22:45:46Z</dcterms:modified>
  <cp:revision>0</cp:revision>
</cp:coreProperties>
</file>